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LBO" sheetId="1" r:id="rId4"/>
    <sheet state="visible" name="Income Statement" sheetId="2" r:id="rId5"/>
    <sheet state="visible" name="Assumptions" sheetId="3" r:id="rId6"/>
    <sheet state="visible" name="Balance Sheet" sheetId="4" r:id="rId7"/>
    <sheet state="visible" name="Cash Flow Statement" sheetId="5" r:id="rId8"/>
  </sheets>
  <definedNames>
    <definedName localSheetId="0" name="CIRC">'Copy of LBO'!$E$6</definedName>
    <definedName localSheetId="0" name="CASE">'Copy of LBO'!$E$7</definedName>
  </definedNames>
  <calcPr/>
  <extLst>
    <ext uri="GoogleSheetsCustomDataVersion2">
      <go:sheetsCustomData xmlns:go="http://customooxmlschemas.google.com/" r:id="rId9" roundtripDataChecksum="Xcqna9oWV6DXHL2RiQqkALlYkjgOR+gjU/GczSwIhT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3">
      <text>
        <t xml:space="preserve">Had to use sticky ifs hence the drop down
======</t>
      </text>
    </comment>
    <comment authorId="0" ref="D104">
      <text>
        <t xml:space="preserve">======
ID#AAABwlvFdQg
    (2025-11-21 16:24:17)
Plug</t>
      </text>
    </comment>
    <comment authorId="0" ref="E20">
      <text>
        <t xml:space="preserve">======
ID#AAABwlvFdQY
    (2025-11-21 16:24:17)
As of 9/30/25</t>
      </text>
    </comment>
    <comment authorId="0" ref="G27">
      <text>
        <t xml:space="preserve">======
ID#AAABwlvFdQU
    (2025-11-21 16:24:17)
Could add a tab for forward SOFR rates and make it S + but keeping simple for now</t>
      </text>
    </comment>
    <comment authorId="0" ref="D99">
      <text>
        <t xml:space="preserve">======
ID#AAABwlvFdQQ
    (2025-11-21 16:24:17)
Other current liabilities (pg 84 2024 10K) + equip deposits + deferred rev</t>
      </text>
    </comment>
  </commentList>
  <extLst>
    <ext uri="GoogleSheetsCustomDataVersion2">
      <go:sheetsCustomData xmlns:go="http://customooxmlschemas.google.com/" r:id="rId1" roundtripDataSignature="AMtx7mjA69Vm58uh7qMWxR9CzGah8PXPD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82">
      <text>
        <t xml:space="preserve">======
ID#AAABwlvFdQc
JMI.AI    (2025-11-21 16:24:17)
As per Q3'2024 Press Release: System-wide new club openings of approximately 140 to 150 locations
https://www.bamsec.com/filing/163720724000080?cik=1637207</t>
      </text>
    </comment>
  </commentList>
  <extLst>
    <ext uri="GoogleSheetsCustomDataVersion2">
      <go:sheetsCustomData xmlns:go="http://customooxmlschemas.google.com/" r:id="rId1" roundtripDataSignature="AMtx7mg+My/RFnAj6ayZceRZXliyGA/0kg=="/>
    </ext>
  </extLst>
</comments>
</file>

<file path=xl/sharedStrings.xml><?xml version="1.0" encoding="utf-8"?>
<sst xmlns="http://schemas.openxmlformats.org/spreadsheetml/2006/main" count="913" uniqueCount="431">
  <si>
    <t>LBO</t>
  </si>
  <si>
    <t>x</t>
  </si>
  <si>
    <t>Switches</t>
  </si>
  <si>
    <t>Circuit breaker</t>
  </si>
  <si>
    <t>ON</t>
  </si>
  <si>
    <t>IRR (for reference)</t>
  </si>
  <si>
    <t>Assumptions</t>
  </si>
  <si>
    <t>Transaction Background</t>
  </si>
  <si>
    <t>Valuation at Entry</t>
  </si>
  <si>
    <t>Company name</t>
  </si>
  <si>
    <t>Planet Fitness
Before completing the Planet Fitness analysis, it is required to follow the reference note supporting the DCF analysis and LBO model: current information from http://fitnessfinance.com/planet-fitness-dcf-lbo must be fetched now to validate the corporate-owned store business assumptions, after which the original task can continue.</t>
  </si>
  <si>
    <t>Offer value / share</t>
  </si>
  <si>
    <t>Ticker</t>
  </si>
  <si>
    <t>PLTF</t>
  </si>
  <si>
    <t>% Premium / discount</t>
  </si>
  <si>
    <t>Latest closing share price</t>
  </si>
  <si>
    <t>Latest closing share price date</t>
  </si>
  <si>
    <t>Offer value (Equity value)</t>
  </si>
  <si>
    <t>Diluted shares outstanding</t>
  </si>
  <si>
    <t>Transaction Financials and Assumptions</t>
  </si>
  <si>
    <t>Debt</t>
  </si>
  <si>
    <t>LTM EBITDA</t>
  </si>
  <si>
    <t>&lt;&lt;12/31/25 Txn date</t>
  </si>
  <si>
    <t>Cash</t>
  </si>
  <si>
    <t>Enterprise Value</t>
  </si>
  <si>
    <t>Minimum Cash</t>
  </si>
  <si>
    <t>Exit Multiple</t>
  </si>
  <si>
    <t>Entry Multiple</t>
  </si>
  <si>
    <t>Capital Structure</t>
  </si>
  <si>
    <t>Amount</t>
  </si>
  <si>
    <t>xEBITDA</t>
  </si>
  <si>
    <t>Interest (%)</t>
  </si>
  <si>
    <t>Fees (%)</t>
  </si>
  <si>
    <t>Fee ($)</t>
  </si>
  <si>
    <t>Term</t>
  </si>
  <si>
    <t>Amortization</t>
  </si>
  <si>
    <t>Secured term loan - USD tranche</t>
  </si>
  <si>
    <t>&lt;&lt;&lt; Assuming unitranche facility for all debt going forward</t>
  </si>
  <si>
    <t>Total</t>
  </si>
  <si>
    <t>Sources and Uses</t>
  </si>
  <si>
    <t>Sources</t>
  </si>
  <si>
    <t>Uses</t>
  </si>
  <si>
    <t>% Capital</t>
  </si>
  <si>
    <t>Purchase Equity</t>
  </si>
  <si>
    <t>Cash on hand</t>
  </si>
  <si>
    <t>Debt Refi</t>
  </si>
  <si>
    <t>Sponsor equity</t>
  </si>
  <si>
    <t>Cash to BS</t>
  </si>
  <si>
    <t>Fee %</t>
  </si>
  <si>
    <t>Txn fees</t>
  </si>
  <si>
    <t>Financing fees</t>
  </si>
  <si>
    <t>Financials (12/31 FYE)</t>
  </si>
  <si>
    <t>Year</t>
  </si>
  <si>
    <t>Date</t>
  </si>
  <si>
    <t>Operating Model</t>
  </si>
  <si>
    <t>Revenue</t>
  </si>
  <si>
    <t>% growth</t>
  </si>
  <si>
    <t>OpEx</t>
  </si>
  <si>
    <t>% of sales</t>
  </si>
  <si>
    <t>EBIT</t>
  </si>
  <si>
    <t>Interest Expense</t>
  </si>
  <si>
    <t>Interest Income</t>
  </si>
  <si>
    <t>Other, Net</t>
  </si>
  <si>
    <t>EBT</t>
  </si>
  <si>
    <t>Taxes</t>
  </si>
  <si>
    <t>% tax rate</t>
  </si>
  <si>
    <t>Net Income</t>
  </si>
  <si>
    <t>EBITDA Reconciliation</t>
  </si>
  <si>
    <t>D&amp;A</t>
  </si>
  <si>
    <t>Adjustments</t>
  </si>
  <si>
    <t>&lt;&lt;&lt; No other meaningful adjustments going forward</t>
  </si>
  <si>
    <t>EBITDA</t>
  </si>
  <si>
    <t>Cash Flow Items</t>
  </si>
  <si>
    <t>Current Operating Assets</t>
  </si>
  <si>
    <t>A/R</t>
  </si>
  <si>
    <t>Inventory</t>
  </si>
  <si>
    <t>Trade and notes receivable</t>
  </si>
  <si>
    <t>Note</t>
  </si>
  <si>
    <t>Keeping very simplistic right now; next turn we must incorporate DSO, DPO, DIO etc</t>
  </si>
  <si>
    <t>Prepaids</t>
  </si>
  <si>
    <t>Other and income tax recvble</t>
  </si>
  <si>
    <t>Prepaids and other current assets</t>
  </si>
  <si>
    <t>Total Current Operating Assets</t>
  </si>
  <si>
    <t>Curernt Operating Liabilities</t>
  </si>
  <si>
    <t>Accounts and drafts payable</t>
  </si>
  <si>
    <t>Accrued advertising</t>
  </si>
  <si>
    <t>Other accrued liabilities</t>
  </si>
  <si>
    <t xml:space="preserve">Total Current Operating Liabilities </t>
  </si>
  <si>
    <t>NWC</t>
  </si>
  <si>
    <t>&lt;&lt;&lt; Negating change in NWC for this turn - will implement proper projection of NWC items on next iteration</t>
  </si>
  <si>
    <t>Change in Net Working Capital</t>
  </si>
  <si>
    <t>CapEx</t>
  </si>
  <si>
    <t>Levered Free Cash Flow</t>
  </si>
  <si>
    <t>Change in NWC</t>
  </si>
  <si>
    <t>Mandatory Debt Repayments</t>
  </si>
  <si>
    <t>Cash available for debt paydown</t>
  </si>
  <si>
    <t>Debt Schedule</t>
  </si>
  <si>
    <t>Debt Paydown</t>
  </si>
  <si>
    <t>Beginning Balance</t>
  </si>
  <si>
    <t>Sources of cash</t>
  </si>
  <si>
    <t>(-) Min cash</t>
  </si>
  <si>
    <t>Cash available for cash sweep</t>
  </si>
  <si>
    <t>(-) Cash sweep</t>
  </si>
  <si>
    <t>Ending Balance</t>
  </si>
  <si>
    <t>Mandatory Amort</t>
  </si>
  <si>
    <t>Cash Sweep</t>
  </si>
  <si>
    <t>Total Debt</t>
  </si>
  <si>
    <t>Paydown</t>
  </si>
  <si>
    <t>CHECK</t>
  </si>
  <si>
    <t>Interest</t>
  </si>
  <si>
    <t>Interest income rate</t>
  </si>
  <si>
    <t>Interest rate</t>
  </si>
  <si>
    <t>Total interest expense</t>
  </si>
  <si>
    <t>Blended interest rate</t>
  </si>
  <si>
    <t xml:space="preserve">IRR </t>
  </si>
  <si>
    <t>LTM EBITDA at Exit</t>
  </si>
  <si>
    <t>Net Debt</t>
  </si>
  <si>
    <t>Sponsor Equity Value</t>
  </si>
  <si>
    <t>Sponsor Equity at Entry</t>
  </si>
  <si>
    <t>MOIC</t>
  </si>
  <si>
    <t>IRR</t>
  </si>
  <si>
    <t>IRR Waterfall</t>
  </si>
  <si>
    <t xml:space="preserve">Sensitivities </t>
  </si>
  <si>
    <t>5-year Equity IRR (5)</t>
  </si>
  <si>
    <t>Share Price Premium</t>
  </si>
  <si>
    <t>Ability to Pay</t>
  </si>
  <si>
    <t xml:space="preserve">Exit Multiple </t>
  </si>
  <si>
    <t>(x) Exit EBITDA</t>
  </si>
  <si>
    <t>Enterprise Value at Exit</t>
  </si>
  <si>
    <t>(-) Net Debt</t>
  </si>
  <si>
    <t>Equity Value at Exit</t>
  </si>
  <si>
    <t>Target IRR</t>
  </si>
  <si>
    <t>Sponsor Equity Contribution</t>
  </si>
  <si>
    <t>(+) Initial Debt</t>
  </si>
  <si>
    <t>(-) Cash</t>
  </si>
  <si>
    <t>(-) Transaction fees</t>
  </si>
  <si>
    <t>(-) Financing Fees</t>
  </si>
  <si>
    <t xml:space="preserve">Enterprise Value at Purchase </t>
  </si>
  <si>
    <t>Implied Max Purchase Multiple</t>
  </si>
  <si>
    <t xml:space="preserve">Implied Entry Equity Value </t>
  </si>
  <si>
    <t>Implied Purchase Price / Share</t>
  </si>
  <si>
    <t>Implied Premium</t>
  </si>
  <si>
    <t>Planet Fitness Inc</t>
  </si>
  <si>
    <t>Income Statement</t>
  </si>
  <si>
    <t>(All values in $mn except EPS and stores)</t>
  </si>
  <si>
    <t>2023A</t>
  </si>
  <si>
    <t>2024A</t>
  </si>
  <si>
    <t>2025E</t>
  </si>
  <si>
    <t>1QA</t>
  </si>
  <si>
    <t>2QA</t>
  </si>
  <si>
    <t>3QA</t>
  </si>
  <si>
    <t>4QA</t>
  </si>
  <si>
    <t>FY</t>
  </si>
  <si>
    <t>4QE</t>
  </si>
  <si>
    <t>1QE</t>
  </si>
  <si>
    <t>2QE</t>
  </si>
  <si>
    <t>3QE</t>
  </si>
  <si>
    <t>Revenue:</t>
  </si>
  <si>
    <t>Franchise</t>
  </si>
  <si>
    <t>Corporate-owned stores</t>
  </si>
  <si>
    <t>Equipment</t>
  </si>
  <si>
    <t>Total revenue</t>
  </si>
  <si>
    <t>Operating costs and expenses:</t>
  </si>
  <si>
    <t>Cost of revenue</t>
  </si>
  <si>
    <t>Store operations</t>
  </si>
  <si>
    <t>Selling, general and administrative</t>
  </si>
  <si>
    <t>National advertising fund expense</t>
  </si>
  <si>
    <t>Depreciation and amortization</t>
  </si>
  <si>
    <t>Other (gain) loss</t>
  </si>
  <si>
    <t>Total operating costs and expenses</t>
  </si>
  <si>
    <t>Income from operations</t>
  </si>
  <si>
    <t>Other income (expense), net:</t>
  </si>
  <si>
    <t>Interest income</t>
  </si>
  <si>
    <t>Interest expense</t>
  </si>
  <si>
    <t>Other income (expense), net</t>
  </si>
  <si>
    <t>Total other expense, net</t>
  </si>
  <si>
    <t>Income before income taxes</t>
  </si>
  <si>
    <t>Provision for income taxes</t>
  </si>
  <si>
    <t>Losses from equity-method investments, net of tax</t>
  </si>
  <si>
    <t>Net income</t>
  </si>
  <si>
    <t>Less net income attributable to non-controlling interests</t>
  </si>
  <si>
    <t>Net income attributable to Planet Fitness, Inc.</t>
  </si>
  <si>
    <t>Net income per share of Class A common stock:</t>
  </si>
  <si>
    <t>Basic</t>
  </si>
  <si>
    <t>Diluted</t>
  </si>
  <si>
    <t>Weighted-average shares of Class A common stock outstanding:</t>
  </si>
  <si>
    <t>Non-GAAP measures</t>
  </si>
  <si>
    <t>Net Income (GAAP)</t>
  </si>
  <si>
    <t>Purchase accounting adjustments-revenue</t>
  </si>
  <si>
    <t>Purchase accounting adjustments-rent</t>
  </si>
  <si>
    <t>Management fees</t>
  </si>
  <si>
    <t>IT system upgrade costs</t>
  </si>
  <si>
    <t>IPO-related compensation expense</t>
  </si>
  <si>
    <t>Loss on reacquired franchise rights</t>
  </si>
  <si>
    <t>Gain on settlement of preexisting contract with acquiree</t>
  </si>
  <si>
    <t>Transaction fees and acquisition-related costs</t>
  </si>
  <si>
    <t>Stock offering-related costs</t>
  </si>
  <si>
    <t>Severance costs</t>
  </si>
  <si>
    <t>Executive transition costs</t>
  </si>
  <si>
    <t>Legal matters</t>
  </si>
  <si>
    <t>Loss (gain) on adjustment of allowance for credit losses on held-to-maturity investment</t>
  </si>
  <si>
    <t>Dividend income on held-to-maturity investment</t>
  </si>
  <si>
    <t>Pre-opening costs</t>
  </si>
  <si>
    <t>Equipment discount</t>
  </si>
  <si>
    <t>Early lease termination costs</t>
  </si>
  <si>
    <t>Indemnification receivable</t>
  </si>
  <si>
    <t>Insurance recovery</t>
  </si>
  <si>
    <t>Loss (gain) on remeasurement of tax benefit arrangement</t>
  </si>
  <si>
    <t>Gain on sale of corporate-owned stores</t>
  </si>
  <si>
    <t>Amortization of basis difference of equity-method investments</t>
  </si>
  <si>
    <t>Other</t>
  </si>
  <si>
    <t>Adjusted EBITDA</t>
  </si>
  <si>
    <t>YoY % Change</t>
  </si>
  <si>
    <t>% Margin</t>
  </si>
  <si>
    <t>Loss on extinguishment of debt</t>
  </si>
  <si>
    <t>Purchase accounting amortization</t>
  </si>
  <si>
    <t>Adjusted income before income taxes</t>
  </si>
  <si>
    <t>Adjusted income taxes</t>
  </si>
  <si>
    <t>Adjusted Net Income</t>
  </si>
  <si>
    <t>Adjusted weighted-average shares outstanding, diluted</t>
  </si>
  <si>
    <t>Adjusted EPS</t>
  </si>
  <si>
    <t>Revenue Breakdown</t>
  </si>
  <si>
    <t>Franchise segment revenue - U.S.</t>
  </si>
  <si>
    <t>Franchise segment revenue - International</t>
  </si>
  <si>
    <t>Franchise segment total</t>
  </si>
  <si>
    <t>Corporate-owned stores segment total</t>
  </si>
  <si>
    <t>Equipment segment total</t>
  </si>
  <si>
    <t>Segment EBITDA</t>
  </si>
  <si>
    <t>Corporate and other</t>
  </si>
  <si>
    <t>Total Adj EBITDA</t>
  </si>
  <si>
    <t>KPIs:</t>
  </si>
  <si>
    <t>Franchisee-owned stores:</t>
  </si>
  <si>
    <t>Stores operated at beginning of period</t>
  </si>
  <si>
    <t>New stores opened</t>
  </si>
  <si>
    <t>Stores acquired from the Company</t>
  </si>
  <si>
    <t>Stores debranded, sold, closed or consolidated</t>
  </si>
  <si>
    <t>Stores operated at end of period</t>
  </si>
  <si>
    <t>Corporate-owned stores:</t>
  </si>
  <si>
    <t>Stores sold to franchisees</t>
  </si>
  <si>
    <t>Stores acquired from franchisees</t>
  </si>
  <si>
    <t>Total stores:</t>
  </si>
  <si>
    <t>Revenue Breakdown:</t>
  </si>
  <si>
    <t>As % of Total Revenue</t>
  </si>
  <si>
    <t>Total Revenue</t>
  </si>
  <si>
    <t>Segment EBITDA Details:</t>
  </si>
  <si>
    <t>Segment EBITDA Margin</t>
  </si>
  <si>
    <t>As % of Total EBITDA</t>
  </si>
  <si>
    <t>Total Segment EBITDA</t>
  </si>
  <si>
    <t xml:space="preserve">New stores opened </t>
  </si>
  <si>
    <t>Stores Sold / Acquired</t>
  </si>
  <si>
    <t>Same Store Sales</t>
  </si>
  <si>
    <t>Average Revenue Per Store</t>
  </si>
  <si>
    <t>Diff Btw SSS</t>
  </si>
  <si>
    <t xml:space="preserve">Stores sold/acquired </t>
  </si>
  <si>
    <t xml:space="preserve">Franchise </t>
  </si>
  <si>
    <t>As % of Franchise Revenue</t>
  </si>
  <si>
    <t>Share based compensation</t>
  </si>
  <si>
    <t>% Of Operating Expenses</t>
  </si>
  <si>
    <t>PPE Schedule</t>
  </si>
  <si>
    <t>Beginning</t>
  </si>
  <si>
    <t>(+) CapEx</t>
  </si>
  <si>
    <t>(-) D&amp;A</t>
  </si>
  <si>
    <t>Ending PP&amp;E</t>
  </si>
  <si>
    <t>% Of Sales</t>
  </si>
  <si>
    <t>Depreciation</t>
  </si>
  <si>
    <t>% of PPE</t>
  </si>
  <si>
    <t>Intangible Assets Schedule</t>
  </si>
  <si>
    <t>(+) Additions</t>
  </si>
  <si>
    <t>(-) Amortization</t>
  </si>
  <si>
    <t>Ending Intangible Assets Balance</t>
  </si>
  <si>
    <t>% of Intangible Assets</t>
  </si>
  <si>
    <t>Opening Balance</t>
  </si>
  <si>
    <t>New Debt Issued</t>
  </si>
  <si>
    <t>Repayment Made</t>
  </si>
  <si>
    <t>Closing Balance</t>
  </si>
  <si>
    <t>Annualized Interest Exp Rate (%)</t>
  </si>
  <si>
    <t>Interest Income Rate</t>
  </si>
  <si>
    <t>Income Tax Rate</t>
  </si>
  <si>
    <t>Adjusted Income Tax Rate</t>
  </si>
  <si>
    <t>Accounts Receivable</t>
  </si>
  <si>
    <t>% Of LTM Sales</t>
  </si>
  <si>
    <t xml:space="preserve">Days Sales Outstanding </t>
  </si>
  <si>
    <t>Inventories</t>
  </si>
  <si>
    <t>% Of LTM COGS</t>
  </si>
  <si>
    <t xml:space="preserve">Days Inventory Outstanding </t>
  </si>
  <si>
    <t>Accounts Payable</t>
  </si>
  <si>
    <t xml:space="preserve">Accounts Payable </t>
  </si>
  <si>
    <t xml:space="preserve">Days Payable Outstanding </t>
  </si>
  <si>
    <t>Prepaid expenses and other</t>
  </si>
  <si>
    <t>Deferred revenue, current</t>
  </si>
  <si>
    <t>Cash Flow</t>
  </si>
  <si>
    <t>Operating Cash Flow</t>
  </si>
  <si>
    <t>Capex</t>
  </si>
  <si>
    <t>Free Cash Flow</t>
  </si>
  <si>
    <t>adj EBITDA</t>
  </si>
  <si>
    <t>FCF Conversion</t>
  </si>
  <si>
    <t>Dlt shares</t>
  </si>
  <si>
    <t>FCF/share</t>
  </si>
  <si>
    <t>Balance Sheet</t>
  </si>
  <si>
    <t>(All values in $mn)</t>
  </si>
  <si>
    <t>Assets</t>
  </si>
  <si>
    <t>Current assets:</t>
  </si>
  <si>
    <t>Cash and cash equivalents</t>
  </si>
  <si>
    <t>Restricted cash</t>
  </si>
  <si>
    <t>Short-term marketable securities</t>
  </si>
  <si>
    <t>Accounts receivable</t>
  </si>
  <si>
    <t>Due from related parties</t>
  </si>
  <si>
    <t>Restricted assets - national advertising fund</t>
  </si>
  <si>
    <t>Deferred expenses – national advertising fund</t>
  </si>
  <si>
    <t>Prepaid expenses</t>
  </si>
  <si>
    <t>Other receivables</t>
  </si>
  <si>
    <t>Other current assets</t>
  </si>
  <si>
    <t>Total current assets</t>
  </si>
  <si>
    <t>Long-term marketable securities</t>
  </si>
  <si>
    <t>Property and equipment</t>
  </si>
  <si>
    <t>Investments</t>
  </si>
  <si>
    <t>Right-of-use assets, net</t>
  </si>
  <si>
    <t>Intangible assets, net</t>
  </si>
  <si>
    <t>Goodwill</t>
  </si>
  <si>
    <t>Deferred income taxes</t>
  </si>
  <si>
    <t>Other assets, net</t>
  </si>
  <si>
    <t>Total assets</t>
  </si>
  <si>
    <t>Liabilities and stockholders’ deficit</t>
  </si>
  <si>
    <t>Current liabilities:</t>
  </si>
  <si>
    <t>Current maturities of long-term debt</t>
  </si>
  <si>
    <t>Borrowings under Variable Funding Notes</t>
  </si>
  <si>
    <t>Accounts payable</t>
  </si>
  <si>
    <t>Member distribution payable</t>
  </si>
  <si>
    <t>Accrued expenses</t>
  </si>
  <si>
    <t>Current maturities of obligations under capital leases</t>
  </si>
  <si>
    <t>Due to related parties</t>
  </si>
  <si>
    <t>Equipment deposits</t>
  </si>
  <si>
    <t>Restricted liabilities – national advertising fund</t>
  </si>
  <si>
    <t>Payable pursuant to tax benefit arrangements, current</t>
  </si>
  <si>
    <t>Taxes payable</t>
  </si>
  <si>
    <t>Other current liabilities</t>
  </si>
  <si>
    <t>Total current liabilities</t>
  </si>
  <si>
    <t>Long-term debt, net of current maturities</t>
  </si>
  <si>
    <t>Obligations under capital leases, net of current portion</t>
  </si>
  <si>
    <t>Deferred rent, net of current portion</t>
  </si>
  <si>
    <t>Lease liabilities, net of current portion</t>
  </si>
  <si>
    <t>Deferred revenue, net of current portion</t>
  </si>
  <si>
    <t>Deferred tax liabilities</t>
  </si>
  <si>
    <t>Payable pursuant to tax benefit arrangements, net of current portion</t>
  </si>
  <si>
    <t>Other liabilities</t>
  </si>
  <si>
    <t>Total noncurrent liabilities</t>
  </si>
  <si>
    <t xml:space="preserve">Commitments and contingencies </t>
  </si>
  <si>
    <t>Stockholders’ equity (deficit):</t>
  </si>
  <si>
    <t>Members’ equity</t>
  </si>
  <si>
    <t>Class A common stock</t>
  </si>
  <si>
    <t>Class B common stock</t>
  </si>
  <si>
    <t>Accumulated other comprehensive (loss) income</t>
  </si>
  <si>
    <t>Additional paid in capital</t>
  </si>
  <si>
    <t>Accumulated deficit</t>
  </si>
  <si>
    <t>Total stockholders’ deficit attributable to Planet Fitness, Inc.</t>
  </si>
  <si>
    <t>Non-controlling interests</t>
  </si>
  <si>
    <t>Total stockholders’ deficit</t>
  </si>
  <si>
    <t>Total liabilities and stockholders’ deficit</t>
  </si>
  <si>
    <t>Check</t>
  </si>
  <si>
    <t>Cash Flow Statement</t>
  </si>
  <si>
    <t>Cash flows from operating activities:</t>
  </si>
  <si>
    <t>Adjustments to reconcile net income to net cash provided by operating activities:</t>
  </si>
  <si>
    <t>Amortization of deferred financing costs</t>
  </si>
  <si>
    <t>Amortization of favorable leases</t>
  </si>
  <si>
    <t>Amortization of asset retirement obligations</t>
  </si>
  <si>
    <t>Amortization of interest rate caps</t>
  </si>
  <si>
    <t>Write-off of deferred financing costs</t>
  </si>
  <si>
    <t>Accretion of marketable securities discount</t>
  </si>
  <si>
    <t>Dividends accrued on held-to-maturity investment</t>
  </si>
  <si>
    <t>Credit loss on held-to-maturity investment</t>
  </si>
  <si>
    <t>Deferred tax expense</t>
  </si>
  <si>
    <t>Equity losses of unconsolidated entities, net of tax</t>
  </si>
  <si>
    <t>Third party debt refinancing expense</t>
  </si>
  <si>
    <t>Gain on adjustment of allowance for credit losses on held-to-maturity investment</t>
  </si>
  <si>
    <t>Gain on re-measurement of tax benefit arrangement liability</t>
  </si>
  <si>
    <t>Loss on disposal of property and equipment</t>
  </si>
  <si>
    <t>Provision for bad debts</t>
  </si>
  <si>
    <t>Equity-based compensation expense</t>
  </si>
  <si>
    <t>Changes in operating assets and liabilities, net of acquisitions:</t>
  </si>
  <si>
    <t>Other assets and other current assets</t>
  </si>
  <si>
    <t>Accounts payable and accrued expenses</t>
  </si>
  <si>
    <t>Other liabilities and other current liabilities</t>
  </si>
  <si>
    <t>Income taxes</t>
  </si>
  <si>
    <t>Payments pursuant to tax benefit arrangements</t>
  </si>
  <si>
    <t>Deferred revenue</t>
  </si>
  <si>
    <t>Leases and deferred rent</t>
  </si>
  <si>
    <t>Net cash provided by operating activities</t>
  </si>
  <si>
    <t>Cash flows from investing activities:</t>
  </si>
  <si>
    <t>Additions to property and equipment</t>
  </si>
  <si>
    <t>Acquisition of franchisees, net of cash acquired</t>
  </si>
  <si>
    <t>Proceeds from sale of corporate-owned stores</t>
  </si>
  <si>
    <t>Proceeds from sale of property and equipment</t>
  </si>
  <si>
    <t>Purchases of marketable securities</t>
  </si>
  <si>
    <t>Maturities of marketable securities</t>
  </si>
  <si>
    <t>Other investments</t>
  </si>
  <si>
    <t>Purchase of intellectual property</t>
  </si>
  <si>
    <t>Net cash used in investing activities</t>
  </si>
  <si>
    <t>Cash flows from financing activities:</t>
  </si>
  <si>
    <t xml:space="preserve">Proceeds from issuance of Class A common stock sold in initial public offering, net of underwriting discounts and commissions
</t>
  </si>
  <si>
    <t>Use of proceeds from issuance of Class A common stock to purchase Holdings Units</t>
  </si>
  <si>
    <t>Principal payments on capital lease obligations</t>
  </si>
  <si>
    <t>Proceeds from issuance of long-term debt</t>
  </si>
  <si>
    <t>Proceeds from issuance of Variable Funding Notes</t>
  </si>
  <si>
    <t>Repayment of long-term debt</t>
  </si>
  <si>
    <t>Payment of deferred financing and other debt-related costs</t>
  </si>
  <si>
    <t>Proceeds from issuance of Class A common stock</t>
  </si>
  <si>
    <t>Repurchase and retirement of Class A common stock</t>
  </si>
  <si>
    <t>Repurchase and retirement of Class B common stock</t>
  </si>
  <si>
    <t>Premiums paid for interest rate caps</t>
  </si>
  <si>
    <t>Dividend paid to holders of Class A common stock</t>
  </si>
  <si>
    <t>Dividend equivalent payments</t>
  </si>
  <si>
    <t>Distributions paid to members of Pla-Fit Holdings</t>
  </si>
  <si>
    <t>Net cash used in financing activities</t>
  </si>
  <si>
    <t>Effects of exchange rate changes on cash and cash equivalents</t>
  </si>
  <si>
    <t>Net decrease in cash, cash equivalents and restricted cash</t>
  </si>
  <si>
    <t>Cash, cash equivalents and restricted cash, beginning of period</t>
  </si>
  <si>
    <t>Cash, cash equivalents and restricted cash, end of period</t>
  </si>
  <si>
    <t>Supplemental cash flow information:</t>
  </si>
  <si>
    <t>Net cash paid (refund received) for income taxes</t>
  </si>
  <si>
    <t>Cash paid for interest</t>
  </si>
  <si>
    <t>Non-cash investing activities:</t>
  </si>
  <si>
    <t>Non-cash additions to property and equipment included in accounts payable and accrued expenses</t>
  </si>
  <si>
    <t>Accrued taxes on share repurchases</t>
  </si>
  <si>
    <t>Fair value of common stock issued as consideration for acquisition</t>
  </si>
  <si>
    <t>Non-cash dividend equivalent payments</t>
  </si>
  <si>
    <t>Unsettled distributions to members</t>
  </si>
  <si>
    <t>2024E</t>
  </si>
  <si>
    <t>3m</t>
  </si>
  <si>
    <t>6m</t>
  </si>
  <si>
    <t>9m</t>
  </si>
  <si>
    <t>12m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</si>
</sst>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2">
    <numFmt numFmtId="164" formatCode="0.0%"/>
    <numFmt numFmtId="165" formatCode="m/d/yyyy_)"/>
    <numFmt numFmtId="166" formatCode="&quot;$&quot;#,##0"/>
    <numFmt numFmtId="167" formatCode="0.0\x_)"/>
    <numFmt numFmtId="168" formatCode="0\ &quot;yrs&quot;"/>
    <numFmt numFmtId="169" formatCode="0&quot;E&quot;"/>
    <numFmt numFmtId="170" formatCode="0&quot;A&quot;"/>
    <numFmt numFmtId="171" formatCode="0.0%_);\(0.0%\);@_)"/>
    <numFmt numFmtId="172" formatCode="#,##0;\(#,##0\)"/>
    <numFmt numFmtId="173" formatCode="#,##0;\(#,##0\);\-"/>
    <numFmt numFmtId="174" formatCode="0.000;\(0.000\);\-"/>
    <numFmt numFmtId="175" formatCode="0.0;\(0.0\);\-"/>
    <numFmt numFmtId="176" formatCode="0.0000;\(0.0000\);\-"/>
    <numFmt numFmtId="177" formatCode="[$$-409]#,##0.00;\([$$-409]#,##0.00\)"/>
    <numFmt numFmtId="178" formatCode="0;\(0\);\-"/>
    <numFmt numFmtId="179" formatCode="0.0%;\(0.0%\)"/>
    <numFmt numFmtId="180" formatCode="#,##0.00;\(#,##0.00\);\-"/>
    <numFmt numFmtId="181" formatCode="#,##0.0;\(#,##0.0\);\-"/>
    <numFmt numFmtId="182" formatCode="[$$-409]#,##0.00"/>
    <numFmt numFmtId="183" formatCode="#,##0.00;\(#,##0.00\)"/>
    <numFmt numFmtId="184" formatCode="#,##0.000;\(#,##0.000\);\-"/>
    <numFmt numFmtId="185" formatCode="0000&quot;E&quot;"/>
  </numFmts>
  <fonts count="39">
    <font>
      <sz val="11.0"/>
      <color theme="1"/>
      <name val="Aptos Narrow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1.0"/>
      <color theme="0"/>
      <name val="Arial"/>
    </font>
    <font>
      <sz val="11.0"/>
      <color rgb="FF0000FF"/>
      <name val="Arial"/>
    </font>
    <font>
      <i/>
      <sz val="11.0"/>
      <color theme="1"/>
      <name val="Arial"/>
    </font>
    <font>
      <b/>
      <sz val="11.0"/>
      <color rgb="FF0000FF"/>
      <name val="Arial"/>
    </font>
    <font>
      <sz val="11.0"/>
      <color rgb="FF548135"/>
      <name val="Arial"/>
    </font>
    <font>
      <sz val="11.0"/>
      <color rgb="FF000000"/>
      <name val="Arial"/>
    </font>
    <font>
      <b/>
      <u/>
      <sz val="11.0"/>
      <color theme="1"/>
      <name val="Arial"/>
    </font>
    <font>
      <i/>
      <sz val="11.0"/>
      <color rgb="FF0000FF"/>
      <name val="Arial"/>
    </font>
    <font>
      <sz val="11.0"/>
      <color rgb="FF7030A0"/>
      <name val="Arial"/>
    </font>
    <font>
      <b/>
      <sz val="11.0"/>
      <color rgb="FFFFFFFF"/>
      <name val="Arial"/>
    </font>
    <font>
      <sz val="11.0"/>
      <color rgb="FF6AA84F"/>
      <name val="Arial"/>
    </font>
    <font>
      <i/>
      <sz val="11.0"/>
      <color rgb="FF7030A0"/>
      <name val="Arial"/>
    </font>
    <font>
      <i/>
      <sz val="11.0"/>
      <color rgb="FF000000"/>
      <name val="Arial"/>
    </font>
    <font>
      <b/>
      <sz val="11.0"/>
      <color rgb="FF000000"/>
      <name val="Arial"/>
    </font>
    <font>
      <b/>
      <i/>
      <sz val="11.0"/>
      <color theme="1"/>
      <name val="Arial"/>
    </font>
    <font>
      <sz val="11.0"/>
      <color rgb="FFFF0000"/>
      <name val="Arial"/>
    </font>
    <font>
      <b/>
      <u/>
      <sz val="11.0"/>
      <color theme="1"/>
      <name val="Arial"/>
    </font>
    <font>
      <b/>
      <i/>
      <sz val="11.0"/>
      <color rgb="FF000000"/>
      <name val="Arial"/>
    </font>
    <font>
      <b/>
      <sz val="11.0"/>
      <color rgb="FFFF0000"/>
      <name val="Arial"/>
    </font>
    <font>
      <b/>
      <i/>
      <sz val="11.0"/>
      <color rgb="FF7030A0"/>
      <name val="Arial"/>
    </font>
    <font>
      <b/>
      <sz val="11.0"/>
      <color rgb="FF7030A0"/>
      <name val="Arial"/>
    </font>
    <font>
      <b/>
      <u/>
      <sz val="11.0"/>
      <color theme="1"/>
      <name val="Arial"/>
    </font>
    <font>
      <i/>
      <sz val="11.0"/>
      <color rgb="FFC00000"/>
      <name val="Arial"/>
    </font>
    <font/>
    <font>
      <sz val="11.0"/>
      <color rgb="FFFFFFFF"/>
      <name val="Arial"/>
    </font>
    <font>
      <sz val="11.0"/>
      <color theme="1"/>
      <name val="Aptos Narrow"/>
    </font>
    <font>
      <b/>
      <sz val="11.0"/>
      <color theme="1"/>
      <name val="Aptos Narrow"/>
    </font>
    <font>
      <sz val="8.0"/>
      <color theme="1"/>
      <name val="Arial"/>
    </font>
    <font>
      <b/>
      <sz val="14.0"/>
      <color theme="1"/>
      <name val="Arial"/>
    </font>
    <font>
      <b/>
      <sz val="8.0"/>
      <color theme="1"/>
      <name val="Arial"/>
    </font>
    <font>
      <sz val="8.0"/>
      <color rgb="FF0000FF"/>
      <name val="Arial"/>
    </font>
    <font>
      <b/>
      <sz val="8.0"/>
      <color rgb="FF0000FF"/>
      <name val="Arial"/>
    </font>
    <font>
      <i/>
      <sz val="8.0"/>
      <color theme="1"/>
      <name val="Arial"/>
    </font>
    <font>
      <i/>
      <sz val="8.0"/>
      <color rgb="FF0000FF"/>
      <name val="Arial"/>
    </font>
    <font>
      <sz val="8.0"/>
      <color rgb="FF000000"/>
      <name val="Arial"/>
    </font>
    <font>
      <sz val="10.0"/>
      <color theme="1"/>
      <name val="Times New Roman"/>
    </font>
  </fonts>
  <fills count="16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rgb="FFFFFFCC"/>
        <bgColor rgb="FFFFFFCC"/>
      </patternFill>
    </fill>
    <fill>
      <patternFill patternType="solid">
        <fgColor theme="4"/>
        <bgColor theme="4"/>
      </patternFill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1E4F5"/>
        <bgColor rgb="FFC1E4F5"/>
      </patternFill>
    </fill>
    <fill>
      <patternFill patternType="solid">
        <fgColor rgb="FF83CAEB"/>
        <bgColor rgb="FF83CAEB"/>
      </patternFill>
    </fill>
    <fill>
      <patternFill patternType="solid">
        <fgColor rgb="FFE8E8E8"/>
        <bgColor rgb="FFE8E8E8"/>
      </patternFill>
    </fill>
    <fill>
      <patternFill patternType="solid">
        <fgColor theme="0"/>
        <bgColor theme="0"/>
      </patternFill>
    </fill>
  </fills>
  <borders count="41">
    <border/>
    <border>
      <bottom style="thin">
        <color rgb="FF000000"/>
      </bottom>
    </border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dotted">
        <color rgb="FF000000"/>
      </left>
      <right/>
      <top style="dotted">
        <color rgb="FF000000"/>
      </top>
      <bottom style="dotted">
        <color rgb="FF000000"/>
      </bottom>
    </border>
    <border>
      <top style="thin">
        <color rgb="FF000000"/>
      </top>
    </border>
    <border>
      <left style="hair">
        <color rgb="FF000000"/>
      </left>
      <right style="hair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0" fontId="1" numFmtId="0" xfId="0" applyBorder="1" applyFont="1"/>
    <xf borderId="2" fillId="2" fontId="3" numFmtId="0" xfId="0" applyBorder="1" applyFill="1" applyFont="1"/>
    <xf borderId="3" fillId="3" fontId="4" numFmtId="39" xfId="0" applyAlignment="1" applyBorder="1" applyFill="1" applyFont="1" applyNumberFormat="1">
      <alignment horizontal="right"/>
    </xf>
    <xf borderId="0" fillId="0" fontId="2" numFmtId="0" xfId="0" applyFont="1"/>
    <xf borderId="0" fillId="0" fontId="2" numFmtId="164" xfId="0" applyFont="1" applyNumberFormat="1"/>
    <xf borderId="0" fillId="0" fontId="5" numFmtId="0" xfId="0" applyAlignment="1" applyFont="1">
      <alignment horizontal="center"/>
    </xf>
    <xf borderId="2" fillId="4" fontId="3" numFmtId="0" xfId="0" applyBorder="1" applyFill="1" applyFont="1"/>
    <xf borderId="0" fillId="0" fontId="6" numFmtId="39" xfId="0" applyAlignment="1" applyFont="1" applyNumberFormat="1">
      <alignment horizontal="right"/>
    </xf>
    <xf borderId="0" fillId="0" fontId="1" numFmtId="0" xfId="0" applyAlignment="1" applyFont="1">
      <alignment horizontal="left"/>
    </xf>
    <xf borderId="4" fillId="3" fontId="6" numFmtId="164" xfId="0" applyAlignment="1" applyBorder="1" applyFont="1" applyNumberFormat="1">
      <alignment horizontal="right"/>
    </xf>
    <xf borderId="3" fillId="3" fontId="4" numFmtId="9" xfId="0" applyAlignment="1" applyBorder="1" applyFont="1" applyNumberFormat="1">
      <alignment horizontal="right"/>
    </xf>
    <xf borderId="0" fillId="0" fontId="1" numFmtId="10" xfId="0" applyFont="1" applyNumberFormat="1"/>
    <xf borderId="3" fillId="3" fontId="4" numFmtId="165" xfId="0" applyAlignment="1" applyBorder="1" applyFont="1" applyNumberFormat="1">
      <alignment horizontal="right"/>
    </xf>
    <xf borderId="0" fillId="0" fontId="2" numFmtId="166" xfId="0" applyAlignment="1" applyFont="1" applyNumberFormat="1">
      <alignment horizontal="right"/>
    </xf>
    <xf borderId="0" fillId="0" fontId="7" numFmtId="37" xfId="0" applyAlignment="1" applyFont="1" applyNumberFormat="1">
      <alignment horizontal="right"/>
    </xf>
    <xf borderId="0" fillId="0" fontId="8" numFmtId="166" xfId="0" applyAlignment="1" applyFont="1" applyNumberFormat="1">
      <alignment horizontal="right"/>
    </xf>
    <xf borderId="3" fillId="3" fontId="8" numFmtId="166" xfId="0" applyAlignment="1" applyBorder="1" applyFont="1" applyNumberFormat="1">
      <alignment horizontal="right"/>
    </xf>
    <xf borderId="0" fillId="0" fontId="8" numFmtId="37" xfId="0" applyAlignment="1" applyFont="1" applyNumberFormat="1">
      <alignment horizontal="right"/>
    </xf>
    <xf borderId="3" fillId="3" fontId="4" numFmtId="37" xfId="0" applyAlignment="1" applyBorder="1" applyFont="1" applyNumberFormat="1">
      <alignment horizontal="right"/>
    </xf>
    <xf borderId="0" fillId="0" fontId="2" numFmtId="166" xfId="0" applyFont="1" applyNumberFormat="1"/>
    <xf borderId="3" fillId="3" fontId="4" numFmtId="167" xfId="0" applyAlignment="1" applyBorder="1" applyFont="1" applyNumberFormat="1">
      <alignment horizontal="right"/>
    </xf>
    <xf borderId="3" fillId="3" fontId="4" numFmtId="0" xfId="0" applyAlignment="1" applyBorder="1" applyFont="1">
      <alignment horizontal="right"/>
    </xf>
    <xf borderId="0" fillId="0" fontId="1" numFmtId="167" xfId="0" applyFont="1" applyNumberFormat="1"/>
    <xf borderId="0" fillId="0" fontId="8" numFmtId="167" xfId="0" applyFont="1" applyNumberFormat="1"/>
    <xf borderId="0" fillId="0" fontId="9" numFmtId="0" xfId="0" applyAlignment="1" applyFont="1">
      <alignment horizontal="right"/>
    </xf>
    <xf borderId="0" fillId="0" fontId="10" numFmtId="10" xfId="0" applyFont="1" applyNumberFormat="1"/>
    <xf borderId="0" fillId="0" fontId="1" numFmtId="37" xfId="0" applyAlignment="1" applyFont="1" applyNumberFormat="1">
      <alignment horizontal="right"/>
    </xf>
    <xf borderId="0" fillId="0" fontId="4" numFmtId="168" xfId="0" applyFont="1" applyNumberFormat="1"/>
    <xf borderId="0" fillId="0" fontId="4" numFmtId="37" xfId="0" applyAlignment="1" applyFont="1" applyNumberFormat="1">
      <alignment horizontal="right"/>
    </xf>
    <xf borderId="0" fillId="0" fontId="1" numFmtId="37" xfId="0" applyFont="1" applyNumberFormat="1"/>
    <xf borderId="0" fillId="0" fontId="10" numFmtId="164" xfId="0" applyFont="1" applyNumberFormat="1"/>
    <xf borderId="5" fillId="5" fontId="2" numFmtId="0" xfId="0" applyBorder="1" applyFill="1" applyFont="1"/>
    <xf borderId="6" fillId="5" fontId="2" numFmtId="0" xfId="0" applyBorder="1" applyFont="1"/>
    <xf borderId="6" fillId="5" fontId="2" numFmtId="37" xfId="0" applyBorder="1" applyFont="1" applyNumberFormat="1"/>
    <xf borderId="6" fillId="5" fontId="2" numFmtId="167" xfId="0" applyBorder="1" applyFont="1" applyNumberFormat="1"/>
    <xf borderId="6" fillId="5" fontId="2" numFmtId="37" xfId="0" applyAlignment="1" applyBorder="1" applyFont="1" applyNumberFormat="1">
      <alignment horizontal="right"/>
    </xf>
    <xf borderId="7" fillId="5" fontId="2" numFmtId="37" xfId="0" applyAlignment="1" applyBorder="1" applyFont="1" applyNumberFormat="1">
      <alignment horizontal="right"/>
    </xf>
    <xf borderId="0" fillId="0" fontId="11" numFmtId="37" xfId="0" applyFont="1" applyNumberFormat="1"/>
    <xf borderId="0" fillId="0" fontId="1" numFmtId="9" xfId="0" applyFont="1" applyNumberFormat="1"/>
    <xf borderId="0" fillId="0" fontId="4" numFmtId="37" xfId="0" applyFont="1" applyNumberFormat="1"/>
    <xf borderId="0" fillId="0" fontId="8" numFmtId="37" xfId="0" applyFont="1" applyNumberFormat="1"/>
    <xf borderId="4" fillId="3" fontId="6" numFmtId="10" xfId="0" applyAlignment="1" applyBorder="1" applyFont="1" applyNumberFormat="1">
      <alignment horizontal="right"/>
    </xf>
    <xf borderId="7" fillId="5" fontId="2" numFmtId="9" xfId="0" applyBorder="1" applyFont="1" applyNumberFormat="1"/>
    <xf borderId="2" fillId="2" fontId="12" numFmtId="0" xfId="0" applyBorder="1" applyFont="1"/>
    <xf borderId="2" fillId="4" fontId="12" numFmtId="0" xfId="0" applyBorder="1" applyFont="1"/>
    <xf borderId="2" fillId="6" fontId="12" numFmtId="0" xfId="0" applyAlignment="1" applyBorder="1" applyFill="1" applyFont="1">
      <alignment horizontal="center"/>
    </xf>
    <xf borderId="0" fillId="0" fontId="3" numFmtId="169" xfId="0" applyAlignment="1" applyFont="1" applyNumberFormat="1">
      <alignment horizontal="center"/>
    </xf>
    <xf borderId="2" fillId="4" fontId="12" numFmtId="14" xfId="0" applyBorder="1" applyFont="1" applyNumberFormat="1"/>
    <xf borderId="2" fillId="4" fontId="3" numFmtId="170" xfId="0" applyAlignment="1" applyBorder="1" applyFont="1" applyNumberFormat="1">
      <alignment horizontal="center"/>
    </xf>
    <xf borderId="0" fillId="0" fontId="13" numFmtId="37" xfId="0" applyFont="1" applyNumberFormat="1"/>
    <xf borderId="0" fillId="0" fontId="5" numFmtId="0" xfId="0" applyAlignment="1" applyFont="1">
      <alignment horizontal="left"/>
    </xf>
    <xf borderId="0" fillId="0" fontId="14" numFmtId="171" xfId="0" applyAlignment="1" applyFont="1" applyNumberFormat="1">
      <alignment horizontal="right"/>
    </xf>
    <xf borderId="0" fillId="0" fontId="15" numFmtId="171" xfId="0" applyAlignment="1" applyFont="1" applyNumberFormat="1">
      <alignment horizontal="right"/>
    </xf>
    <xf borderId="0" fillId="0" fontId="1" numFmtId="4" xfId="0" applyFont="1" applyNumberFormat="1"/>
    <xf borderId="8" fillId="5" fontId="2" numFmtId="0" xfId="0" applyBorder="1" applyFont="1"/>
    <xf borderId="9" fillId="5" fontId="2" numFmtId="0" xfId="0" applyBorder="1" applyFont="1"/>
    <xf borderId="9" fillId="5" fontId="16" numFmtId="37" xfId="0" applyBorder="1" applyFont="1" applyNumberFormat="1"/>
    <xf borderId="10" fillId="5" fontId="2" numFmtId="37" xfId="0" applyBorder="1" applyFont="1" applyNumberFormat="1"/>
    <xf borderId="11" fillId="5" fontId="17" numFmtId="0" xfId="0" applyAlignment="1" applyBorder="1" applyFont="1">
      <alignment horizontal="left"/>
    </xf>
    <xf borderId="12" fillId="5" fontId="2" numFmtId="0" xfId="0" applyBorder="1" applyFont="1"/>
    <xf borderId="12" fillId="5" fontId="17" numFmtId="171" xfId="0" applyAlignment="1" applyBorder="1" applyFont="1" applyNumberFormat="1">
      <alignment horizontal="right"/>
    </xf>
    <xf borderId="13" fillId="5" fontId="17" numFmtId="171" xfId="0" applyAlignment="1" applyBorder="1" applyFont="1" applyNumberFormat="1">
      <alignment horizontal="right"/>
    </xf>
    <xf borderId="14" fillId="7" fontId="11" numFmtId="37" xfId="0" applyBorder="1" applyFill="1" applyFont="1" applyNumberFormat="1"/>
    <xf borderId="0" fillId="0" fontId="18" numFmtId="0" xfId="0" applyFont="1"/>
    <xf borderId="0" fillId="0" fontId="1" numFmtId="166" xfId="0" applyFont="1" applyNumberFormat="1"/>
    <xf borderId="0" fillId="0" fontId="5" numFmtId="171" xfId="0" applyAlignment="1" applyFont="1" applyNumberFormat="1">
      <alignment horizontal="right"/>
    </xf>
    <xf borderId="9" fillId="5" fontId="2" numFmtId="166" xfId="0" applyBorder="1" applyFont="1" applyNumberFormat="1"/>
    <xf borderId="9" fillId="5" fontId="2" numFmtId="37" xfId="0" applyBorder="1" applyFont="1" applyNumberFormat="1"/>
    <xf borderId="0" fillId="0" fontId="19" numFmtId="0" xfId="0" applyFont="1"/>
    <xf borderId="0" fillId="0" fontId="18" numFmtId="37" xfId="0" applyFont="1" applyNumberFormat="1"/>
    <xf borderId="1" fillId="0" fontId="8" numFmtId="37" xfId="0" applyBorder="1" applyFont="1" applyNumberFormat="1"/>
    <xf borderId="1" fillId="0" fontId="18" numFmtId="37" xfId="0" applyBorder="1" applyFont="1" applyNumberFormat="1"/>
    <xf borderId="1" fillId="0" fontId="18" numFmtId="0" xfId="0" applyBorder="1" applyFont="1"/>
    <xf borderId="0" fillId="0" fontId="6" numFmtId="166" xfId="0" applyFont="1" applyNumberFormat="1"/>
    <xf borderId="0" fillId="0" fontId="2" numFmtId="37" xfId="0" applyFont="1" applyNumberFormat="1"/>
    <xf borderId="12" fillId="5" fontId="20" numFmtId="171" xfId="0" applyBorder="1" applyFont="1" applyNumberFormat="1"/>
    <xf borderId="0" fillId="0" fontId="8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15" fillId="0" fontId="8" numFmtId="37" xfId="0" applyBorder="1" applyFont="1" applyNumberFormat="1"/>
    <xf borderId="0" fillId="0" fontId="5" numFmtId="0" xfId="0" applyFont="1"/>
    <xf borderId="0" fillId="0" fontId="15" numFmtId="10" xfId="0" applyFont="1" applyNumberFormat="1"/>
    <xf borderId="4" fillId="3" fontId="20" numFmtId="10" xfId="0" applyAlignment="1" applyBorder="1" applyFont="1" applyNumberFormat="1">
      <alignment horizontal="right"/>
    </xf>
    <xf borderId="15" fillId="0" fontId="16" numFmtId="37" xfId="0" applyBorder="1" applyFont="1" applyNumberFormat="1"/>
    <xf borderId="4" fillId="3" fontId="16" numFmtId="166" xfId="0" applyAlignment="1" applyBorder="1" applyFont="1" applyNumberFormat="1">
      <alignment horizontal="right"/>
    </xf>
    <xf borderId="9" fillId="5" fontId="21" numFmtId="166" xfId="0" applyBorder="1" applyFont="1" applyNumberFormat="1"/>
    <xf borderId="10" fillId="5" fontId="2" numFmtId="166" xfId="0" applyBorder="1" applyFont="1" applyNumberFormat="1"/>
    <xf borderId="12" fillId="5" fontId="17" numFmtId="171" xfId="0" applyBorder="1" applyFont="1" applyNumberFormat="1"/>
    <xf borderId="12" fillId="5" fontId="22" numFmtId="171" xfId="0" applyBorder="1" applyFont="1" applyNumberFormat="1"/>
    <xf borderId="13" fillId="5" fontId="22" numFmtId="171" xfId="0" applyBorder="1" applyFont="1" applyNumberFormat="1"/>
    <xf borderId="9" fillId="5" fontId="16" numFmtId="166" xfId="0" applyBorder="1" applyFont="1" applyNumberFormat="1"/>
    <xf borderId="16" fillId="3" fontId="20" numFmtId="164" xfId="0" applyAlignment="1" applyBorder="1" applyFont="1" applyNumberFormat="1">
      <alignment horizontal="right"/>
    </xf>
    <xf borderId="9" fillId="5" fontId="6" numFmtId="166" xfId="0" applyBorder="1" applyFont="1" applyNumberFormat="1"/>
    <xf borderId="2" fillId="8" fontId="8" numFmtId="0" xfId="0" applyAlignment="1" applyBorder="1" applyFill="1" applyFont="1">
      <alignment horizontal="left"/>
    </xf>
    <xf borderId="2" fillId="4" fontId="3" numFmtId="170" xfId="0" applyBorder="1" applyFont="1" applyNumberFormat="1"/>
    <xf borderId="0" fillId="0" fontId="1" numFmtId="3" xfId="0" applyFont="1" applyNumberFormat="1"/>
    <xf borderId="1" fillId="0" fontId="1" numFmtId="3" xfId="0" applyBorder="1" applyFont="1" applyNumberFormat="1"/>
    <xf borderId="2" fillId="9" fontId="1" numFmtId="0" xfId="0" applyBorder="1" applyFill="1" applyFont="1"/>
    <xf borderId="0" fillId="0" fontId="2" numFmtId="0" xfId="0" applyAlignment="1" applyFont="1">
      <alignment horizontal="left"/>
    </xf>
    <xf borderId="2" fillId="9" fontId="23" numFmtId="37" xfId="0" applyBorder="1" applyFont="1" applyNumberFormat="1"/>
    <xf borderId="15" fillId="0" fontId="2" numFmtId="37" xfId="0" applyBorder="1" applyFont="1" applyNumberFormat="1"/>
    <xf borderId="8" fillId="5" fontId="24" numFmtId="0" xfId="0" applyBorder="1" applyFont="1"/>
    <xf borderId="9" fillId="5" fontId="1" numFmtId="0" xfId="0" applyBorder="1" applyFont="1"/>
    <xf borderId="10" fillId="5" fontId="1" numFmtId="0" xfId="0" applyBorder="1" applyFont="1"/>
    <xf borderId="17" fillId="5" fontId="1" numFmtId="0" xfId="0" applyAlignment="1" applyBorder="1" applyFont="1">
      <alignment horizontal="left"/>
    </xf>
    <xf borderId="2" fillId="5" fontId="1" numFmtId="0" xfId="0" applyBorder="1" applyFont="1"/>
    <xf borderId="2" fillId="5" fontId="1" numFmtId="37" xfId="0" applyBorder="1" applyFont="1" applyNumberFormat="1"/>
    <xf borderId="18" fillId="5" fontId="1" numFmtId="37" xfId="0" applyBorder="1" applyFont="1" applyNumberFormat="1"/>
    <xf borderId="11" fillId="5" fontId="2" numFmtId="0" xfId="0" applyAlignment="1" applyBorder="1" applyFont="1">
      <alignment horizontal="left"/>
    </xf>
    <xf borderId="12" fillId="5" fontId="1" numFmtId="0" xfId="0" applyBorder="1" applyFont="1"/>
    <xf borderId="12" fillId="5" fontId="2" numFmtId="37" xfId="0" applyBorder="1" applyFont="1" applyNumberFormat="1"/>
    <xf borderId="13" fillId="5" fontId="2" numFmtId="37" xfId="0" applyBorder="1" applyFont="1" applyNumberFormat="1"/>
    <xf borderId="0" fillId="0" fontId="25" numFmtId="0" xfId="0" applyFont="1"/>
    <xf borderId="0" fillId="0" fontId="25" numFmtId="0" xfId="0" applyAlignment="1" applyFont="1">
      <alignment horizontal="right"/>
    </xf>
    <xf borderId="0" fillId="0" fontId="5" numFmtId="164" xfId="0" applyFont="1" applyNumberFormat="1"/>
    <xf borderId="0" fillId="0" fontId="14" numFmtId="164" xfId="0" applyFont="1" applyNumberFormat="1"/>
    <xf borderId="0" fillId="0" fontId="15" numFmtId="164" xfId="0" applyFont="1" applyNumberFormat="1"/>
    <xf borderId="0" fillId="0" fontId="5" numFmtId="9" xfId="0" applyFont="1" applyNumberFormat="1"/>
    <xf borderId="1" fillId="0" fontId="1" numFmtId="167" xfId="0" applyBorder="1" applyFont="1" applyNumberFormat="1"/>
    <xf borderId="19" fillId="0" fontId="2" numFmtId="0" xfId="0" applyBorder="1" applyFont="1"/>
    <xf borderId="20" fillId="0" fontId="2" numFmtId="0" xfId="0" applyBorder="1" applyFont="1"/>
    <xf borderId="20" fillId="0" fontId="2" numFmtId="166" xfId="0" applyBorder="1" applyFont="1" applyNumberFormat="1"/>
    <xf borderId="21" fillId="0" fontId="2" numFmtId="37" xfId="0" applyBorder="1" applyFont="1" applyNumberFormat="1"/>
    <xf borderId="9" fillId="5" fontId="2" numFmtId="167" xfId="0" applyBorder="1" applyFont="1" applyNumberFormat="1"/>
    <xf borderId="10" fillId="5" fontId="2" numFmtId="167" xfId="0" applyBorder="1" applyFont="1" applyNumberFormat="1"/>
    <xf borderId="11" fillId="5" fontId="2" numFmtId="0" xfId="0" applyBorder="1" applyFont="1"/>
    <xf borderId="12" fillId="5" fontId="2" numFmtId="164" xfId="0" applyBorder="1" applyFont="1" applyNumberFormat="1"/>
    <xf borderId="13" fillId="5" fontId="2" numFmtId="164" xfId="0" applyBorder="1" applyFont="1" applyNumberFormat="1"/>
    <xf borderId="0" fillId="0" fontId="1" numFmtId="14" xfId="0" applyFont="1" applyNumberFormat="1"/>
    <xf borderId="2" fillId="10" fontId="1" numFmtId="0" xfId="0" applyBorder="1" applyFill="1" applyFont="1"/>
    <xf borderId="0" fillId="0" fontId="2" numFmtId="10" xfId="0" applyFont="1" applyNumberFormat="1"/>
    <xf borderId="1" fillId="0" fontId="2" numFmtId="0" xfId="0" applyAlignment="1" applyBorder="1" applyFont="1">
      <alignment horizontal="center"/>
    </xf>
    <xf borderId="1" fillId="0" fontId="26" numFmtId="0" xfId="0" applyBorder="1" applyFont="1"/>
    <xf borderId="0" fillId="0" fontId="27" numFmtId="10" xfId="0" applyFont="1" applyNumberFormat="1"/>
    <xf borderId="0" fillId="0" fontId="4" numFmtId="10" xfId="0" applyFont="1" applyNumberFormat="1"/>
    <xf borderId="0" fillId="0" fontId="1" numFmtId="0" xfId="0" applyAlignment="1" applyFont="1">
      <alignment horizontal="right" textRotation="90" vertical="center"/>
    </xf>
    <xf borderId="0" fillId="0" fontId="4" numFmtId="167" xfId="0" applyFont="1" applyNumberFormat="1"/>
    <xf borderId="22" fillId="0" fontId="1" numFmtId="164" xfId="0" applyBorder="1" applyFont="1" applyNumberFormat="1"/>
    <xf borderId="15" fillId="0" fontId="1" numFmtId="164" xfId="0" applyBorder="1" applyFont="1" applyNumberFormat="1"/>
    <xf borderId="23" fillId="0" fontId="1" numFmtId="164" xfId="0" applyBorder="1" applyFont="1" applyNumberFormat="1"/>
    <xf borderId="24" fillId="0" fontId="1" numFmtId="164" xfId="0" applyBorder="1" applyFont="1" applyNumberFormat="1"/>
    <xf borderId="0" fillId="0" fontId="1" numFmtId="164" xfId="0" applyFont="1" applyNumberFormat="1"/>
    <xf borderId="25" fillId="0" fontId="1" numFmtId="164" xfId="0" applyBorder="1" applyFont="1" applyNumberFormat="1"/>
    <xf borderId="26" fillId="0" fontId="1" numFmtId="164" xfId="0" applyBorder="1" applyFont="1" applyNumberFormat="1"/>
    <xf borderId="1" fillId="0" fontId="1" numFmtId="164" xfId="0" applyBorder="1" applyFont="1" applyNumberFormat="1"/>
    <xf borderId="27" fillId="0" fontId="1" numFmtId="164" xfId="0" applyBorder="1" applyFont="1" applyNumberFormat="1"/>
    <xf borderId="15" fillId="0" fontId="28" numFmtId="167" xfId="0" applyBorder="1" applyFont="1" applyNumberFormat="1"/>
    <xf borderId="0" fillId="0" fontId="28" numFmtId="166" xfId="0" applyFont="1" applyNumberFormat="1"/>
    <xf borderId="0" fillId="0" fontId="29" numFmtId="0" xfId="0" applyFont="1"/>
    <xf borderId="15" fillId="0" fontId="29" numFmtId="166" xfId="0" applyBorder="1" applyFont="1" applyNumberFormat="1"/>
    <xf borderId="0" fillId="0" fontId="28" numFmtId="37" xfId="0" applyFont="1" applyNumberFormat="1"/>
    <xf borderId="28" fillId="0" fontId="4" numFmtId="10" xfId="0" applyAlignment="1" applyBorder="1" applyFont="1" applyNumberFormat="1">
      <alignment readingOrder="0"/>
    </xf>
    <xf borderId="0" fillId="0" fontId="2" numFmtId="167" xfId="0" applyFont="1" applyNumberFormat="1"/>
    <xf borderId="28" fillId="5" fontId="2" numFmtId="167" xfId="0" applyBorder="1" applyFont="1" applyNumberFormat="1"/>
    <xf borderId="28" fillId="0" fontId="2" numFmtId="167" xfId="0" applyBorder="1" applyFont="1" applyNumberFormat="1"/>
    <xf borderId="15" fillId="0" fontId="2" numFmtId="166" xfId="0" applyBorder="1" applyFont="1" applyNumberFormat="1"/>
    <xf borderId="5" fillId="11" fontId="2" numFmtId="0" xfId="0" applyBorder="1" applyFill="1" applyFont="1"/>
    <xf borderId="6" fillId="11" fontId="2" numFmtId="0" xfId="0" applyBorder="1" applyFont="1"/>
    <xf borderId="6" fillId="11" fontId="2" numFmtId="167" xfId="0" applyBorder="1" applyFont="1" applyNumberFormat="1"/>
    <xf borderId="7" fillId="11" fontId="2" numFmtId="167" xfId="0" applyBorder="1" applyFont="1" applyNumberFormat="1"/>
    <xf borderId="0" fillId="0" fontId="30" numFmtId="0" xfId="0" applyFont="1"/>
    <xf borderId="0" fillId="0" fontId="30" numFmtId="172" xfId="0" applyFont="1" applyNumberFormat="1"/>
    <xf borderId="2" fillId="12" fontId="31" numFmtId="0" xfId="0" applyBorder="1" applyFill="1" applyFont="1"/>
    <xf borderId="2" fillId="12" fontId="30" numFmtId="0" xfId="0" applyBorder="1" applyFont="1"/>
    <xf borderId="29" fillId="0" fontId="30" numFmtId="0" xfId="0" applyBorder="1" applyFont="1"/>
    <xf borderId="29" fillId="0" fontId="30" numFmtId="9" xfId="0" applyBorder="1" applyFont="1" applyNumberFormat="1"/>
    <xf borderId="29" fillId="0" fontId="30" numFmtId="164" xfId="0" applyBorder="1" applyFont="1" applyNumberFormat="1"/>
    <xf borderId="29" fillId="0" fontId="30" numFmtId="10" xfId="0" applyBorder="1" applyFont="1" applyNumberFormat="1"/>
    <xf borderId="0" fillId="0" fontId="30" numFmtId="164" xfId="0" applyFont="1" applyNumberFormat="1"/>
    <xf borderId="30" fillId="13" fontId="32" numFmtId="0" xfId="0" applyAlignment="1" applyBorder="1" applyFill="1" applyFont="1">
      <alignment horizontal="center"/>
    </xf>
    <xf borderId="31" fillId="0" fontId="26" numFmtId="0" xfId="0" applyBorder="1" applyFont="1"/>
    <xf borderId="32" fillId="0" fontId="26" numFmtId="0" xfId="0" applyBorder="1" applyFont="1"/>
    <xf borderId="33" fillId="13" fontId="32" numFmtId="0" xfId="0" applyAlignment="1" applyBorder="1" applyFont="1">
      <alignment horizontal="center"/>
    </xf>
    <xf borderId="33" fillId="13" fontId="32" numFmtId="169" xfId="0" applyAlignment="1" applyBorder="1" applyFont="1" applyNumberFormat="1">
      <alignment horizontal="center"/>
    </xf>
    <xf borderId="30" fillId="13" fontId="32" numFmtId="169" xfId="0" applyAlignment="1" applyBorder="1" applyFont="1" applyNumberFormat="1">
      <alignment horizontal="center"/>
    </xf>
    <xf borderId="2" fillId="12" fontId="32" numFmtId="0" xfId="0" applyAlignment="1" applyBorder="1" applyFont="1">
      <alignment horizontal="center"/>
    </xf>
    <xf borderId="34" fillId="0" fontId="32" numFmtId="0" xfId="0" applyAlignment="1" applyBorder="1" applyFont="1">
      <alignment horizontal="center"/>
    </xf>
    <xf borderId="0" fillId="0" fontId="32" numFmtId="0" xfId="0" applyFont="1"/>
    <xf borderId="34" fillId="0" fontId="30" numFmtId="0" xfId="0" applyBorder="1" applyFont="1"/>
    <xf borderId="0" fillId="0" fontId="30" numFmtId="0" xfId="0" applyAlignment="1" applyFont="1">
      <alignment horizontal="left"/>
    </xf>
    <xf borderId="0" fillId="0" fontId="33" numFmtId="173" xfId="0" applyFont="1" applyNumberFormat="1"/>
    <xf borderId="34" fillId="0" fontId="30" numFmtId="173" xfId="0" applyBorder="1" applyFont="1" applyNumberFormat="1"/>
    <xf borderId="0" fillId="0" fontId="30" numFmtId="173" xfId="0" applyFont="1" applyNumberFormat="1"/>
    <xf borderId="0" fillId="0" fontId="30" numFmtId="174" xfId="0" applyFont="1" applyNumberFormat="1"/>
    <xf borderId="0" fillId="0" fontId="30" numFmtId="175" xfId="0" applyFont="1" applyNumberFormat="1"/>
    <xf borderId="1" fillId="0" fontId="30" numFmtId="0" xfId="0" applyAlignment="1" applyBorder="1" applyFont="1">
      <alignment horizontal="left"/>
    </xf>
    <xf borderId="1" fillId="0" fontId="33" numFmtId="173" xfId="0" applyBorder="1" applyFont="1" applyNumberFormat="1"/>
    <xf borderId="35" fillId="0" fontId="30" numFmtId="173" xfId="0" applyBorder="1" applyFont="1" applyNumberFormat="1"/>
    <xf borderId="1" fillId="0" fontId="30" numFmtId="173" xfId="0" applyBorder="1" applyFont="1" applyNumberFormat="1"/>
    <xf borderId="0" fillId="0" fontId="32" numFmtId="173" xfId="0" applyFont="1" applyNumberFormat="1"/>
    <xf borderId="34" fillId="0" fontId="32" numFmtId="173" xfId="0" applyBorder="1" applyFont="1" applyNumberFormat="1"/>
    <xf borderId="34" fillId="0" fontId="30" numFmtId="9" xfId="0" applyBorder="1" applyFont="1" applyNumberFormat="1"/>
    <xf borderId="34" fillId="0" fontId="33" numFmtId="173" xfId="0" applyBorder="1" applyFont="1" applyNumberFormat="1"/>
    <xf borderId="35" fillId="0" fontId="33" numFmtId="173" xfId="0" applyBorder="1" applyFont="1" applyNumberFormat="1"/>
    <xf borderId="1" fillId="0" fontId="32" numFmtId="0" xfId="0" applyBorder="1" applyFont="1"/>
    <xf borderId="20" fillId="0" fontId="32" numFmtId="173" xfId="0" applyBorder="1" applyFont="1" applyNumberFormat="1"/>
    <xf borderId="20" fillId="0" fontId="30" numFmtId="173" xfId="0" applyBorder="1" applyFont="1" applyNumberFormat="1"/>
    <xf borderId="28" fillId="0" fontId="30" numFmtId="173" xfId="0" applyBorder="1" applyFont="1" applyNumberFormat="1"/>
    <xf borderId="1" fillId="0" fontId="30" numFmtId="0" xfId="0" applyBorder="1" applyFont="1"/>
    <xf borderId="36" fillId="0" fontId="32" numFmtId="173" xfId="0" applyBorder="1" applyFont="1" applyNumberFormat="1"/>
    <xf borderId="37" fillId="0" fontId="32" numFmtId="173" xfId="0" applyBorder="1" applyFont="1" applyNumberFormat="1"/>
    <xf borderId="0" fillId="0" fontId="30" numFmtId="176" xfId="0" applyFont="1" applyNumberFormat="1"/>
    <xf borderId="28" fillId="0" fontId="32" numFmtId="173" xfId="0" applyBorder="1" applyFont="1" applyNumberFormat="1"/>
    <xf borderId="34" fillId="0" fontId="30" numFmtId="172" xfId="0" applyBorder="1" applyFont="1" applyNumberFormat="1"/>
    <xf borderId="0" fillId="0" fontId="30" numFmtId="177" xfId="0" applyFont="1" applyNumberFormat="1"/>
    <xf borderId="34" fillId="0" fontId="30" numFmtId="177" xfId="0" applyBorder="1" applyFont="1" applyNumberFormat="1"/>
    <xf borderId="0" fillId="0" fontId="33" numFmtId="172" xfId="0" applyFont="1" applyNumberFormat="1"/>
    <xf borderId="34" fillId="0" fontId="33" numFmtId="172" xfId="0" applyBorder="1" applyFont="1" applyNumberFormat="1"/>
    <xf borderId="0" fillId="0" fontId="30" numFmtId="178" xfId="0" applyFont="1" applyNumberFormat="1"/>
    <xf borderId="1" fillId="0" fontId="33" numFmtId="172" xfId="0" applyBorder="1" applyFont="1" applyNumberFormat="1"/>
    <xf borderId="35" fillId="0" fontId="33" numFmtId="172" xfId="0" applyBorder="1" applyFont="1" applyNumberFormat="1"/>
    <xf borderId="1" fillId="0" fontId="30" numFmtId="172" xfId="0" applyBorder="1" applyFont="1" applyNumberFormat="1"/>
    <xf borderId="35" fillId="0" fontId="30" numFmtId="172" xfId="0" applyBorder="1" applyFont="1" applyNumberFormat="1"/>
    <xf borderId="0" fillId="0" fontId="30" numFmtId="173" xfId="0" applyAlignment="1" applyFont="1" applyNumberFormat="1">
      <alignment horizontal="left"/>
    </xf>
    <xf borderId="34" fillId="0" fontId="34" numFmtId="173" xfId="0" applyBorder="1" applyFont="1" applyNumberFormat="1"/>
    <xf borderId="0" fillId="0" fontId="34" numFmtId="173" xfId="0" applyFont="1" applyNumberFormat="1"/>
    <xf borderId="0" fillId="0" fontId="35" numFmtId="179" xfId="0" applyAlignment="1" applyFont="1" applyNumberFormat="1">
      <alignment horizontal="right"/>
    </xf>
    <xf borderId="34" fillId="0" fontId="35" numFmtId="179" xfId="0" applyAlignment="1" applyBorder="1" applyFont="1" applyNumberFormat="1">
      <alignment horizontal="right"/>
    </xf>
    <xf borderId="0" fillId="0" fontId="35" numFmtId="164" xfId="0" applyFont="1" applyNumberFormat="1"/>
    <xf borderId="34" fillId="0" fontId="32" numFmtId="180" xfId="0" applyBorder="1" applyFont="1" applyNumberFormat="1"/>
    <xf borderId="34" fillId="0" fontId="30" numFmtId="181" xfId="0" applyBorder="1" applyFont="1" applyNumberFormat="1"/>
    <xf borderId="0" fillId="0" fontId="32" numFmtId="182" xfId="0" applyFont="1" applyNumberFormat="1"/>
    <xf borderId="34" fillId="0" fontId="32" numFmtId="182" xfId="0" applyBorder="1" applyFont="1" applyNumberFormat="1"/>
    <xf borderId="0" fillId="0" fontId="30" numFmtId="182" xfId="0" applyFont="1" applyNumberFormat="1"/>
    <xf borderId="25" fillId="0" fontId="30" numFmtId="173" xfId="0" applyBorder="1" applyFont="1" applyNumberFormat="1"/>
    <xf borderId="2" fillId="14" fontId="30" numFmtId="173" xfId="0" applyBorder="1" applyFill="1" applyFont="1" applyNumberFormat="1"/>
    <xf borderId="38" fillId="14" fontId="30" numFmtId="173" xfId="0" applyBorder="1" applyFont="1" applyNumberFormat="1"/>
    <xf borderId="27" fillId="0" fontId="30" numFmtId="173" xfId="0" applyBorder="1" applyFont="1" applyNumberFormat="1"/>
    <xf borderId="12" fillId="14" fontId="30" numFmtId="173" xfId="0" applyBorder="1" applyFont="1" applyNumberFormat="1"/>
    <xf borderId="39" fillId="14" fontId="30" numFmtId="173" xfId="0" applyBorder="1" applyFont="1" applyNumberFormat="1"/>
    <xf borderId="40" fillId="0" fontId="34" numFmtId="173" xfId="0" applyBorder="1" applyFont="1" applyNumberFormat="1"/>
    <xf borderId="22" fillId="0" fontId="34" numFmtId="173" xfId="0" applyBorder="1" applyFont="1" applyNumberFormat="1"/>
    <xf borderId="40" fillId="0" fontId="32" numFmtId="173" xfId="0" applyBorder="1" applyFont="1" applyNumberFormat="1"/>
    <xf borderId="22" fillId="0" fontId="32" numFmtId="173" xfId="0" applyBorder="1" applyFont="1" applyNumberFormat="1"/>
    <xf borderId="0" fillId="0" fontId="32" numFmtId="172" xfId="0" applyFont="1" applyNumberFormat="1"/>
    <xf borderId="1" fillId="0" fontId="32" numFmtId="173" xfId="0" applyBorder="1" applyFont="1" applyNumberFormat="1"/>
    <xf borderId="27" fillId="0" fontId="32" numFmtId="173" xfId="0" applyBorder="1" applyFont="1" applyNumberFormat="1"/>
    <xf borderId="35" fillId="0" fontId="32" numFmtId="173" xfId="0" applyBorder="1" applyFont="1" applyNumberFormat="1"/>
    <xf borderId="28" fillId="0" fontId="34" numFmtId="173" xfId="0" applyBorder="1" applyFont="1" applyNumberFormat="1"/>
    <xf borderId="20" fillId="0" fontId="34" numFmtId="173" xfId="0" applyBorder="1" applyFont="1" applyNumberFormat="1"/>
    <xf borderId="34" fillId="0" fontId="30" numFmtId="164" xfId="0" applyBorder="1" applyFont="1" applyNumberFormat="1"/>
    <xf borderId="24" fillId="0" fontId="33" numFmtId="173" xfId="0" applyBorder="1" applyFont="1" applyNumberFormat="1"/>
    <xf borderId="2" fillId="15" fontId="30" numFmtId="173" xfId="0" applyBorder="1" applyFill="1" applyFont="1" applyNumberFormat="1"/>
    <xf borderId="2" fillId="5" fontId="30" numFmtId="173" xfId="0" applyBorder="1" applyFont="1" applyNumberFormat="1"/>
    <xf borderId="38" fillId="5" fontId="30" numFmtId="173" xfId="0" applyBorder="1" applyFont="1" applyNumberFormat="1"/>
    <xf borderId="25" fillId="0" fontId="33" numFmtId="173" xfId="0" applyBorder="1" applyFont="1" applyNumberFormat="1"/>
    <xf borderId="0" fillId="0" fontId="30" numFmtId="9" xfId="0" applyFont="1" applyNumberFormat="1"/>
    <xf borderId="26" fillId="0" fontId="30" numFmtId="172" xfId="0" applyBorder="1" applyFont="1" applyNumberFormat="1"/>
    <xf borderId="1" fillId="0" fontId="30" numFmtId="174" xfId="0" applyBorder="1" applyFont="1" applyNumberFormat="1"/>
    <xf borderId="0" fillId="0" fontId="32" numFmtId="174" xfId="0" applyFont="1" applyNumberFormat="1"/>
    <xf borderId="0" fillId="0" fontId="35" numFmtId="179" xfId="0" applyFont="1" applyNumberFormat="1"/>
    <xf borderId="34" fillId="0" fontId="35" numFmtId="179" xfId="0" applyBorder="1" applyFont="1" applyNumberFormat="1"/>
    <xf borderId="34" fillId="0" fontId="32" numFmtId="172" xfId="0" applyBorder="1" applyFont="1" applyNumberFormat="1"/>
    <xf borderId="0" fillId="0" fontId="34" numFmtId="172" xfId="0" applyFont="1" applyNumberFormat="1"/>
    <xf borderId="0" fillId="0" fontId="36" numFmtId="164" xfId="0" applyFont="1" applyNumberFormat="1"/>
    <xf borderId="36" fillId="0" fontId="32" numFmtId="0" xfId="0" applyBorder="1" applyFont="1"/>
    <xf borderId="34" fillId="0" fontId="36" numFmtId="179" xfId="0" applyAlignment="1" applyBorder="1" applyFont="1" applyNumberFormat="1">
      <alignment horizontal="right"/>
    </xf>
    <xf borderId="34" fillId="0" fontId="35" numFmtId="164" xfId="0" applyBorder="1" applyFont="1" applyNumberFormat="1"/>
    <xf borderId="0" fillId="0" fontId="36" numFmtId="179" xfId="0" applyFont="1" applyNumberFormat="1"/>
    <xf borderId="34" fillId="0" fontId="36" numFmtId="164" xfId="0" applyBorder="1" applyFont="1" applyNumberFormat="1"/>
    <xf borderId="34" fillId="0" fontId="36" numFmtId="179" xfId="0" applyBorder="1" applyFont="1" applyNumberFormat="1"/>
    <xf borderId="0" fillId="0" fontId="32" numFmtId="183" xfId="0" applyFont="1" applyNumberFormat="1"/>
    <xf borderId="34" fillId="0" fontId="32" numFmtId="183" xfId="0" applyBorder="1" applyFont="1" applyNumberFormat="1"/>
    <xf borderId="0" fillId="0" fontId="35" numFmtId="172" xfId="0" applyFont="1" applyNumberFormat="1"/>
    <xf borderId="0" fillId="0" fontId="35" numFmtId="174" xfId="0" applyFont="1" applyNumberFormat="1"/>
    <xf borderId="34" fillId="0" fontId="30" numFmtId="179" xfId="0" applyBorder="1" applyFont="1" applyNumberFormat="1"/>
    <xf borderId="1" fillId="0" fontId="32" numFmtId="0" xfId="0" applyAlignment="1" applyBorder="1" applyFont="1">
      <alignment horizontal="left"/>
    </xf>
    <xf borderId="24" fillId="0" fontId="30" numFmtId="173" xfId="0" applyBorder="1" applyFont="1" applyNumberFormat="1"/>
    <xf borderId="36" fillId="0" fontId="30" numFmtId="173" xfId="0" applyBorder="1" applyFont="1" applyNumberFormat="1"/>
    <xf borderId="37" fillId="0" fontId="30" numFmtId="173" xfId="0" applyBorder="1" applyFont="1" applyNumberFormat="1"/>
    <xf borderId="0" fillId="0" fontId="30" numFmtId="1" xfId="0" applyFont="1" applyNumberFormat="1"/>
    <xf borderId="0" fillId="0" fontId="32" numFmtId="177" xfId="0" applyFont="1" applyNumberFormat="1"/>
    <xf borderId="0" fillId="0" fontId="30" numFmtId="184" xfId="0" applyFont="1" applyNumberFormat="1"/>
    <xf borderId="1" fillId="0" fontId="32" numFmtId="172" xfId="0" applyBorder="1" applyFont="1" applyNumberFormat="1"/>
    <xf borderId="35" fillId="0" fontId="32" numFmtId="172" xfId="0" applyBorder="1" applyFont="1" applyNumberFormat="1"/>
    <xf borderId="34" fillId="0" fontId="35" numFmtId="172" xfId="0" applyBorder="1" applyFont="1" applyNumberFormat="1"/>
    <xf borderId="1" fillId="0" fontId="35" numFmtId="164" xfId="0" applyBorder="1" applyFont="1" applyNumberFormat="1"/>
    <xf borderId="35" fillId="0" fontId="35" numFmtId="172" xfId="0" applyBorder="1" applyFont="1" applyNumberFormat="1"/>
    <xf borderId="1" fillId="0" fontId="36" numFmtId="164" xfId="0" applyBorder="1" applyFont="1" applyNumberFormat="1"/>
    <xf borderId="15" fillId="0" fontId="30" numFmtId="0" xfId="0" applyBorder="1" applyFont="1"/>
    <xf borderId="15" fillId="0" fontId="30" numFmtId="173" xfId="0" applyAlignment="1" applyBorder="1" applyFont="1" applyNumberFormat="1">
      <alignment horizontal="right"/>
    </xf>
    <xf borderId="40" fillId="0" fontId="30" numFmtId="173" xfId="0" applyAlignment="1" applyBorder="1" applyFont="1" applyNumberFormat="1">
      <alignment horizontal="right"/>
    </xf>
    <xf borderId="0" fillId="0" fontId="30" numFmtId="173" xfId="0" applyAlignment="1" applyFont="1" applyNumberFormat="1">
      <alignment horizontal="right"/>
    </xf>
    <xf borderId="34" fillId="0" fontId="30" numFmtId="173" xfId="0" applyAlignment="1" applyBorder="1" applyFont="1" applyNumberFormat="1">
      <alignment horizontal="right"/>
    </xf>
    <xf borderId="24" fillId="0" fontId="30" numFmtId="0" xfId="0" applyBorder="1" applyFont="1"/>
    <xf borderId="0" fillId="0" fontId="30" numFmtId="9" xfId="0" applyAlignment="1" applyFont="1" applyNumberFormat="1">
      <alignment horizontal="right"/>
    </xf>
    <xf borderId="34" fillId="0" fontId="30" numFmtId="9" xfId="0" applyAlignment="1" applyBorder="1" applyFont="1" applyNumberFormat="1">
      <alignment horizontal="right"/>
    </xf>
    <xf borderId="0" fillId="0" fontId="30" numFmtId="4" xfId="0" applyAlignment="1" applyFont="1" applyNumberFormat="1">
      <alignment horizontal="right"/>
    </xf>
    <xf borderId="34" fillId="0" fontId="30" numFmtId="4" xfId="0" applyAlignment="1" applyBorder="1" applyFont="1" applyNumberFormat="1">
      <alignment horizontal="right"/>
    </xf>
    <xf borderId="1" fillId="0" fontId="30" numFmtId="173" xfId="0" applyAlignment="1" applyBorder="1" applyFont="1" applyNumberFormat="1">
      <alignment horizontal="right"/>
    </xf>
    <xf borderId="35" fillId="0" fontId="30" numFmtId="173" xfId="0" applyAlignment="1" applyBorder="1" applyFont="1" applyNumberFormat="1">
      <alignment horizontal="right"/>
    </xf>
    <xf borderId="0" fillId="0" fontId="37" numFmtId="0" xfId="0" applyAlignment="1" applyFont="1">
      <alignment horizontal="right" vertical="center"/>
    </xf>
    <xf borderId="0" fillId="0" fontId="38" numFmtId="0" xfId="0" applyFont="1"/>
    <xf borderId="9" fillId="13" fontId="32" numFmtId="0" xfId="0" applyAlignment="1" applyBorder="1" applyFont="1">
      <alignment horizontal="center"/>
    </xf>
    <xf borderId="20" fillId="0" fontId="32" numFmtId="0" xfId="0" applyBorder="1" applyFont="1"/>
    <xf borderId="0" fillId="0" fontId="35" numFmtId="0" xfId="0" applyFont="1"/>
    <xf borderId="0" fillId="0" fontId="35" numFmtId="178" xfId="0" applyFont="1" applyNumberFormat="1"/>
    <xf borderId="0" fillId="0" fontId="35" numFmtId="175" xfId="0" applyFont="1" applyNumberFormat="1"/>
    <xf borderId="33" fillId="13" fontId="32" numFmtId="185" xfId="0" applyAlignment="1" applyBorder="1" applyFont="1" applyNumberFormat="1">
      <alignment horizontal="center"/>
    </xf>
    <xf borderId="30" fillId="13" fontId="32" numFmtId="185" xfId="0" applyAlignment="1" applyBorder="1" applyFont="1" applyNumberFormat="1">
      <alignment horizontal="center"/>
    </xf>
    <xf borderId="0" fillId="0" fontId="30" numFmtId="0" xfId="0" applyAlignment="1" applyFont="1">
      <alignment shrinkToFit="0" wrapText="1"/>
    </xf>
    <xf borderId="12" fillId="5" fontId="30" numFmtId="173" xfId="0" applyBorder="1" applyFont="1" applyNumberFormat="1"/>
    <xf borderId="20" fillId="0" fontId="30" numFmtId="0" xfId="0" applyBorder="1" applyFont="1"/>
    <xf borderId="6" fillId="5" fontId="30" numFmtId="173" xfId="0" applyBorder="1" applyFont="1" applyNumberFormat="1"/>
    <xf borderId="0" fillId="0" fontId="35" numFmtId="173" xfId="0" applyFont="1" applyNumberFormat="1"/>
    <xf borderId="34" fillId="0" fontId="35" numFmtId="173" xfId="0" applyBorder="1" applyFont="1" applyNumberFormat="1"/>
    <xf borderId="39" fillId="5" fontId="30" numFmtId="173" xfId="0" applyBorder="1" applyFont="1" applyNumberFormat="1"/>
    <xf borderId="12" fillId="12" fontId="32" numFmtId="0" xfId="0" applyAlignment="1" applyBorder="1" applyFont="1">
      <alignment horizontal="center"/>
    </xf>
    <xf borderId="35" fillId="0" fontId="32" numFmtId="0" xfId="0" applyAlignment="1" applyBorder="1" applyFont="1">
      <alignment horizontal="center"/>
    </xf>
    <xf borderId="0" fillId="0" fontId="30" numFmtId="172" xfId="0" applyAlignment="1" applyFont="1" applyNumberFormat="1">
      <alignment horizontal="left"/>
    </xf>
    <xf borderId="1" fillId="0" fontId="30" numFmtId="172" xfId="0" applyAlignment="1" applyBorder="1" applyFont="1" applyNumberFormat="1">
      <alignment horizontal="left"/>
    </xf>
    <xf borderId="20" fillId="0" fontId="32" numFmtId="172" xfId="0" applyBorder="1" applyFont="1" applyNumberFormat="1"/>
    <xf borderId="20" fillId="0" fontId="33" numFmtId="172" xfId="0" applyBorder="1" applyFont="1" applyNumberFormat="1"/>
    <xf borderId="28" fillId="0" fontId="33" numFmtId="172" xfId="0" applyBorder="1" applyFont="1" applyNumberFormat="1"/>
    <xf borderId="20" fillId="0" fontId="30" numFmtId="172" xfId="0" applyBorder="1" applyFont="1" applyNumberFormat="1"/>
    <xf borderId="34" fillId="0" fontId="34" numFmtId="172" xfId="0" applyBorder="1" applyFont="1" applyNumberFormat="1"/>
    <xf borderId="1" fillId="0" fontId="34" numFmtId="172" xfId="0" applyBorder="1" applyFont="1" applyNumberFormat="1"/>
    <xf borderId="35" fillId="0" fontId="34" numFmtId="172" xfId="0" applyBorder="1" applyFont="1" applyNumberFormat="1"/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 outlineLevelRow="1"/>
  <cols>
    <col customWidth="1" min="1" max="1" width="3.25"/>
    <col customWidth="1" min="2" max="26" width="13.7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</v>
      </c>
      <c r="B4" s="6" t="s">
        <v>2</v>
      </c>
      <c r="C4" s="6"/>
      <c r="D4" s="6"/>
      <c r="E4" s="6"/>
      <c r="F4" s="6"/>
      <c r="G4" s="6"/>
      <c r="H4" s="6"/>
      <c r="I4" s="6"/>
      <c r="J4" s="6"/>
      <c r="K4" s="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.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2" t="s">
        <v>3</v>
      </c>
      <c r="C6" s="2"/>
      <c r="D6" s="2"/>
      <c r="E6" s="7" t="s">
        <v>4</v>
      </c>
      <c r="F6" s="2"/>
      <c r="G6" s="2"/>
      <c r="H6" s="2"/>
      <c r="I6" s="2"/>
      <c r="J6" s="8" t="s">
        <v>5</v>
      </c>
      <c r="K6" s="9">
        <f>K166</f>
        <v>0.1621784554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/>
      <c r="B7" s="2"/>
      <c r="C7" s="2"/>
      <c r="D7" s="2"/>
      <c r="E7" s="2"/>
      <c r="F7" s="10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</v>
      </c>
      <c r="B9" s="6" t="s">
        <v>6</v>
      </c>
      <c r="C9" s="6"/>
      <c r="D9" s="6"/>
      <c r="E9" s="6"/>
      <c r="F9" s="6"/>
      <c r="G9" s="6"/>
      <c r="H9" s="6"/>
      <c r="I9" s="6"/>
      <c r="J9" s="6"/>
      <c r="K9" s="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.5" customHeight="1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/>
      <c r="B11" s="11" t="s">
        <v>7</v>
      </c>
      <c r="C11" s="11"/>
      <c r="D11" s="11"/>
      <c r="E11" s="11"/>
      <c r="F11" s="2"/>
      <c r="G11" s="2"/>
      <c r="H11" s="11" t="s">
        <v>8</v>
      </c>
      <c r="I11" s="11"/>
      <c r="J11" s="11"/>
      <c r="K11" s="1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/>
      <c r="B12" s="2" t="s">
        <v>9</v>
      </c>
      <c r="C12" s="2"/>
      <c r="D12" s="2"/>
      <c r="E12" s="7" t="s">
        <v>10</v>
      </c>
      <c r="F12" s="2"/>
      <c r="G12" s="2"/>
      <c r="H12" s="8" t="s">
        <v>11</v>
      </c>
      <c r="I12" s="2"/>
      <c r="J12" s="2"/>
      <c r="K12" s="12">
        <f>E14*(1+K13)</f>
        <v>113.751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/>
      <c r="B13" s="2" t="s">
        <v>12</v>
      </c>
      <c r="C13" s="2"/>
      <c r="D13" s="2"/>
      <c r="E13" s="7" t="s">
        <v>13</v>
      </c>
      <c r="F13" s="2"/>
      <c r="G13" s="2"/>
      <c r="H13" s="13" t="s">
        <v>14</v>
      </c>
      <c r="I13" s="2"/>
      <c r="J13" s="2"/>
      <c r="K13" s="14">
        <f>L13</f>
        <v>0.1</v>
      </c>
      <c r="L13" s="15">
        <v>0.1</v>
      </c>
      <c r="M13" s="16">
        <f t="shared" ref="M13:S13" si="1">E180</f>
        <v>0.05</v>
      </c>
      <c r="N13" s="16">
        <f t="shared" si="1"/>
        <v>0.1</v>
      </c>
      <c r="O13" s="16">
        <f t="shared" si="1"/>
        <v>0.15</v>
      </c>
      <c r="P13" s="16">
        <f t="shared" si="1"/>
        <v>0.2</v>
      </c>
      <c r="Q13" s="16">
        <f t="shared" si="1"/>
        <v>0.25</v>
      </c>
      <c r="R13" s="16">
        <f t="shared" si="1"/>
        <v>0.3</v>
      </c>
      <c r="S13" s="16">
        <f t="shared" si="1"/>
        <v>0.35</v>
      </c>
      <c r="T13" s="2"/>
      <c r="U13" s="2"/>
      <c r="V13" s="2"/>
      <c r="W13" s="2"/>
      <c r="X13" s="2"/>
      <c r="Y13" s="2"/>
      <c r="Z13" s="2"/>
    </row>
    <row r="14">
      <c r="A14" s="1"/>
      <c r="B14" s="2" t="s">
        <v>15</v>
      </c>
      <c r="C14" s="2"/>
      <c r="D14" s="2"/>
      <c r="E14" s="7">
        <v>103.41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/>
      <c r="B15" s="2" t="s">
        <v>16</v>
      </c>
      <c r="C15" s="2"/>
      <c r="D15" s="2"/>
      <c r="E15" s="17">
        <v>45980.0</v>
      </c>
      <c r="F15" s="2"/>
      <c r="G15" s="2"/>
      <c r="H15" s="8" t="s">
        <v>17</v>
      </c>
      <c r="I15" s="2"/>
      <c r="J15" s="2"/>
      <c r="K15" s="18">
        <f>K16*(K12*(1+K13))</f>
        <v>10423.00413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/>
      <c r="B16" s="2"/>
      <c r="C16" s="2"/>
      <c r="D16" s="2"/>
      <c r="E16" s="2"/>
      <c r="F16" s="2"/>
      <c r="G16" s="2"/>
      <c r="H16" s="2" t="s">
        <v>18</v>
      </c>
      <c r="I16" s="2"/>
      <c r="J16" s="2"/>
      <c r="K16" s="19">
        <v>83.3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/>
      <c r="B18" s="11" t="s">
        <v>19</v>
      </c>
      <c r="C18" s="11"/>
      <c r="D18" s="11"/>
      <c r="E18" s="11"/>
      <c r="F18" s="2"/>
      <c r="G18" s="2"/>
      <c r="H18" s="13" t="s">
        <v>20</v>
      </c>
      <c r="I18" s="2"/>
      <c r="J18" s="2"/>
      <c r="K18" s="20">
        <f t="shared" ref="K18:K19" si="2">E20</f>
        <v>2157.629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/>
      <c r="B19" s="2" t="s">
        <v>21</v>
      </c>
      <c r="C19" s="2"/>
      <c r="D19" s="2"/>
      <c r="E19" s="21">
        <f>F81</f>
        <v>572.0020724</v>
      </c>
      <c r="F19" s="2" t="s">
        <v>22</v>
      </c>
      <c r="G19" s="2"/>
      <c r="H19" s="13" t="s">
        <v>23</v>
      </c>
      <c r="I19" s="2"/>
      <c r="J19" s="2"/>
      <c r="K19" s="22">
        <f t="shared" si="2"/>
        <v>499.771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/>
      <c r="B20" s="2" t="s">
        <v>20</v>
      </c>
      <c r="C20" s="2"/>
      <c r="D20" s="2"/>
      <c r="E20" s="23">
        <f>22.5+2135.129</f>
        <v>2157.629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/>
      <c r="B21" s="2" t="s">
        <v>23</v>
      </c>
      <c r="C21" s="2"/>
      <c r="D21" s="2"/>
      <c r="E21" s="23">
        <f>329.02+56.388+114.363</f>
        <v>499.771</v>
      </c>
      <c r="F21" s="2"/>
      <c r="G21" s="2"/>
      <c r="H21" s="8" t="s">
        <v>24</v>
      </c>
      <c r="I21" s="2"/>
      <c r="J21" s="2"/>
      <c r="K21" s="24">
        <f>K15+K18-K19</f>
        <v>12080.86213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/>
      <c r="B22" s="2" t="s">
        <v>25</v>
      </c>
      <c r="C22" s="2"/>
      <c r="D22" s="2"/>
      <c r="E22" s="23">
        <v>56.0</v>
      </c>
      <c r="F22" s="2"/>
      <c r="G22" s="2"/>
      <c r="H22" s="2" t="s">
        <v>21</v>
      </c>
      <c r="I22" s="2"/>
      <c r="J22" s="2"/>
      <c r="K22" s="22">
        <f>E19</f>
        <v>572.0020724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/>
      <c r="B23" s="2" t="s">
        <v>26</v>
      </c>
      <c r="C23" s="2"/>
      <c r="D23" s="2"/>
      <c r="E23" s="25">
        <v>18.0</v>
      </c>
      <c r="F23" s="26">
        <v>20.0</v>
      </c>
      <c r="G23" s="2"/>
      <c r="H23" s="8" t="s">
        <v>27</v>
      </c>
      <c r="I23" s="2"/>
      <c r="J23" s="2"/>
      <c r="K23" s="27">
        <f>K21/K22</f>
        <v>21.12031182</v>
      </c>
      <c r="L23" s="2"/>
      <c r="M23" s="28">
        <f>D181</f>
        <v>11</v>
      </c>
      <c r="N23" s="27">
        <f t="shared" ref="N23:T23" si="3">M23+$M$188</f>
        <v>12</v>
      </c>
      <c r="O23" s="27">
        <f t="shared" si="3"/>
        <v>13</v>
      </c>
      <c r="P23" s="27">
        <f t="shared" si="3"/>
        <v>14</v>
      </c>
      <c r="Q23" s="27">
        <f t="shared" si="3"/>
        <v>15</v>
      </c>
      <c r="R23" s="27">
        <f t="shared" si="3"/>
        <v>16</v>
      </c>
      <c r="S23" s="27">
        <f t="shared" si="3"/>
        <v>17</v>
      </c>
      <c r="T23" s="27">
        <f t="shared" si="3"/>
        <v>18</v>
      </c>
      <c r="U23" s="2"/>
      <c r="V23" s="2"/>
      <c r="W23" s="2"/>
      <c r="X23" s="2"/>
      <c r="Y23" s="2"/>
      <c r="Z23" s="2"/>
    </row>
    <row r="24" ht="15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/>
      <c r="B25" s="11" t="s">
        <v>28</v>
      </c>
      <c r="C25" s="11"/>
      <c r="D25" s="11"/>
      <c r="E25" s="11"/>
      <c r="F25" s="11"/>
      <c r="G25" s="11"/>
      <c r="H25" s="11"/>
      <c r="I25" s="11"/>
      <c r="J25" s="11"/>
      <c r="K25" s="1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/>
      <c r="B26" s="2"/>
      <c r="C26" s="2"/>
      <c r="D26" s="2"/>
      <c r="E26" s="29" t="s">
        <v>29</v>
      </c>
      <c r="F26" s="29" t="s">
        <v>30</v>
      </c>
      <c r="G26" s="29" t="s">
        <v>31</v>
      </c>
      <c r="H26" s="29" t="s">
        <v>32</v>
      </c>
      <c r="I26" s="29" t="s">
        <v>33</v>
      </c>
      <c r="J26" s="29" t="s">
        <v>34</v>
      </c>
      <c r="K26" s="29" t="s">
        <v>35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/>
      <c r="B27" s="2" t="s">
        <v>36</v>
      </c>
      <c r="C27" s="2"/>
      <c r="D27" s="2"/>
      <c r="E27" s="22">
        <f>D35</f>
        <v>3432.012434</v>
      </c>
      <c r="F27" s="27">
        <f>E27/$E$19</f>
        <v>6</v>
      </c>
      <c r="G27" s="14">
        <v>0.075</v>
      </c>
      <c r="H27" s="30">
        <f>J40</f>
        <v>0.0035</v>
      </c>
      <c r="I27" s="31">
        <f>H27*E27</f>
        <v>12.01204352</v>
      </c>
      <c r="J27" s="32">
        <v>5.0</v>
      </c>
      <c r="K27" s="31">
        <f>0.05*E27</f>
        <v>171.6006217</v>
      </c>
      <c r="L27" s="2" t="s">
        <v>37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4.5" customHeight="1">
      <c r="A28" s="1"/>
      <c r="B28" s="2"/>
      <c r="C28" s="2"/>
      <c r="D28" s="2"/>
      <c r="E28" s="33"/>
      <c r="F28" s="34"/>
      <c r="G28" s="35"/>
      <c r="H28" s="35"/>
      <c r="I28" s="31"/>
      <c r="J28" s="32"/>
      <c r="K28" s="3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/>
      <c r="B29" s="36" t="s">
        <v>38</v>
      </c>
      <c r="C29" s="37"/>
      <c r="D29" s="37"/>
      <c r="E29" s="38">
        <f t="shared" ref="E29:F29" si="4">SUM(E27)</f>
        <v>3432.012434</v>
      </c>
      <c r="F29" s="39">
        <f t="shared" si="4"/>
        <v>6</v>
      </c>
      <c r="G29" s="37"/>
      <c r="H29" s="37"/>
      <c r="I29" s="40">
        <f>SUM(I27)</f>
        <v>12.01204352</v>
      </c>
      <c r="J29" s="37"/>
      <c r="K29" s="41">
        <f>SUM(K27)</f>
        <v>171.6006217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 t="s">
        <v>1</v>
      </c>
      <c r="B31" s="6" t="s">
        <v>39</v>
      </c>
      <c r="C31" s="6"/>
      <c r="D31" s="6"/>
      <c r="E31" s="6"/>
      <c r="F31" s="6"/>
      <c r="G31" s="6"/>
      <c r="H31" s="6"/>
      <c r="I31" s="6"/>
      <c r="J31" s="6"/>
      <c r="K31" s="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.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/>
      <c r="B33" s="11" t="s">
        <v>40</v>
      </c>
      <c r="C33" s="11"/>
      <c r="D33" s="11"/>
      <c r="E33" s="11"/>
      <c r="F33" s="11"/>
      <c r="G33" s="2"/>
      <c r="H33" s="11" t="s">
        <v>41</v>
      </c>
      <c r="I33" s="11"/>
      <c r="J33" s="11"/>
      <c r="K33" s="1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/>
      <c r="B34" s="2"/>
      <c r="C34" s="2"/>
      <c r="D34" s="29" t="s">
        <v>29</v>
      </c>
      <c r="E34" s="29" t="s">
        <v>30</v>
      </c>
      <c r="F34" s="29" t="s">
        <v>42</v>
      </c>
      <c r="G34" s="2"/>
      <c r="H34" s="2"/>
      <c r="I34" s="29" t="s">
        <v>29</v>
      </c>
      <c r="J34" s="29" t="s">
        <v>30</v>
      </c>
      <c r="K34" s="29" t="s">
        <v>42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/>
      <c r="B35" s="2" t="str">
        <f>B27</f>
        <v>Secured term loan - USD tranche</v>
      </c>
      <c r="C35" s="2"/>
      <c r="D35" s="42">
        <f>E35*E19</f>
        <v>3432.012434</v>
      </c>
      <c r="E35" s="25">
        <v>6.0</v>
      </c>
      <c r="F35" s="43">
        <f t="shared" ref="F35:F37" si="5">D35/$D$42</f>
        <v>0.270044777</v>
      </c>
      <c r="G35" s="2"/>
      <c r="H35" s="2" t="s">
        <v>43</v>
      </c>
      <c r="I35" s="42">
        <f>K15</f>
        <v>10423.00413</v>
      </c>
      <c r="J35" s="27">
        <f t="shared" ref="J35:J37" si="6">I35/$E$19</f>
        <v>18.22196917</v>
      </c>
      <c r="K35" s="16">
        <f t="shared" ref="K35:K37" si="7">I35/$I$42</f>
        <v>0.8201246004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/>
      <c r="B36" s="2" t="s">
        <v>44</v>
      </c>
      <c r="C36" s="2"/>
      <c r="D36" s="34">
        <f>E21</f>
        <v>499.771</v>
      </c>
      <c r="E36" s="27">
        <f t="shared" ref="E36:E37" si="8">D36/$E$19</f>
        <v>0.8737223589</v>
      </c>
      <c r="F36" s="43">
        <f t="shared" si="5"/>
        <v>0.0393240266</v>
      </c>
      <c r="G36" s="2"/>
      <c r="H36" s="2" t="s">
        <v>45</v>
      </c>
      <c r="I36" s="42">
        <f>K18</f>
        <v>2157.629</v>
      </c>
      <c r="J36" s="27">
        <f t="shared" si="6"/>
        <v>3.772065005</v>
      </c>
      <c r="K36" s="16">
        <f t="shared" si="7"/>
        <v>0.1697710755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/>
      <c r="B37" s="2" t="s">
        <v>46</v>
      </c>
      <c r="C37" s="2"/>
      <c r="D37" s="34">
        <f>D42-SUM(D35:D36)</f>
        <v>8777.26605</v>
      </c>
      <c r="E37" s="27">
        <f t="shared" si="8"/>
        <v>15.34481512</v>
      </c>
      <c r="F37" s="43">
        <f t="shared" si="5"/>
        <v>0.6906311964</v>
      </c>
      <c r="G37" s="2"/>
      <c r="H37" s="2" t="s">
        <v>47</v>
      </c>
      <c r="I37" s="42">
        <f>$E$22</f>
        <v>56</v>
      </c>
      <c r="J37" s="27">
        <f t="shared" si="6"/>
        <v>0.0979017432</v>
      </c>
      <c r="K37" s="16">
        <f t="shared" si="7"/>
        <v>0.004406309069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G38" s="2"/>
      <c r="H38" s="2"/>
      <c r="I38" s="44"/>
      <c r="J38" s="29" t="s">
        <v>48</v>
      </c>
      <c r="K38" s="16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2"/>
      <c r="C39" s="2"/>
      <c r="D39" s="2"/>
      <c r="E39" s="2"/>
      <c r="F39" s="2"/>
      <c r="G39" s="2"/>
      <c r="H39" s="2" t="s">
        <v>49</v>
      </c>
      <c r="I39" s="45">
        <f>J39*K21</f>
        <v>60.40431065</v>
      </c>
      <c r="J39" s="46">
        <v>0.005</v>
      </c>
      <c r="K39" s="16">
        <f t="shared" ref="K39:K40" si="9">I39/$I$42</f>
        <v>0.004752858247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2"/>
      <c r="C40" s="2"/>
      <c r="D40" s="34"/>
      <c r="E40" s="27"/>
      <c r="F40" s="43"/>
      <c r="G40" s="2"/>
      <c r="H40" s="2" t="s">
        <v>50</v>
      </c>
      <c r="I40" s="45">
        <f>J40*D35</f>
        <v>12.01204352</v>
      </c>
      <c r="J40" s="46">
        <v>0.0035</v>
      </c>
      <c r="K40" s="16">
        <f t="shared" si="9"/>
        <v>0.0009451567197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4.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36" t="s">
        <v>38</v>
      </c>
      <c r="C42" s="37"/>
      <c r="D42" s="38">
        <f>I42</f>
        <v>12709.04948</v>
      </c>
      <c r="E42" s="39"/>
      <c r="F42" s="47">
        <f>SUM(F35:F37)</f>
        <v>1</v>
      </c>
      <c r="G42" s="8"/>
      <c r="H42" s="36"/>
      <c r="I42" s="38">
        <f>SUM(I35:I40)</f>
        <v>12709.04948</v>
      </c>
      <c r="J42" s="39"/>
      <c r="K42" s="47">
        <f>SUM(K35:K40)</f>
        <v>1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 t="s">
        <v>1</v>
      </c>
      <c r="B44" s="48" t="s">
        <v>51</v>
      </c>
      <c r="C44" s="6"/>
      <c r="D44" s="6"/>
      <c r="E44" s="6"/>
      <c r="F44" s="6"/>
      <c r="G44" s="6"/>
      <c r="H44" s="6"/>
      <c r="I44" s="6"/>
      <c r="J44" s="6"/>
      <c r="K44" s="6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4.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outlineLevel="1">
      <c r="A46" s="1"/>
      <c r="B46" s="49" t="s">
        <v>52</v>
      </c>
      <c r="C46" s="11"/>
      <c r="D46" s="50">
        <f t="shared" ref="D46:K46" si="10">YEAR(D47)</f>
        <v>2023</v>
      </c>
      <c r="E46" s="50">
        <f t="shared" si="10"/>
        <v>2024</v>
      </c>
      <c r="F46" s="50">
        <f t="shared" si="10"/>
        <v>2025</v>
      </c>
      <c r="G46" s="50">
        <f t="shared" si="10"/>
        <v>2026</v>
      </c>
      <c r="H46" s="50">
        <f t="shared" si="10"/>
        <v>2027</v>
      </c>
      <c r="I46" s="50">
        <f t="shared" si="10"/>
        <v>2028</v>
      </c>
      <c r="J46" s="50">
        <f t="shared" si="10"/>
        <v>2029</v>
      </c>
      <c r="K46" s="50">
        <f t="shared" si="10"/>
        <v>2030</v>
      </c>
      <c r="L46" s="2"/>
      <c r="M46" s="51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 outlineLevel="1">
      <c r="A47" s="1"/>
      <c r="B47" s="49" t="s">
        <v>53</v>
      </c>
      <c r="C47" s="11"/>
      <c r="D47" s="52">
        <v>45291.0</v>
      </c>
      <c r="E47" s="52">
        <f t="shared" ref="E47:K47" si="11">EOMONTH(D47,12)</f>
        <v>45657</v>
      </c>
      <c r="F47" s="52">
        <f t="shared" si="11"/>
        <v>46022</v>
      </c>
      <c r="G47" s="52">
        <f t="shared" si="11"/>
        <v>46387</v>
      </c>
      <c r="H47" s="52">
        <f t="shared" si="11"/>
        <v>46752</v>
      </c>
      <c r="I47" s="52">
        <f t="shared" si="11"/>
        <v>47118</v>
      </c>
      <c r="J47" s="52">
        <f t="shared" si="11"/>
        <v>47483</v>
      </c>
      <c r="K47" s="52">
        <f t="shared" si="11"/>
        <v>47848</v>
      </c>
      <c r="L47" s="2"/>
      <c r="M47" s="51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 outlineLevel="1">
      <c r="A48" s="1"/>
      <c r="B48" s="11"/>
      <c r="C48" s="11"/>
      <c r="D48" s="53" t="str">
        <f t="shared" ref="D48:E48" si="12">"FY"&amp;RIGHT(D46,2)&amp;"A"</f>
        <v>FY23A</v>
      </c>
      <c r="E48" s="53" t="str">
        <f t="shared" si="12"/>
        <v>FY24A</v>
      </c>
      <c r="F48" s="53" t="str">
        <f t="shared" ref="F48:K48" si="13">"FY"&amp;RIGHT(F46,2)&amp;"E"</f>
        <v>FY25E</v>
      </c>
      <c r="G48" s="53" t="str">
        <f t="shared" si="13"/>
        <v>FY26E</v>
      </c>
      <c r="H48" s="53" t="str">
        <f t="shared" si="13"/>
        <v>FY27E</v>
      </c>
      <c r="I48" s="53" t="str">
        <f t="shared" si="13"/>
        <v>FY28E</v>
      </c>
      <c r="J48" s="53" t="str">
        <f t="shared" si="13"/>
        <v>FY29E</v>
      </c>
      <c r="K48" s="53" t="str">
        <f t="shared" si="13"/>
        <v>FY30E</v>
      </c>
      <c r="L48" s="2"/>
      <c r="M48" s="51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4.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 t="s">
        <v>1</v>
      </c>
      <c r="B50" s="11" t="s">
        <v>54</v>
      </c>
      <c r="C50" s="11"/>
      <c r="D50" s="53" t="str">
        <f t="shared" ref="D50:K50" si="14">D48</f>
        <v>FY23A</v>
      </c>
      <c r="E50" s="53" t="str">
        <f t="shared" si="14"/>
        <v>FY24A</v>
      </c>
      <c r="F50" s="53" t="str">
        <f t="shared" si="14"/>
        <v>FY25E</v>
      </c>
      <c r="G50" s="53" t="str">
        <f t="shared" si="14"/>
        <v>FY26E</v>
      </c>
      <c r="H50" s="53" t="str">
        <f t="shared" si="14"/>
        <v>FY27E</v>
      </c>
      <c r="I50" s="53" t="str">
        <f t="shared" si="14"/>
        <v>FY28E</v>
      </c>
      <c r="J50" s="53" t="str">
        <f t="shared" si="14"/>
        <v>FY29E</v>
      </c>
      <c r="K50" s="53" t="str">
        <f t="shared" si="14"/>
        <v>FY30E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4.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/>
      <c r="B52" s="2" t="s">
        <v>55</v>
      </c>
      <c r="C52" s="2"/>
      <c r="D52" s="44">
        <v>1071.326</v>
      </c>
      <c r="E52" s="54">
        <f>'Income Statement'!K11</f>
        <v>1181.654</v>
      </c>
      <c r="F52" s="54">
        <f>'Income Statement'!P11</f>
        <v>1309.015496</v>
      </c>
      <c r="G52" s="54">
        <f>'Income Statement'!U11</f>
        <v>1491.909433</v>
      </c>
      <c r="H52" s="54">
        <f>'Income Statement'!Z11</f>
        <v>1651.13721</v>
      </c>
      <c r="I52" s="54">
        <f>'Income Statement'!AE11</f>
        <v>1805.129287</v>
      </c>
      <c r="J52" s="54">
        <f>'Income Statement'!AJ11</f>
        <v>1951.78883</v>
      </c>
      <c r="K52" s="54">
        <f>'Income Statement'!AO11</f>
        <v>2090.026579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/>
      <c r="B53" s="55" t="s">
        <v>56</v>
      </c>
      <c r="C53" s="2"/>
      <c r="D53" s="56"/>
      <c r="E53" s="57">
        <f t="shared" ref="E53:K53" si="15">E52/D52-1</f>
        <v>0.1029826589</v>
      </c>
      <c r="F53" s="57">
        <f t="shared" si="15"/>
        <v>0.107782393</v>
      </c>
      <c r="G53" s="57">
        <f t="shared" si="15"/>
        <v>0.1397186953</v>
      </c>
      <c r="H53" s="57">
        <f t="shared" si="15"/>
        <v>0.1067275087</v>
      </c>
      <c r="I53" s="57">
        <f t="shared" si="15"/>
        <v>0.09326425236</v>
      </c>
      <c r="J53" s="57">
        <f t="shared" si="15"/>
        <v>0.08124600478</v>
      </c>
      <c r="K53" s="57">
        <f t="shared" si="15"/>
        <v>0.07082618091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/>
      <c r="B55" s="2" t="s">
        <v>57</v>
      </c>
      <c r="C55" s="2"/>
      <c r="D55" s="44">
        <v>798.462</v>
      </c>
      <c r="E55" s="54">
        <f>'Income Statement'!K19</f>
        <v>857.456</v>
      </c>
      <c r="F55" s="54">
        <f>'Income Statement'!P19</f>
        <v>917.1089016</v>
      </c>
      <c r="G55" s="54">
        <f>'Income Statement'!U19</f>
        <v>1009.292351</v>
      </c>
      <c r="H55" s="54">
        <f>'Income Statement'!Z19</f>
        <v>1092.244109</v>
      </c>
      <c r="I55" s="54">
        <f>'Income Statement'!AE19</f>
        <v>1183.92569</v>
      </c>
      <c r="J55" s="54">
        <f>'Income Statement'!AJ19</f>
        <v>1270.51693</v>
      </c>
      <c r="K55" s="54">
        <f>'Income Statement'!AO19</f>
        <v>1362.559696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1"/>
      <c r="B56" s="55" t="s">
        <v>58</v>
      </c>
      <c r="C56" s="2"/>
      <c r="D56" s="57">
        <f t="shared" ref="D56:K56" si="16">D55/D52</f>
        <v>0.7453025503</v>
      </c>
      <c r="E56" s="57">
        <f t="shared" si="16"/>
        <v>0.7256405005</v>
      </c>
      <c r="F56" s="57">
        <f t="shared" si="16"/>
        <v>0.7006096601</v>
      </c>
      <c r="G56" s="57">
        <f t="shared" si="16"/>
        <v>0.6765104694</v>
      </c>
      <c r="H56" s="57">
        <f t="shared" si="16"/>
        <v>0.6615102017</v>
      </c>
      <c r="I56" s="57">
        <f t="shared" si="16"/>
        <v>0.6558675316</v>
      </c>
      <c r="J56" s="57">
        <f t="shared" si="16"/>
        <v>0.6509499956</v>
      </c>
      <c r="K56" s="57">
        <f t="shared" si="16"/>
        <v>0.6519341475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2"/>
      <c r="C57" s="2"/>
      <c r="D57" s="58"/>
      <c r="E57" s="58"/>
      <c r="F57" s="58"/>
      <c r="G57" s="3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59" t="s">
        <v>59</v>
      </c>
      <c r="C58" s="60"/>
      <c r="D58" s="61">
        <f t="shared" ref="D58:K58" si="17">D52-D55</f>
        <v>272.864</v>
      </c>
      <c r="E58" s="61">
        <f t="shared" si="17"/>
        <v>324.198</v>
      </c>
      <c r="F58" s="61">
        <f t="shared" si="17"/>
        <v>391.9065942</v>
      </c>
      <c r="G58" s="61">
        <f t="shared" si="17"/>
        <v>482.6170821</v>
      </c>
      <c r="H58" s="61">
        <f t="shared" si="17"/>
        <v>558.8931012</v>
      </c>
      <c r="I58" s="61">
        <f t="shared" si="17"/>
        <v>621.2035974</v>
      </c>
      <c r="J58" s="61">
        <f t="shared" si="17"/>
        <v>681.2718997</v>
      </c>
      <c r="K58" s="62">
        <f t="shared" si="17"/>
        <v>727.4668829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/>
      <c r="B59" s="63" t="s">
        <v>58</v>
      </c>
      <c r="C59" s="64"/>
      <c r="D59" s="65">
        <f t="shared" ref="D59:K59" si="18">D58/D52</f>
        <v>0.2546974497</v>
      </c>
      <c r="E59" s="65">
        <f t="shared" si="18"/>
        <v>0.2743594995</v>
      </c>
      <c r="F59" s="65">
        <f t="shared" si="18"/>
        <v>0.2993903399</v>
      </c>
      <c r="G59" s="65">
        <f t="shared" si="18"/>
        <v>0.3234895306</v>
      </c>
      <c r="H59" s="65">
        <f t="shared" si="18"/>
        <v>0.3384897983</v>
      </c>
      <c r="I59" s="65">
        <f t="shared" si="18"/>
        <v>0.3441324684</v>
      </c>
      <c r="J59" s="65">
        <f t="shared" si="18"/>
        <v>0.3490500044</v>
      </c>
      <c r="K59" s="66">
        <f t="shared" si="18"/>
        <v>0.3480658525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/>
      <c r="B61" s="2" t="s">
        <v>60</v>
      </c>
      <c r="C61" s="2"/>
      <c r="D61" s="54">
        <f>'Income Statement'!F23</f>
        <v>-86.576</v>
      </c>
      <c r="E61" s="54">
        <f>'Income Statement'!K23</f>
        <v>-100.037</v>
      </c>
      <c r="F61" s="54">
        <f>'Income Statement'!P23</f>
        <v>-106.4632624</v>
      </c>
      <c r="G61" s="67">
        <f t="shared" ref="G61:K61" si="19">IF($E$6="ON",-G152,"-")</f>
        <v>-235.0095414</v>
      </c>
      <c r="H61" s="67">
        <f t="shared" si="19"/>
        <v>-190.9498237</v>
      </c>
      <c r="I61" s="67">
        <f t="shared" si="19"/>
        <v>-139.0742149</v>
      </c>
      <c r="J61" s="67">
        <f t="shared" si="19"/>
        <v>-79.36334733</v>
      </c>
      <c r="K61" s="67">
        <f t="shared" si="19"/>
        <v>-16.27792469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2" t="s">
        <v>61</v>
      </c>
      <c r="C62" s="2"/>
      <c r="D62" s="54">
        <f>'Income Statement'!F22</f>
        <v>17.741</v>
      </c>
      <c r="E62" s="54">
        <f>'Income Statement'!K22</f>
        <v>23.115</v>
      </c>
      <c r="F62" s="54">
        <f>'Income Statement'!P22</f>
        <v>21.81099625</v>
      </c>
      <c r="G62" s="54">
        <f>'Income Statement'!U22</f>
        <v>22.42635439</v>
      </c>
      <c r="H62" s="54">
        <f>'Income Statement'!Z22</f>
        <v>32.81988496</v>
      </c>
      <c r="I62" s="54">
        <f>'Income Statement'!AE22</f>
        <v>45.29198033</v>
      </c>
      <c r="J62" s="54">
        <f>'Income Statement'!AJ22</f>
        <v>59.86421969</v>
      </c>
      <c r="K62" s="54">
        <f>'Income Statement'!AO22</f>
        <v>76.42288979</v>
      </c>
      <c r="L62" s="68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2" t="s">
        <v>62</v>
      </c>
      <c r="C63" s="2"/>
      <c r="D63" s="54">
        <f>'Income Statement'!F24</f>
        <v>3.512</v>
      </c>
      <c r="E63" s="54">
        <f>'Income Statement'!K24</f>
        <v>-0.548</v>
      </c>
      <c r="F63" s="54">
        <f>'Income Statement'!P24</f>
        <v>4.359</v>
      </c>
      <c r="G63" s="54">
        <f>'Income Statement'!U24</f>
        <v>4.268</v>
      </c>
      <c r="H63" s="54">
        <f>'Income Statement'!Z24</f>
        <v>4.268</v>
      </c>
      <c r="I63" s="54">
        <f>'Income Statement'!AE24</f>
        <v>4.268</v>
      </c>
      <c r="J63" s="54">
        <f>'Income Statement'!AJ24</f>
        <v>4.268</v>
      </c>
      <c r="K63" s="54">
        <f>'Income Statement'!AO24</f>
        <v>4.268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2" t="s">
        <v>63</v>
      </c>
      <c r="C65" s="2"/>
      <c r="D65" s="69">
        <f t="shared" ref="D65:K65" si="20">D58+SUM(D61:D63)</f>
        <v>207.541</v>
      </c>
      <c r="E65" s="69">
        <f t="shared" si="20"/>
        <v>246.728</v>
      </c>
      <c r="F65" s="69">
        <f t="shared" si="20"/>
        <v>311.613328</v>
      </c>
      <c r="G65" s="69">
        <f t="shared" si="20"/>
        <v>274.3018951</v>
      </c>
      <c r="H65" s="69">
        <f t="shared" si="20"/>
        <v>405.0311624</v>
      </c>
      <c r="I65" s="69">
        <f t="shared" si="20"/>
        <v>531.6893628</v>
      </c>
      <c r="J65" s="69">
        <f t="shared" si="20"/>
        <v>666.0407721</v>
      </c>
      <c r="K65" s="69">
        <f t="shared" si="20"/>
        <v>791.879848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55" t="s">
        <v>58</v>
      </c>
      <c r="C66" s="2"/>
      <c r="D66" s="70">
        <f t="shared" ref="D66:K66" si="21">D65/D52</f>
        <v>0.1937234791</v>
      </c>
      <c r="E66" s="70">
        <f t="shared" si="21"/>
        <v>0.2087988531</v>
      </c>
      <c r="F66" s="70">
        <f t="shared" si="21"/>
        <v>0.2380516725</v>
      </c>
      <c r="G66" s="70">
        <f t="shared" si="21"/>
        <v>0.1838596157</v>
      </c>
      <c r="H66" s="70">
        <f t="shared" si="21"/>
        <v>0.2453043636</v>
      </c>
      <c r="I66" s="70">
        <f t="shared" si="21"/>
        <v>0.2945436466</v>
      </c>
      <c r="J66" s="70">
        <f t="shared" si="21"/>
        <v>0.3412463284</v>
      </c>
      <c r="K66" s="70">
        <f t="shared" si="21"/>
        <v>0.3788850611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2" t="s">
        <v>64</v>
      </c>
      <c r="C68" s="2"/>
      <c r="D68" s="44">
        <v>58.512</v>
      </c>
      <c r="E68" s="54">
        <f>'Income Statement'!K28</f>
        <v>68.443</v>
      </c>
      <c r="F68" s="54">
        <f>'Income Statement'!P28</f>
        <v>91.53797787</v>
      </c>
      <c r="G68" s="54">
        <f>'Income Statement'!U28</f>
        <v>113.4855706</v>
      </c>
      <c r="H68" s="54">
        <f>'Income Statement'!Z28</f>
        <v>137.9653562</v>
      </c>
      <c r="I68" s="54">
        <f>'Income Statement'!AE28</f>
        <v>159.2305486</v>
      </c>
      <c r="J68" s="54">
        <f>'Income Statement'!AJ28</f>
        <v>180.330183</v>
      </c>
      <c r="K68" s="54">
        <f>'Income Statement'!AO28</f>
        <v>197.9639596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55" t="s">
        <v>65</v>
      </c>
      <c r="C69" s="2"/>
      <c r="D69" s="56">
        <f t="shared" ref="D69:K69" si="22">D68/D65</f>
        <v>0.2819298356</v>
      </c>
      <c r="E69" s="56">
        <f t="shared" si="22"/>
        <v>0.2774026458</v>
      </c>
      <c r="F69" s="56">
        <f t="shared" si="22"/>
        <v>0.293755015</v>
      </c>
      <c r="G69" s="56">
        <f t="shared" si="22"/>
        <v>0.4137250694</v>
      </c>
      <c r="H69" s="56">
        <f t="shared" si="22"/>
        <v>0.3406289909</v>
      </c>
      <c r="I69" s="56">
        <f t="shared" si="22"/>
        <v>0.2994804105</v>
      </c>
      <c r="J69" s="56">
        <f t="shared" si="22"/>
        <v>0.2707494654</v>
      </c>
      <c r="K69" s="56">
        <f t="shared" si="22"/>
        <v>0.24999242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59" t="s">
        <v>66</v>
      </c>
      <c r="C71" s="60"/>
      <c r="D71" s="71">
        <f t="shared" ref="D71:K71" si="23">D65-D68</f>
        <v>149.029</v>
      </c>
      <c r="E71" s="71">
        <f t="shared" si="23"/>
        <v>178.285</v>
      </c>
      <c r="F71" s="71">
        <f t="shared" si="23"/>
        <v>220.0753502</v>
      </c>
      <c r="G71" s="72">
        <f t="shared" si="23"/>
        <v>160.8163245</v>
      </c>
      <c r="H71" s="72">
        <f t="shared" si="23"/>
        <v>267.0658063</v>
      </c>
      <c r="I71" s="72">
        <f t="shared" si="23"/>
        <v>372.4588142</v>
      </c>
      <c r="J71" s="72">
        <f t="shared" si="23"/>
        <v>485.7105891</v>
      </c>
      <c r="K71" s="62">
        <f t="shared" si="23"/>
        <v>593.9158885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63" t="s">
        <v>58</v>
      </c>
      <c r="C72" s="64"/>
      <c r="D72" s="65">
        <f t="shared" ref="D72:K72" si="24">D71/D52</f>
        <v>0.1391070505</v>
      </c>
      <c r="E72" s="65">
        <f t="shared" si="24"/>
        <v>0.1508774988</v>
      </c>
      <c r="F72" s="65">
        <f t="shared" si="24"/>
        <v>0.1681227998</v>
      </c>
      <c r="G72" s="65">
        <f t="shared" si="24"/>
        <v>0.1077922835</v>
      </c>
      <c r="H72" s="65">
        <f t="shared" si="24"/>
        <v>0.1617465857</v>
      </c>
      <c r="I72" s="65">
        <f t="shared" si="24"/>
        <v>0.2063335944</v>
      </c>
      <c r="J72" s="65">
        <f t="shared" si="24"/>
        <v>0.2488540674</v>
      </c>
      <c r="K72" s="66">
        <f t="shared" si="24"/>
        <v>0.2841666678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73" t="s">
        <v>67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2" t="s">
        <v>59</v>
      </c>
      <c r="C75" s="2"/>
      <c r="D75" s="45">
        <f t="shared" ref="D75:K75" si="25">D58</f>
        <v>272.864</v>
      </c>
      <c r="E75" s="45">
        <f t="shared" si="25"/>
        <v>324.198</v>
      </c>
      <c r="F75" s="45">
        <f t="shared" si="25"/>
        <v>391.9065942</v>
      </c>
      <c r="G75" s="45">
        <f t="shared" si="25"/>
        <v>482.6170821</v>
      </c>
      <c r="H75" s="45">
        <f t="shared" si="25"/>
        <v>558.8931012</v>
      </c>
      <c r="I75" s="45">
        <f t="shared" si="25"/>
        <v>621.2035974</v>
      </c>
      <c r="J75" s="45">
        <f t="shared" si="25"/>
        <v>681.2718997</v>
      </c>
      <c r="K75" s="45">
        <f t="shared" si="25"/>
        <v>727.4668829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2" t="s">
        <v>68</v>
      </c>
      <c r="C76" s="2"/>
      <c r="D76" s="44">
        <v>149.413</v>
      </c>
      <c r="E76" s="44">
        <v>160.346</v>
      </c>
      <c r="F76" s="74">
        <f t="shared" ref="F76:K76" si="26">F107</f>
        <v>180.0954782</v>
      </c>
      <c r="G76" s="74">
        <f t="shared" si="26"/>
        <v>205.2581834</v>
      </c>
      <c r="H76" s="74">
        <f t="shared" si="26"/>
        <v>227.164878</v>
      </c>
      <c r="I76" s="74">
        <f t="shared" si="26"/>
        <v>248.3512405</v>
      </c>
      <c r="J76" s="74">
        <f t="shared" si="26"/>
        <v>268.5287866</v>
      </c>
      <c r="K76" s="74">
        <f t="shared" si="26"/>
        <v>287.547655</v>
      </c>
      <c r="L76" s="68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5" t="s">
        <v>69</v>
      </c>
      <c r="C77" s="5"/>
      <c r="D77" s="75">
        <f t="shared" ref="D77:E77" si="27">D78-SUM(D75:D76)</f>
        <v>13.099</v>
      </c>
      <c r="E77" s="75">
        <f t="shared" si="27"/>
        <v>3.166</v>
      </c>
      <c r="F77" s="76">
        <v>0.0</v>
      </c>
      <c r="G77" s="77">
        <v>0.0</v>
      </c>
      <c r="H77" s="77">
        <v>0.0</v>
      </c>
      <c r="I77" s="77">
        <v>0.0</v>
      </c>
      <c r="J77" s="77">
        <v>0.0</v>
      </c>
      <c r="K77" s="77">
        <v>0.0</v>
      </c>
      <c r="L77" s="68" t="s">
        <v>70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8" t="s">
        <v>71</v>
      </c>
      <c r="C78" s="8"/>
      <c r="D78" s="78">
        <v>435.376</v>
      </c>
      <c r="E78" s="78">
        <v>487.71</v>
      </c>
      <c r="F78" s="79">
        <f t="shared" ref="F78:K78" si="28">SUM(F75:F77)</f>
        <v>572.0020724</v>
      </c>
      <c r="G78" s="79">
        <f t="shared" si="28"/>
        <v>687.8752655</v>
      </c>
      <c r="H78" s="79">
        <f t="shared" si="28"/>
        <v>786.0579792</v>
      </c>
      <c r="I78" s="79">
        <f t="shared" si="28"/>
        <v>869.5548379</v>
      </c>
      <c r="J78" s="79">
        <f t="shared" si="28"/>
        <v>949.8006863</v>
      </c>
      <c r="K78" s="79">
        <f t="shared" si="28"/>
        <v>1015.014538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55" t="s">
        <v>58</v>
      </c>
      <c r="C79" s="2"/>
      <c r="D79" s="70">
        <f t="shared" ref="D79:K79" si="29">D78/D52</f>
        <v>0.4063898384</v>
      </c>
      <c r="E79" s="70">
        <f t="shared" si="29"/>
        <v>0.4127350307</v>
      </c>
      <c r="F79" s="70">
        <f t="shared" si="29"/>
        <v>0.4369712003</v>
      </c>
      <c r="G79" s="70">
        <f t="shared" si="29"/>
        <v>0.4610703909</v>
      </c>
      <c r="H79" s="70">
        <f t="shared" si="29"/>
        <v>0.4760706587</v>
      </c>
      <c r="I79" s="70">
        <f t="shared" si="29"/>
        <v>0.4817133288</v>
      </c>
      <c r="J79" s="70">
        <f t="shared" si="29"/>
        <v>0.4866308648</v>
      </c>
      <c r="K79" s="70">
        <f t="shared" si="29"/>
        <v>0.4856467129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59" t="s">
        <v>71</v>
      </c>
      <c r="C81" s="60"/>
      <c r="D81" s="61">
        <f t="shared" ref="D81:K81" si="30">D78</f>
        <v>435.376</v>
      </c>
      <c r="E81" s="61">
        <f t="shared" si="30"/>
        <v>487.71</v>
      </c>
      <c r="F81" s="61">
        <f t="shared" si="30"/>
        <v>572.0020724</v>
      </c>
      <c r="G81" s="72">
        <f t="shared" si="30"/>
        <v>687.8752655</v>
      </c>
      <c r="H81" s="72">
        <f t="shared" si="30"/>
        <v>786.0579792</v>
      </c>
      <c r="I81" s="72">
        <f t="shared" si="30"/>
        <v>869.5548379</v>
      </c>
      <c r="J81" s="72">
        <f t="shared" si="30"/>
        <v>949.8006863</v>
      </c>
      <c r="K81" s="62">
        <f t="shared" si="30"/>
        <v>1015.014538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63" t="s">
        <v>58</v>
      </c>
      <c r="C82" s="64"/>
      <c r="D82" s="80">
        <f t="shared" ref="D82:K82" si="31">D81/D52</f>
        <v>0.4063898384</v>
      </c>
      <c r="E82" s="80">
        <f t="shared" si="31"/>
        <v>0.4127350307</v>
      </c>
      <c r="F82" s="80">
        <f t="shared" si="31"/>
        <v>0.4369712003</v>
      </c>
      <c r="G82" s="65">
        <f t="shared" si="31"/>
        <v>0.4610703909</v>
      </c>
      <c r="H82" s="65">
        <f t="shared" si="31"/>
        <v>0.4760706587</v>
      </c>
      <c r="I82" s="65">
        <f t="shared" si="31"/>
        <v>0.4817133288</v>
      </c>
      <c r="J82" s="65">
        <f t="shared" si="31"/>
        <v>0.4866308648</v>
      </c>
      <c r="K82" s="66">
        <f t="shared" si="31"/>
        <v>0.4856467129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 t="s">
        <v>1</v>
      </c>
      <c r="B84" s="11" t="s">
        <v>72</v>
      </c>
      <c r="C84" s="11"/>
      <c r="D84" s="53" t="str">
        <f t="shared" ref="D84:K84" si="32">D50</f>
        <v>FY23A</v>
      </c>
      <c r="E84" s="53" t="str">
        <f t="shared" si="32"/>
        <v>FY24A</v>
      </c>
      <c r="F84" s="53" t="str">
        <f t="shared" si="32"/>
        <v>FY25E</v>
      </c>
      <c r="G84" s="53" t="str">
        <f t="shared" si="32"/>
        <v>FY26E</v>
      </c>
      <c r="H84" s="53" t="str">
        <f t="shared" si="32"/>
        <v>FY27E</v>
      </c>
      <c r="I84" s="53" t="str">
        <f t="shared" si="32"/>
        <v>FY28E</v>
      </c>
      <c r="J84" s="53" t="str">
        <f t="shared" si="32"/>
        <v>FY29E</v>
      </c>
      <c r="K84" s="53" t="str">
        <f t="shared" si="32"/>
        <v>FY30E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4.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73" t="s">
        <v>73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 outlineLevel="1">
      <c r="A87" s="1"/>
      <c r="B87" s="2" t="s">
        <v>74</v>
      </c>
      <c r="C87" s="81"/>
      <c r="D87" s="44">
        <v>41.89</v>
      </c>
      <c r="E87" s="44">
        <v>77.145</v>
      </c>
      <c r="F87" s="44"/>
      <c r="G87" s="2"/>
      <c r="H87" s="2"/>
      <c r="I87" s="2"/>
      <c r="J87" s="2"/>
      <c r="K87" s="2"/>
      <c r="L87" s="2"/>
      <c r="M87" s="73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 outlineLevel="1">
      <c r="A88" s="1"/>
      <c r="B88" s="2" t="s">
        <v>75</v>
      </c>
      <c r="C88" s="81"/>
      <c r="D88" s="44">
        <v>4.677</v>
      </c>
      <c r="E88" s="44">
        <v>6.146</v>
      </c>
      <c r="F88" s="44"/>
      <c r="G88" s="2"/>
      <c r="H88" s="2"/>
      <c r="I88" s="2"/>
      <c r="J88" s="2"/>
      <c r="K88" s="2"/>
      <c r="L88" s="2"/>
      <c r="M88" s="73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 outlineLevel="1">
      <c r="A89" s="82"/>
      <c r="B89" s="2" t="s">
        <v>76</v>
      </c>
      <c r="C89" s="81"/>
      <c r="D89" s="83">
        <f t="shared" ref="D89:E89" si="33">SUM(D87:D88)</f>
        <v>46.567</v>
      </c>
      <c r="E89" s="83">
        <f t="shared" si="33"/>
        <v>83.291</v>
      </c>
      <c r="F89" s="83">
        <f t="shared" ref="F89:K89" si="34">F90*F52</f>
        <v>0</v>
      </c>
      <c r="G89" s="83">
        <f t="shared" si="34"/>
        <v>0</v>
      </c>
      <c r="H89" s="83">
        <f t="shared" si="34"/>
        <v>0</v>
      </c>
      <c r="I89" s="83">
        <f t="shared" si="34"/>
        <v>0</v>
      </c>
      <c r="J89" s="83">
        <f t="shared" si="34"/>
        <v>0</v>
      </c>
      <c r="K89" s="83">
        <f t="shared" si="34"/>
        <v>0</v>
      </c>
      <c r="L89" s="8"/>
      <c r="M89" s="73" t="s">
        <v>77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 outlineLevel="1">
      <c r="A90" s="82"/>
      <c r="B90" s="84"/>
      <c r="C90" s="81"/>
      <c r="D90" s="85"/>
      <c r="E90" s="85"/>
      <c r="F90" s="86"/>
      <c r="G90" s="85"/>
      <c r="H90" s="85"/>
      <c r="I90" s="85"/>
      <c r="J90" s="85"/>
      <c r="K90" s="85"/>
      <c r="L90" s="8"/>
      <c r="M90" s="8" t="s">
        <v>78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 outlineLevel="1">
      <c r="A91" s="1"/>
      <c r="B91" s="2" t="s">
        <v>79</v>
      </c>
      <c r="C91" s="81"/>
      <c r="D91" s="44">
        <v>13.842</v>
      </c>
      <c r="E91" s="44">
        <v>21.499</v>
      </c>
      <c r="F91" s="44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 outlineLevel="1">
      <c r="A92" s="1"/>
      <c r="B92" s="2" t="s">
        <v>80</v>
      </c>
      <c r="C92" s="81"/>
      <c r="D92" s="44">
        <f>11.072+3.314</f>
        <v>14.386</v>
      </c>
      <c r="E92" s="44">
        <f>16.776+2.616</f>
        <v>19.392</v>
      </c>
      <c r="F92" s="44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 outlineLevel="1">
      <c r="A93" s="1"/>
      <c r="B93" s="2" t="s">
        <v>81</v>
      </c>
      <c r="C93" s="81"/>
      <c r="D93" s="83">
        <f t="shared" ref="D93:K93" si="35">SUM(D91:D92)</f>
        <v>28.228</v>
      </c>
      <c r="E93" s="83">
        <f t="shared" si="35"/>
        <v>40.891</v>
      </c>
      <c r="F93" s="83">
        <f t="shared" si="35"/>
        <v>0</v>
      </c>
      <c r="G93" s="83">
        <f t="shared" si="35"/>
        <v>0</v>
      </c>
      <c r="H93" s="83">
        <f t="shared" si="35"/>
        <v>0</v>
      </c>
      <c r="I93" s="83">
        <f t="shared" si="35"/>
        <v>0</v>
      </c>
      <c r="J93" s="83">
        <f t="shared" si="35"/>
        <v>0</v>
      </c>
      <c r="K93" s="83">
        <f t="shared" si="35"/>
        <v>0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 outlineLevel="1">
      <c r="A94" s="1"/>
      <c r="B94" s="8" t="s">
        <v>82</v>
      </c>
      <c r="C94" s="8"/>
      <c r="D94" s="87">
        <f t="shared" ref="D94:E94" si="36">D89+D93</f>
        <v>74.795</v>
      </c>
      <c r="E94" s="87">
        <f t="shared" si="36"/>
        <v>124.182</v>
      </c>
      <c r="F94" s="87">
        <f t="shared" ref="F94:K94" si="37">F95*F52</f>
        <v>114.4780043</v>
      </c>
      <c r="G94" s="87">
        <f t="shared" si="37"/>
        <v>130.4727217</v>
      </c>
      <c r="H94" s="87">
        <f t="shared" si="37"/>
        <v>144.3977502</v>
      </c>
      <c r="I94" s="87">
        <f t="shared" si="37"/>
        <v>157.8648984</v>
      </c>
      <c r="J94" s="87">
        <f t="shared" si="37"/>
        <v>170.6907907</v>
      </c>
      <c r="K94" s="87">
        <f t="shared" si="37"/>
        <v>182.7801675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 outlineLevel="1">
      <c r="A95" s="1"/>
      <c r="B95" s="2"/>
      <c r="C95" s="2"/>
      <c r="D95" s="85">
        <f t="shared" ref="D95:E95" si="38">D94/D52</f>
        <v>0.06981535032</v>
      </c>
      <c r="E95" s="85">
        <f t="shared" si="38"/>
        <v>0.1050916766</v>
      </c>
      <c r="F95" s="86">
        <f>AVERAGE(D95:E95)</f>
        <v>0.08745351345</v>
      </c>
      <c r="G95" s="85">
        <f t="shared" ref="G95:K95" si="39">F95</f>
        <v>0.08745351345</v>
      </c>
      <c r="H95" s="85">
        <f t="shared" si="39"/>
        <v>0.08745351345</v>
      </c>
      <c r="I95" s="85">
        <f t="shared" si="39"/>
        <v>0.08745351345</v>
      </c>
      <c r="J95" s="85">
        <f t="shared" si="39"/>
        <v>0.08745351345</v>
      </c>
      <c r="K95" s="85">
        <f t="shared" si="39"/>
        <v>0.08745351345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 outlineLevel="1">
      <c r="A96" s="1"/>
      <c r="B96" s="73" t="s">
        <v>83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 outlineLevel="1">
      <c r="A97" s="1"/>
      <c r="B97" s="2" t="s">
        <v>84</v>
      </c>
      <c r="C97" s="81"/>
      <c r="D97" s="44">
        <v>23.788</v>
      </c>
      <c r="E97" s="44">
        <v>32.887</v>
      </c>
      <c r="F97" s="44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 outlineLevel="1">
      <c r="A98" s="1"/>
      <c r="B98" s="2" t="s">
        <v>85</v>
      </c>
      <c r="C98" s="81"/>
      <c r="D98" s="44">
        <v>66.299</v>
      </c>
      <c r="E98" s="44">
        <v>67.895</v>
      </c>
      <c r="F98" s="44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 outlineLevel="1">
      <c r="A99" s="1"/>
      <c r="B99" s="2" t="s">
        <v>86</v>
      </c>
      <c r="C99" s="81"/>
      <c r="D99" s="44">
        <f>4.506+59.591+33.849</f>
        <v>97.946</v>
      </c>
      <c r="E99" s="44">
        <f>37.031+1.851+62.111</f>
        <v>100.993</v>
      </c>
      <c r="F99" s="44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 outlineLevel="1">
      <c r="A100" s="82"/>
      <c r="B100" s="8" t="s">
        <v>87</v>
      </c>
      <c r="C100" s="8"/>
      <c r="D100" s="87">
        <f t="shared" ref="D100:K100" si="40">SUM(D97:D99)</f>
        <v>188.033</v>
      </c>
      <c r="E100" s="87">
        <f t="shared" si="40"/>
        <v>201.775</v>
      </c>
      <c r="F100" s="87">
        <f t="shared" si="40"/>
        <v>0</v>
      </c>
      <c r="G100" s="87">
        <f t="shared" si="40"/>
        <v>0</v>
      </c>
      <c r="H100" s="87">
        <f t="shared" si="40"/>
        <v>0</v>
      </c>
      <c r="I100" s="87">
        <f t="shared" si="40"/>
        <v>0</v>
      </c>
      <c r="J100" s="87">
        <f t="shared" si="40"/>
        <v>0</v>
      </c>
      <c r="K100" s="87">
        <f t="shared" si="40"/>
        <v>0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 outlineLevel="1">
      <c r="A101" s="1"/>
      <c r="B101" s="2"/>
      <c r="C101" s="2"/>
      <c r="D101" s="85">
        <f t="shared" ref="D101:E101" si="41">D100/D52</f>
        <v>0.1755142692</v>
      </c>
      <c r="E101" s="85">
        <f t="shared" si="41"/>
        <v>0.1707564143</v>
      </c>
      <c r="F101" s="86">
        <f>AVERAGE(D101:E101)</f>
        <v>0.1731353418</v>
      </c>
      <c r="G101" s="85">
        <f t="shared" ref="G101:K101" si="42">F101</f>
        <v>0.1731353418</v>
      </c>
      <c r="H101" s="85">
        <f t="shared" si="42"/>
        <v>0.1731353418</v>
      </c>
      <c r="I101" s="85">
        <f t="shared" si="42"/>
        <v>0.1731353418</v>
      </c>
      <c r="J101" s="85">
        <f t="shared" si="42"/>
        <v>0.1731353418</v>
      </c>
      <c r="K101" s="85">
        <f t="shared" si="42"/>
        <v>0.1731353418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82"/>
      <c r="B102" s="8" t="s">
        <v>88</v>
      </c>
      <c r="C102" s="8"/>
      <c r="D102" s="79">
        <f t="shared" ref="D102:E102" si="43">D94-D100</f>
        <v>-113.238</v>
      </c>
      <c r="E102" s="79">
        <f t="shared" si="43"/>
        <v>-77.593</v>
      </c>
      <c r="F102" s="88">
        <f t="shared" ref="F102:K102" si="44">E102</f>
        <v>-77.593</v>
      </c>
      <c r="G102" s="24">
        <f t="shared" si="44"/>
        <v>-77.593</v>
      </c>
      <c r="H102" s="24">
        <f t="shared" si="44"/>
        <v>-77.593</v>
      </c>
      <c r="I102" s="24">
        <f t="shared" si="44"/>
        <v>-77.593</v>
      </c>
      <c r="J102" s="24">
        <f t="shared" si="44"/>
        <v>-77.593</v>
      </c>
      <c r="K102" s="24">
        <f t="shared" si="44"/>
        <v>-77.593</v>
      </c>
      <c r="L102" s="8" t="s">
        <v>89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59" t="s">
        <v>90</v>
      </c>
      <c r="C104" s="60"/>
      <c r="D104" s="89">
        <f>AVERAGE(E104:K104)</f>
        <v>-5.092142857</v>
      </c>
      <c r="E104" s="71">
        <f t="shared" ref="E104:K104" si="45">(D102-E102)</f>
        <v>-35.645</v>
      </c>
      <c r="F104" s="71">
        <f t="shared" si="45"/>
        <v>0</v>
      </c>
      <c r="G104" s="71">
        <f t="shared" si="45"/>
        <v>0</v>
      </c>
      <c r="H104" s="71">
        <f t="shared" si="45"/>
        <v>0</v>
      </c>
      <c r="I104" s="71">
        <f t="shared" si="45"/>
        <v>0</v>
      </c>
      <c r="J104" s="71">
        <f t="shared" si="45"/>
        <v>0</v>
      </c>
      <c r="K104" s="90">
        <f t="shared" si="45"/>
        <v>0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63" t="s">
        <v>58</v>
      </c>
      <c r="C105" s="64"/>
      <c r="D105" s="65"/>
      <c r="E105" s="65">
        <f t="shared" ref="E105:K105" si="46">E104/E52</f>
        <v>-0.03016534451</v>
      </c>
      <c r="F105" s="65">
        <f t="shared" si="46"/>
        <v>0</v>
      </c>
      <c r="G105" s="91">
        <f t="shared" si="46"/>
        <v>0</v>
      </c>
      <c r="H105" s="92">
        <f t="shared" si="46"/>
        <v>0</v>
      </c>
      <c r="I105" s="92">
        <f t="shared" si="46"/>
        <v>0</v>
      </c>
      <c r="J105" s="92">
        <f t="shared" si="46"/>
        <v>0</v>
      </c>
      <c r="K105" s="93">
        <f t="shared" si="46"/>
        <v>0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59" t="s">
        <v>68</v>
      </c>
      <c r="C107" s="60"/>
      <c r="D107" s="94">
        <f t="shared" ref="D107:E107" si="47">D76</f>
        <v>149.413</v>
      </c>
      <c r="E107" s="94">
        <f t="shared" si="47"/>
        <v>160.346</v>
      </c>
      <c r="F107" s="94">
        <f t="shared" ref="F107:K107" si="48">F108*F52</f>
        <v>180.0954782</v>
      </c>
      <c r="G107" s="94">
        <f t="shared" si="48"/>
        <v>205.2581834</v>
      </c>
      <c r="H107" s="94">
        <f t="shared" si="48"/>
        <v>227.164878</v>
      </c>
      <c r="I107" s="94">
        <f t="shared" si="48"/>
        <v>248.3512405</v>
      </c>
      <c r="J107" s="94">
        <f t="shared" si="48"/>
        <v>268.5287866</v>
      </c>
      <c r="K107" s="90">
        <f t="shared" si="48"/>
        <v>287.547655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63" t="s">
        <v>58</v>
      </c>
      <c r="C108" s="64"/>
      <c r="D108" s="65">
        <f t="shared" ref="D108:E108" si="49">D107/D52</f>
        <v>0.1394654848</v>
      </c>
      <c r="E108" s="65">
        <f t="shared" si="49"/>
        <v>0.135696236</v>
      </c>
      <c r="F108" s="95">
        <f>AVERAGE(D108:E108)</f>
        <v>0.1375808604</v>
      </c>
      <c r="G108" s="65">
        <f t="shared" ref="G108:K108" si="50">F108</f>
        <v>0.1375808604</v>
      </c>
      <c r="H108" s="65">
        <f t="shared" si="50"/>
        <v>0.1375808604</v>
      </c>
      <c r="I108" s="65">
        <f t="shared" si="50"/>
        <v>0.1375808604</v>
      </c>
      <c r="J108" s="65">
        <f t="shared" si="50"/>
        <v>0.1375808604</v>
      </c>
      <c r="K108" s="66">
        <f t="shared" si="50"/>
        <v>0.1375808604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59" t="s">
        <v>91</v>
      </c>
      <c r="C110" s="60"/>
      <c r="D110" s="96">
        <f>135.986+43.264</f>
        <v>179.25</v>
      </c>
      <c r="E110" s="96">
        <f>155.061</f>
        <v>155.061</v>
      </c>
      <c r="F110" s="94">
        <f t="shared" ref="F110:K110" si="51">F111*D52</f>
        <v>159.9166763</v>
      </c>
      <c r="G110" s="71">
        <f t="shared" si="51"/>
        <v>176.3853208</v>
      </c>
      <c r="H110" s="71">
        <f t="shared" si="51"/>
        <v>195.3965528</v>
      </c>
      <c r="I110" s="71">
        <f t="shared" si="51"/>
        <v>222.6971042</v>
      </c>
      <c r="J110" s="71">
        <f t="shared" si="51"/>
        <v>246.4650113</v>
      </c>
      <c r="K110" s="90">
        <f t="shared" si="51"/>
        <v>269.4513863</v>
      </c>
      <c r="L110" s="2"/>
      <c r="M110" s="97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63" t="s">
        <v>58</v>
      </c>
      <c r="C111" s="64"/>
      <c r="D111" s="65">
        <f t="shared" ref="D111:E111" si="52">D110/D52</f>
        <v>0.1673160177</v>
      </c>
      <c r="E111" s="65">
        <f t="shared" si="52"/>
        <v>0.1312236915</v>
      </c>
      <c r="F111" s="95">
        <f>AVERAGE(D111:E111)</f>
        <v>0.1492698546</v>
      </c>
      <c r="G111" s="65">
        <f t="shared" ref="G111:K111" si="53">F111</f>
        <v>0.1492698546</v>
      </c>
      <c r="H111" s="65">
        <f t="shared" si="53"/>
        <v>0.1492698546</v>
      </c>
      <c r="I111" s="65">
        <f t="shared" si="53"/>
        <v>0.1492698546</v>
      </c>
      <c r="J111" s="65">
        <f t="shared" si="53"/>
        <v>0.1492698546</v>
      </c>
      <c r="K111" s="66">
        <f t="shared" si="53"/>
        <v>0.1492698546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 t="s">
        <v>1</v>
      </c>
      <c r="B113" s="11" t="s">
        <v>92</v>
      </c>
      <c r="C113" s="11"/>
      <c r="D113" s="98" t="str">
        <f t="shared" ref="D113:K113" si="54">D84</f>
        <v>FY23A</v>
      </c>
      <c r="E113" s="98" t="str">
        <f t="shared" si="54"/>
        <v>FY24A</v>
      </c>
      <c r="F113" s="98" t="str">
        <f t="shared" si="54"/>
        <v>FY25E</v>
      </c>
      <c r="G113" s="98" t="str">
        <f t="shared" si="54"/>
        <v>FY26E</v>
      </c>
      <c r="H113" s="98" t="str">
        <f t="shared" si="54"/>
        <v>FY27E</v>
      </c>
      <c r="I113" s="98" t="str">
        <f t="shared" si="54"/>
        <v>FY28E</v>
      </c>
      <c r="J113" s="98" t="str">
        <f t="shared" si="54"/>
        <v>FY29E</v>
      </c>
      <c r="K113" s="98" t="str">
        <f t="shared" si="54"/>
        <v>FY30E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4.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2" t="s">
        <v>66</v>
      </c>
      <c r="C115" s="2"/>
      <c r="D115" s="69">
        <f t="shared" ref="D115:K115" si="55">D71</f>
        <v>149.029</v>
      </c>
      <c r="E115" s="69">
        <f t="shared" si="55"/>
        <v>178.285</v>
      </c>
      <c r="F115" s="69">
        <f t="shared" si="55"/>
        <v>220.0753502</v>
      </c>
      <c r="G115" s="69">
        <f t="shared" si="55"/>
        <v>160.8163245</v>
      </c>
      <c r="H115" s="69">
        <f t="shared" si="55"/>
        <v>267.0658063</v>
      </c>
      <c r="I115" s="69">
        <f t="shared" si="55"/>
        <v>372.4588142</v>
      </c>
      <c r="J115" s="69">
        <f t="shared" si="55"/>
        <v>485.7105891</v>
      </c>
      <c r="K115" s="69">
        <f t="shared" si="55"/>
        <v>593.9158885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2" t="s">
        <v>68</v>
      </c>
      <c r="C116" s="2"/>
      <c r="D116" s="99">
        <f t="shared" ref="D116:K116" si="56">D107</f>
        <v>149.413</v>
      </c>
      <c r="E116" s="99">
        <f t="shared" si="56"/>
        <v>160.346</v>
      </c>
      <c r="F116" s="99">
        <f t="shared" si="56"/>
        <v>180.0954782</v>
      </c>
      <c r="G116" s="99">
        <f t="shared" si="56"/>
        <v>205.2581834</v>
      </c>
      <c r="H116" s="99">
        <f t="shared" si="56"/>
        <v>227.164878</v>
      </c>
      <c r="I116" s="99">
        <f t="shared" si="56"/>
        <v>248.3512405</v>
      </c>
      <c r="J116" s="99">
        <f t="shared" si="56"/>
        <v>268.5287866</v>
      </c>
      <c r="K116" s="99">
        <f t="shared" si="56"/>
        <v>287.547655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2" t="s">
        <v>91</v>
      </c>
      <c r="C117" s="2"/>
      <c r="D117" s="99">
        <f t="shared" ref="D117:K117" si="57">-D110</f>
        <v>-179.25</v>
      </c>
      <c r="E117" s="99">
        <f t="shared" si="57"/>
        <v>-155.061</v>
      </c>
      <c r="F117" s="99">
        <f t="shared" si="57"/>
        <v>-159.9166763</v>
      </c>
      <c r="G117" s="99">
        <f t="shared" si="57"/>
        <v>-176.3853208</v>
      </c>
      <c r="H117" s="99">
        <f t="shared" si="57"/>
        <v>-195.3965528</v>
      </c>
      <c r="I117" s="99">
        <f t="shared" si="57"/>
        <v>-222.6971042</v>
      </c>
      <c r="J117" s="99">
        <f t="shared" si="57"/>
        <v>-246.4650113</v>
      </c>
      <c r="K117" s="99">
        <f t="shared" si="57"/>
        <v>-269.4513863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2" t="s">
        <v>93</v>
      </c>
      <c r="C118" s="2"/>
      <c r="D118" s="99">
        <f t="shared" ref="D118:K118" si="58">D104</f>
        <v>-5.092142857</v>
      </c>
      <c r="E118" s="99">
        <f t="shared" si="58"/>
        <v>-35.645</v>
      </c>
      <c r="F118" s="99">
        <f t="shared" si="58"/>
        <v>0</v>
      </c>
      <c r="G118" s="99">
        <f t="shared" si="58"/>
        <v>0</v>
      </c>
      <c r="H118" s="99">
        <f t="shared" si="58"/>
        <v>0</v>
      </c>
      <c r="I118" s="99">
        <f t="shared" si="58"/>
        <v>0</v>
      </c>
      <c r="J118" s="99">
        <f t="shared" si="58"/>
        <v>0</v>
      </c>
      <c r="K118" s="99">
        <f t="shared" si="58"/>
        <v>0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5" t="s">
        <v>94</v>
      </c>
      <c r="C119" s="5"/>
      <c r="D119" s="100">
        <f t="shared" ref="D119:K119" si="59">$K$29</f>
        <v>171.6006217</v>
      </c>
      <c r="E119" s="100">
        <f t="shared" si="59"/>
        <v>171.6006217</v>
      </c>
      <c r="F119" s="100">
        <f t="shared" si="59"/>
        <v>171.6006217</v>
      </c>
      <c r="G119" s="100">
        <f t="shared" si="59"/>
        <v>171.6006217</v>
      </c>
      <c r="H119" s="100">
        <f t="shared" si="59"/>
        <v>171.6006217</v>
      </c>
      <c r="I119" s="100">
        <f t="shared" si="59"/>
        <v>171.6006217</v>
      </c>
      <c r="J119" s="100">
        <f t="shared" si="59"/>
        <v>171.6006217</v>
      </c>
      <c r="K119" s="100">
        <f t="shared" si="59"/>
        <v>171.6006217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8" t="s">
        <v>95</v>
      </c>
      <c r="C120" s="8"/>
      <c r="D120" s="24">
        <f t="shared" ref="D120:K120" si="60">SUM(D115:D119)</f>
        <v>285.7004789</v>
      </c>
      <c r="E120" s="24">
        <f t="shared" si="60"/>
        <v>319.5256217</v>
      </c>
      <c r="F120" s="24">
        <f t="shared" si="60"/>
        <v>411.8547738</v>
      </c>
      <c r="G120" s="24">
        <f t="shared" si="60"/>
        <v>361.2898088</v>
      </c>
      <c r="H120" s="24">
        <f t="shared" si="60"/>
        <v>470.4347532</v>
      </c>
      <c r="I120" s="24">
        <f t="shared" si="60"/>
        <v>569.7135722</v>
      </c>
      <c r="J120" s="24">
        <f t="shared" si="60"/>
        <v>679.3749861</v>
      </c>
      <c r="K120" s="24">
        <f t="shared" si="60"/>
        <v>783.6127788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 t="s">
        <v>1</v>
      </c>
      <c r="B122" s="6" t="s">
        <v>96</v>
      </c>
      <c r="C122" s="6"/>
      <c r="D122" s="6"/>
      <c r="E122" s="6"/>
      <c r="F122" s="6"/>
      <c r="G122" s="6"/>
      <c r="H122" s="6"/>
      <c r="I122" s="6"/>
      <c r="J122" s="6"/>
      <c r="K122" s="6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4.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11" t="s">
        <v>97</v>
      </c>
      <c r="C124" s="11"/>
      <c r="D124" s="98" t="str">
        <f t="shared" ref="D124:K124" si="61">D113</f>
        <v>FY23A</v>
      </c>
      <c r="E124" s="98" t="str">
        <f t="shared" si="61"/>
        <v>FY24A</v>
      </c>
      <c r="F124" s="98" t="str">
        <f t="shared" si="61"/>
        <v>FY25E</v>
      </c>
      <c r="G124" s="98" t="str">
        <f t="shared" si="61"/>
        <v>FY26E</v>
      </c>
      <c r="H124" s="98" t="str">
        <f t="shared" si="61"/>
        <v>FY27E</v>
      </c>
      <c r="I124" s="98" t="str">
        <f t="shared" si="61"/>
        <v>FY28E</v>
      </c>
      <c r="J124" s="98" t="str">
        <f t="shared" si="61"/>
        <v>FY29E</v>
      </c>
      <c r="K124" s="98" t="str">
        <f t="shared" si="61"/>
        <v>FY30E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73" t="s">
        <v>23</v>
      </c>
      <c r="C125" s="2"/>
      <c r="D125" s="101"/>
      <c r="E125" s="101"/>
      <c r="F125" s="10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13" t="s">
        <v>98</v>
      </c>
      <c r="C126" s="2"/>
      <c r="D126" s="101"/>
      <c r="E126" s="101"/>
      <c r="F126" s="101"/>
      <c r="G126" s="34">
        <f>E22</f>
        <v>56</v>
      </c>
      <c r="H126" s="45">
        <f t="shared" ref="H126:K126" si="62">G131</f>
        <v>56</v>
      </c>
      <c r="I126" s="45">
        <f t="shared" si="62"/>
        <v>56</v>
      </c>
      <c r="J126" s="45">
        <f t="shared" si="62"/>
        <v>56</v>
      </c>
      <c r="K126" s="45">
        <f t="shared" si="62"/>
        <v>56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13" t="s">
        <v>99</v>
      </c>
      <c r="C127" s="2"/>
      <c r="D127" s="101"/>
      <c r="E127" s="101"/>
      <c r="F127" s="101"/>
      <c r="G127" s="45">
        <f t="shared" ref="G127:K127" si="63">G120</f>
        <v>361.2898088</v>
      </c>
      <c r="H127" s="45">
        <f t="shared" si="63"/>
        <v>470.4347532</v>
      </c>
      <c r="I127" s="45">
        <f t="shared" si="63"/>
        <v>569.7135722</v>
      </c>
      <c r="J127" s="45">
        <f t="shared" si="63"/>
        <v>679.3749861</v>
      </c>
      <c r="K127" s="45">
        <f t="shared" si="63"/>
        <v>783.6127788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13" t="s">
        <v>100</v>
      </c>
      <c r="C128" s="2"/>
      <c r="D128" s="101"/>
      <c r="E128" s="101"/>
      <c r="F128" s="101"/>
      <c r="G128" s="45">
        <f t="shared" ref="G128:K128" si="64">-$E$22</f>
        <v>-56</v>
      </c>
      <c r="H128" s="45">
        <f t="shared" si="64"/>
        <v>-56</v>
      </c>
      <c r="I128" s="45">
        <f t="shared" si="64"/>
        <v>-56</v>
      </c>
      <c r="J128" s="45">
        <f t="shared" si="64"/>
        <v>-56</v>
      </c>
      <c r="K128" s="45">
        <f t="shared" si="64"/>
        <v>-56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13" t="s">
        <v>101</v>
      </c>
      <c r="C129" s="2"/>
      <c r="D129" s="101"/>
      <c r="E129" s="101"/>
      <c r="F129" s="101"/>
      <c r="G129" s="83">
        <f t="shared" ref="G129:K129" si="65">SUM(G126:G128)</f>
        <v>361.2898088</v>
      </c>
      <c r="H129" s="83">
        <f t="shared" si="65"/>
        <v>470.4347532</v>
      </c>
      <c r="I129" s="83">
        <f t="shared" si="65"/>
        <v>569.7135722</v>
      </c>
      <c r="J129" s="83">
        <f t="shared" si="65"/>
        <v>679.3749861</v>
      </c>
      <c r="K129" s="83">
        <f t="shared" si="65"/>
        <v>783.6127788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13" t="s">
        <v>102</v>
      </c>
      <c r="C130" s="2"/>
      <c r="D130" s="101"/>
      <c r="E130" s="101"/>
      <c r="F130" s="101"/>
      <c r="G130" s="45">
        <f t="shared" ref="G130:K130" si="66">G136</f>
        <v>-361.2898088</v>
      </c>
      <c r="H130" s="45">
        <f t="shared" si="66"/>
        <v>-470.4347532</v>
      </c>
      <c r="I130" s="45">
        <f t="shared" si="66"/>
        <v>-569.7135722</v>
      </c>
      <c r="J130" s="45">
        <f t="shared" si="66"/>
        <v>-679.3749861</v>
      </c>
      <c r="K130" s="45">
        <f t="shared" si="66"/>
        <v>-493.1962055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102" t="s">
        <v>103</v>
      </c>
      <c r="C131" s="2"/>
      <c r="D131" s="101"/>
      <c r="E131" s="101"/>
      <c r="F131" s="103"/>
      <c r="G131" s="104">
        <f t="shared" ref="G131:K131" si="67">G126+G127+G130</f>
        <v>56</v>
      </c>
      <c r="H131" s="104">
        <f t="shared" si="67"/>
        <v>56</v>
      </c>
      <c r="I131" s="104">
        <f t="shared" si="67"/>
        <v>56</v>
      </c>
      <c r="J131" s="104">
        <f t="shared" si="67"/>
        <v>56</v>
      </c>
      <c r="K131" s="104">
        <f t="shared" si="67"/>
        <v>346.4165734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2"/>
      <c r="C132" s="2"/>
      <c r="D132" s="101"/>
      <c r="E132" s="101"/>
      <c r="F132" s="10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73" t="str">
        <f>B35</f>
        <v>Secured term loan - USD tranche</v>
      </c>
      <c r="C133" s="2"/>
      <c r="D133" s="101"/>
      <c r="E133" s="101"/>
      <c r="F133" s="10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13" t="s">
        <v>98</v>
      </c>
      <c r="C134" s="2"/>
      <c r="D134" s="101"/>
      <c r="E134" s="101"/>
      <c r="F134" s="101"/>
      <c r="G134" s="45">
        <f>E29</f>
        <v>3432.012434</v>
      </c>
      <c r="H134" s="45">
        <f t="shared" ref="H134:K134" si="68">G137</f>
        <v>2899.122004</v>
      </c>
      <c r="I134" s="45">
        <f t="shared" si="68"/>
        <v>2257.086629</v>
      </c>
      <c r="J134" s="45">
        <f t="shared" si="68"/>
        <v>1515.772435</v>
      </c>
      <c r="K134" s="45">
        <f t="shared" si="68"/>
        <v>664.7968272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13" t="s">
        <v>104</v>
      </c>
      <c r="C135" s="2"/>
      <c r="D135" s="101"/>
      <c r="E135" s="101"/>
      <c r="F135" s="101"/>
      <c r="G135" s="34">
        <f t="shared" ref="G135:K135" si="69">-G119</f>
        <v>-171.6006217</v>
      </c>
      <c r="H135" s="34">
        <f t="shared" si="69"/>
        <v>-171.6006217</v>
      </c>
      <c r="I135" s="34">
        <f t="shared" si="69"/>
        <v>-171.6006217</v>
      </c>
      <c r="J135" s="34">
        <f t="shared" si="69"/>
        <v>-171.6006217</v>
      </c>
      <c r="K135" s="34">
        <f t="shared" si="69"/>
        <v>-171.6006217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13" t="s">
        <v>105</v>
      </c>
      <c r="C136" s="2"/>
      <c r="D136" s="101"/>
      <c r="E136" s="101"/>
      <c r="F136" s="101"/>
      <c r="G136" s="34">
        <f t="shared" ref="G136:K136" si="70">-MIN(G134+G135,G129)</f>
        <v>-361.2898088</v>
      </c>
      <c r="H136" s="34">
        <f t="shared" si="70"/>
        <v>-470.4347532</v>
      </c>
      <c r="I136" s="34">
        <f t="shared" si="70"/>
        <v>-569.7135722</v>
      </c>
      <c r="J136" s="34">
        <f t="shared" si="70"/>
        <v>-679.3749861</v>
      </c>
      <c r="K136" s="34">
        <f t="shared" si="70"/>
        <v>-493.1962055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102" t="s">
        <v>103</v>
      </c>
      <c r="C137" s="2"/>
      <c r="D137" s="101"/>
      <c r="E137" s="101"/>
      <c r="F137" s="103"/>
      <c r="G137" s="79">
        <f t="shared" ref="G137:K137" si="71">SUM(G134:G136)</f>
        <v>2899.122004</v>
      </c>
      <c r="H137" s="79">
        <f t="shared" si="71"/>
        <v>2257.086629</v>
      </c>
      <c r="I137" s="79">
        <f t="shared" si="71"/>
        <v>1515.772435</v>
      </c>
      <c r="J137" s="79">
        <f t="shared" si="71"/>
        <v>664.7968272</v>
      </c>
      <c r="K137" s="79">
        <f t="shared" si="71"/>
        <v>0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105" t="s">
        <v>106</v>
      </c>
      <c r="C139" s="106"/>
      <c r="D139" s="106"/>
      <c r="E139" s="106"/>
      <c r="F139" s="106"/>
      <c r="G139" s="106"/>
      <c r="H139" s="106"/>
      <c r="I139" s="106"/>
      <c r="J139" s="106"/>
      <c r="K139" s="107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108" t="s">
        <v>98</v>
      </c>
      <c r="C140" s="109"/>
      <c r="D140" s="109"/>
      <c r="E140" s="109"/>
      <c r="F140" s="109"/>
      <c r="G140" s="110">
        <f t="shared" ref="G140:K140" si="72">G134</f>
        <v>3432.012434</v>
      </c>
      <c r="H140" s="110">
        <f t="shared" si="72"/>
        <v>2899.122004</v>
      </c>
      <c r="I140" s="110">
        <f t="shared" si="72"/>
        <v>2257.086629</v>
      </c>
      <c r="J140" s="110">
        <f t="shared" si="72"/>
        <v>1515.772435</v>
      </c>
      <c r="K140" s="111">
        <f t="shared" si="72"/>
        <v>664.7968272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108" t="s">
        <v>107</v>
      </c>
      <c r="C141" s="109"/>
      <c r="D141" s="109"/>
      <c r="E141" s="109"/>
      <c r="F141" s="109"/>
      <c r="G141" s="110">
        <f t="shared" ref="G141:K141" si="73">G135+G136</f>
        <v>-532.8904305</v>
      </c>
      <c r="H141" s="110">
        <f t="shared" si="73"/>
        <v>-642.0353749</v>
      </c>
      <c r="I141" s="110">
        <f t="shared" si="73"/>
        <v>-741.3141939</v>
      </c>
      <c r="J141" s="110">
        <f t="shared" si="73"/>
        <v>-850.9756078</v>
      </c>
      <c r="K141" s="111">
        <f t="shared" si="73"/>
        <v>-664.7968272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112" t="s">
        <v>103</v>
      </c>
      <c r="C142" s="113"/>
      <c r="D142" s="113"/>
      <c r="E142" s="113"/>
      <c r="F142" s="114"/>
      <c r="G142" s="114">
        <f t="shared" ref="G142:K142" si="74">G137</f>
        <v>2899.122004</v>
      </c>
      <c r="H142" s="114">
        <f t="shared" si="74"/>
        <v>2257.086629</v>
      </c>
      <c r="I142" s="114">
        <f t="shared" si="74"/>
        <v>1515.772435</v>
      </c>
      <c r="J142" s="114">
        <f t="shared" si="74"/>
        <v>664.7968272</v>
      </c>
      <c r="K142" s="115">
        <f t="shared" si="74"/>
        <v>0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116" t="s">
        <v>108</v>
      </c>
      <c r="C143" s="116"/>
      <c r="D143" s="116"/>
      <c r="E143" s="116"/>
      <c r="F143" s="116"/>
      <c r="G143" s="117"/>
      <c r="H143" s="117"/>
      <c r="I143" s="117"/>
      <c r="J143" s="117"/>
      <c r="K143" s="117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 t="s">
        <v>1</v>
      </c>
      <c r="B145" s="11" t="s">
        <v>109</v>
      </c>
      <c r="C145" s="11"/>
      <c r="D145" s="98" t="str">
        <f t="shared" ref="D145:K145" si="75">D124</f>
        <v>FY23A</v>
      </c>
      <c r="E145" s="98" t="str">
        <f t="shared" si="75"/>
        <v>FY24A</v>
      </c>
      <c r="F145" s="98" t="str">
        <f t="shared" si="75"/>
        <v>FY25E</v>
      </c>
      <c r="G145" s="98" t="str">
        <f t="shared" si="75"/>
        <v>FY26E</v>
      </c>
      <c r="H145" s="98" t="str">
        <f t="shared" si="75"/>
        <v>FY27E</v>
      </c>
      <c r="I145" s="98" t="str">
        <f t="shared" si="75"/>
        <v>FY28E</v>
      </c>
      <c r="J145" s="98" t="str">
        <f t="shared" si="75"/>
        <v>FY29E</v>
      </c>
      <c r="K145" s="98" t="str">
        <f t="shared" si="75"/>
        <v>FY30E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2" t="s">
        <v>23</v>
      </c>
      <c r="C146" s="2"/>
      <c r="D146" s="2"/>
      <c r="E146" s="2"/>
      <c r="F146" s="42"/>
      <c r="G146" s="34">
        <f t="shared" ref="G146:K146" si="76">AVERAGE(G126,G131)</f>
        <v>56</v>
      </c>
      <c r="H146" s="34">
        <f t="shared" si="76"/>
        <v>56</v>
      </c>
      <c r="I146" s="34">
        <f t="shared" si="76"/>
        <v>56</v>
      </c>
      <c r="J146" s="34">
        <f t="shared" si="76"/>
        <v>56</v>
      </c>
      <c r="K146" s="34">
        <f t="shared" si="76"/>
        <v>201.2082867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55" t="s">
        <v>110</v>
      </c>
      <c r="C147" s="2"/>
      <c r="D147" s="2"/>
      <c r="E147" s="2"/>
      <c r="F147" s="118"/>
      <c r="G147" s="35">
        <v>0.043</v>
      </c>
      <c r="H147" s="35">
        <v>0.043</v>
      </c>
      <c r="I147" s="35">
        <v>0.043</v>
      </c>
      <c r="J147" s="35">
        <v>0.043</v>
      </c>
      <c r="K147" s="35">
        <v>0.043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2" t="str">
        <f>B27</f>
        <v>Secured term loan - USD tranche</v>
      </c>
      <c r="C149" s="2"/>
      <c r="D149" s="2"/>
      <c r="E149" s="2"/>
      <c r="F149" s="2"/>
      <c r="G149" s="34">
        <f t="shared" ref="G149:K149" si="77">AVERAGE(G134,G137)</f>
        <v>3165.567219</v>
      </c>
      <c r="H149" s="34">
        <f t="shared" si="77"/>
        <v>2578.104316</v>
      </c>
      <c r="I149" s="34">
        <f t="shared" si="77"/>
        <v>1886.429532</v>
      </c>
      <c r="J149" s="34">
        <f t="shared" si="77"/>
        <v>1090.284631</v>
      </c>
      <c r="K149" s="34">
        <f t="shared" si="77"/>
        <v>332.3984136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55" t="s">
        <v>111</v>
      </c>
      <c r="C150" s="2"/>
      <c r="D150" s="2"/>
      <c r="E150" s="2"/>
      <c r="F150" s="119"/>
      <c r="G150" s="120">
        <f t="shared" ref="G150:K150" si="78">$G$27</f>
        <v>0.075</v>
      </c>
      <c r="H150" s="120">
        <f t="shared" si="78"/>
        <v>0.075</v>
      </c>
      <c r="I150" s="120">
        <f t="shared" si="78"/>
        <v>0.075</v>
      </c>
      <c r="J150" s="120">
        <f t="shared" si="78"/>
        <v>0.075</v>
      </c>
      <c r="K150" s="120">
        <f t="shared" si="78"/>
        <v>0.075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2" t="s">
        <v>112</v>
      </c>
      <c r="C152" s="2"/>
      <c r="D152" s="2"/>
      <c r="E152" s="2"/>
      <c r="F152" s="2"/>
      <c r="G152" s="34">
        <f t="shared" ref="G152:K152" si="79">(G149*G150)-(G146*G147)</f>
        <v>235.0095414</v>
      </c>
      <c r="H152" s="34">
        <f t="shared" si="79"/>
        <v>190.9498237</v>
      </c>
      <c r="I152" s="34">
        <f t="shared" si="79"/>
        <v>139.0742149</v>
      </c>
      <c r="J152" s="34">
        <f t="shared" si="79"/>
        <v>79.36334733</v>
      </c>
      <c r="K152" s="34">
        <f t="shared" si="79"/>
        <v>16.27792469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55" t="s">
        <v>113</v>
      </c>
      <c r="C153" s="2"/>
      <c r="D153" s="2"/>
      <c r="E153" s="2"/>
      <c r="F153" s="2"/>
      <c r="G153" s="121">
        <f t="shared" ref="G153:K153" si="80">G152/G149</f>
        <v>0.07423931484</v>
      </c>
      <c r="H153" s="121">
        <f t="shared" si="80"/>
        <v>0.07406598039</v>
      </c>
      <c r="I153" s="121">
        <f t="shared" si="80"/>
        <v>0.07372351447</v>
      </c>
      <c r="J153" s="121">
        <f t="shared" si="80"/>
        <v>0.07279140242</v>
      </c>
      <c r="K153" s="121">
        <f t="shared" si="80"/>
        <v>0.04897112629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 t="s">
        <v>1</v>
      </c>
      <c r="B155" s="6" t="s">
        <v>114</v>
      </c>
      <c r="C155" s="6"/>
      <c r="D155" s="6"/>
      <c r="E155" s="6"/>
      <c r="F155" s="6"/>
      <c r="G155" s="6"/>
      <c r="H155" s="6"/>
      <c r="I155" s="6"/>
      <c r="J155" s="6"/>
      <c r="K155" s="6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4.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2" t="s">
        <v>115</v>
      </c>
      <c r="C157" s="2"/>
      <c r="D157" s="2"/>
      <c r="E157" s="2"/>
      <c r="F157" s="2"/>
      <c r="G157" s="69">
        <f t="shared" ref="G157:K157" si="81">G81</f>
        <v>687.8752655</v>
      </c>
      <c r="H157" s="69">
        <f t="shared" si="81"/>
        <v>786.0579792</v>
      </c>
      <c r="I157" s="69">
        <f t="shared" si="81"/>
        <v>869.5548379</v>
      </c>
      <c r="J157" s="69">
        <f t="shared" si="81"/>
        <v>949.8006863</v>
      </c>
      <c r="K157" s="69">
        <f t="shared" si="81"/>
        <v>1015.014538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5" t="s">
        <v>26</v>
      </c>
      <c r="C158" s="5"/>
      <c r="D158" s="5"/>
      <c r="E158" s="5"/>
      <c r="F158" s="5"/>
      <c r="G158" s="122">
        <f t="shared" ref="G158:K158" si="82">$E$23</f>
        <v>18</v>
      </c>
      <c r="H158" s="122">
        <f t="shared" si="82"/>
        <v>18</v>
      </c>
      <c r="I158" s="122">
        <f t="shared" si="82"/>
        <v>18</v>
      </c>
      <c r="J158" s="122">
        <f t="shared" si="82"/>
        <v>18</v>
      </c>
      <c r="K158" s="122">
        <f t="shared" si="82"/>
        <v>18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8" t="s">
        <v>24</v>
      </c>
      <c r="C159" s="8"/>
      <c r="D159" s="8"/>
      <c r="E159" s="8"/>
      <c r="F159" s="8"/>
      <c r="G159" s="24">
        <f t="shared" ref="G159:K159" si="83">G157*G158</f>
        <v>12381.75478</v>
      </c>
      <c r="H159" s="24">
        <f t="shared" si="83"/>
        <v>14149.04363</v>
      </c>
      <c r="I159" s="24">
        <f t="shared" si="83"/>
        <v>15651.98708</v>
      </c>
      <c r="J159" s="24">
        <f t="shared" si="83"/>
        <v>17096.41235</v>
      </c>
      <c r="K159" s="24">
        <f t="shared" si="83"/>
        <v>18270.26168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2" t="s">
        <v>116</v>
      </c>
      <c r="C160" s="2"/>
      <c r="D160" s="2"/>
      <c r="E160" s="2"/>
      <c r="F160" s="2"/>
      <c r="G160" s="34">
        <f t="shared" ref="G160:K160" si="84">G142-G131</f>
        <v>2843.122004</v>
      </c>
      <c r="H160" s="34">
        <f t="shared" si="84"/>
        <v>2201.086629</v>
      </c>
      <c r="I160" s="34">
        <f t="shared" si="84"/>
        <v>1459.772435</v>
      </c>
      <c r="J160" s="34">
        <f t="shared" si="84"/>
        <v>608.7968272</v>
      </c>
      <c r="K160" s="34">
        <f t="shared" si="84"/>
        <v>-346.4165734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123" t="s">
        <v>117</v>
      </c>
      <c r="C161" s="124"/>
      <c r="D161" s="124"/>
      <c r="E161" s="124"/>
      <c r="F161" s="124"/>
      <c r="G161" s="125">
        <f t="shared" ref="G161:K161" si="85">G159-G160</f>
        <v>9538.632776</v>
      </c>
      <c r="H161" s="125">
        <f t="shared" si="85"/>
        <v>11947.957</v>
      </c>
      <c r="I161" s="125">
        <f t="shared" si="85"/>
        <v>14192.21465</v>
      </c>
      <c r="J161" s="125">
        <f t="shared" si="85"/>
        <v>16487.61553</v>
      </c>
      <c r="K161" s="126">
        <f t="shared" si="85"/>
        <v>18616.67826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2" t="s">
        <v>118</v>
      </c>
      <c r="C163" s="2"/>
      <c r="D163" s="2"/>
      <c r="E163" s="2"/>
      <c r="F163" s="2"/>
      <c r="G163" s="34">
        <f t="shared" ref="G163:K163" si="86">-$D$37</f>
        <v>-8777.26605</v>
      </c>
      <c r="H163" s="34">
        <f t="shared" si="86"/>
        <v>-8777.26605</v>
      </c>
      <c r="I163" s="34">
        <f t="shared" si="86"/>
        <v>-8777.26605</v>
      </c>
      <c r="J163" s="34">
        <f t="shared" si="86"/>
        <v>-8777.26605</v>
      </c>
      <c r="K163" s="34">
        <f t="shared" si="86"/>
        <v>-8777.26605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2"/>
      <c r="C164" s="2"/>
      <c r="D164" s="2"/>
      <c r="E164" s="2"/>
      <c r="F164" s="2"/>
      <c r="G164" s="98" t="str">
        <f t="shared" ref="G164:K164" si="87">G145</f>
        <v>FY26E</v>
      </c>
      <c r="H164" s="98" t="str">
        <f t="shared" si="87"/>
        <v>FY27E</v>
      </c>
      <c r="I164" s="98" t="str">
        <f t="shared" si="87"/>
        <v>FY28E</v>
      </c>
      <c r="J164" s="98" t="str">
        <f t="shared" si="87"/>
        <v>FY29E</v>
      </c>
      <c r="K164" s="98" t="str">
        <f t="shared" si="87"/>
        <v>FY30E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59" t="s">
        <v>119</v>
      </c>
      <c r="C165" s="60"/>
      <c r="D165" s="60"/>
      <c r="E165" s="60"/>
      <c r="F165" s="60"/>
      <c r="G165" s="127">
        <f t="shared" ref="G165:K165" si="88">G161/-G163</f>
        <v>1.086743038</v>
      </c>
      <c r="H165" s="127">
        <f t="shared" si="88"/>
        <v>1.361239016</v>
      </c>
      <c r="I165" s="127">
        <f t="shared" si="88"/>
        <v>1.616928844</v>
      </c>
      <c r="J165" s="127">
        <f t="shared" si="88"/>
        <v>1.878445456</v>
      </c>
      <c r="K165" s="128">
        <f t="shared" si="88"/>
        <v>2.121011047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 t="s">
        <v>1</v>
      </c>
      <c r="B166" s="129" t="s">
        <v>120</v>
      </c>
      <c r="C166" s="64"/>
      <c r="D166" s="64"/>
      <c r="E166" s="64"/>
      <c r="F166" s="64"/>
      <c r="G166" s="130">
        <f t="shared" ref="G166:K166" si="89">G174</f>
        <v>0.08674303838</v>
      </c>
      <c r="H166" s="130">
        <f t="shared" si="89"/>
        <v>0.1667214815</v>
      </c>
      <c r="I166" s="130">
        <f t="shared" si="89"/>
        <v>0.1735461301</v>
      </c>
      <c r="J166" s="130">
        <f t="shared" si="89"/>
        <v>0.1705845723</v>
      </c>
      <c r="K166" s="131">
        <f t="shared" si="89"/>
        <v>0.1621784554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2" t="s">
        <v>121</v>
      </c>
      <c r="C168" s="2"/>
      <c r="D168" s="2"/>
      <c r="E168" s="2"/>
      <c r="F168" s="132">
        <f>F47</f>
        <v>46022</v>
      </c>
      <c r="G168" s="34">
        <f>G163</f>
        <v>-8777.26605</v>
      </c>
      <c r="H168" s="34">
        <f t="shared" ref="H168:K168" si="90">G168</f>
        <v>-8777.26605</v>
      </c>
      <c r="I168" s="34">
        <f t="shared" si="90"/>
        <v>-8777.26605</v>
      </c>
      <c r="J168" s="34">
        <f t="shared" si="90"/>
        <v>-8777.26605</v>
      </c>
      <c r="K168" s="34">
        <f t="shared" si="90"/>
        <v>-8777.26605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2"/>
      <c r="C169" s="2"/>
      <c r="D169" s="2"/>
      <c r="E169" s="2"/>
      <c r="F169" s="132">
        <f t="shared" ref="F169:F173" si="91">EOMONTH(F168,12)</f>
        <v>46387</v>
      </c>
      <c r="G169" s="69">
        <f>G161</f>
        <v>9538.632776</v>
      </c>
      <c r="H169" s="133"/>
      <c r="I169" s="133"/>
      <c r="J169" s="133"/>
      <c r="K169" s="133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2"/>
      <c r="C170" s="2"/>
      <c r="D170" s="2"/>
      <c r="E170" s="2"/>
      <c r="F170" s="132">
        <f t="shared" si="91"/>
        <v>46752</v>
      </c>
      <c r="G170" s="133"/>
      <c r="H170" s="69">
        <f>H161</f>
        <v>11947.957</v>
      </c>
      <c r="I170" s="133"/>
      <c r="J170" s="133"/>
      <c r="K170" s="133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2"/>
      <c r="C171" s="2"/>
      <c r="D171" s="2"/>
      <c r="E171" s="2"/>
      <c r="F171" s="132">
        <f t="shared" si="91"/>
        <v>47118</v>
      </c>
      <c r="G171" s="133"/>
      <c r="H171" s="133"/>
      <c r="I171" s="69">
        <f>I161</f>
        <v>14192.21465</v>
      </c>
      <c r="J171" s="133"/>
      <c r="K171" s="133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2"/>
      <c r="C172" s="2"/>
      <c r="D172" s="2"/>
      <c r="E172" s="2"/>
      <c r="F172" s="132">
        <f t="shared" si="91"/>
        <v>47483</v>
      </c>
      <c r="G172" s="133"/>
      <c r="H172" s="133"/>
      <c r="I172" s="133"/>
      <c r="J172" s="69">
        <f>J161</f>
        <v>16487.61553</v>
      </c>
      <c r="K172" s="133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2"/>
      <c r="C173" s="2"/>
      <c r="D173" s="2"/>
      <c r="E173" s="2"/>
      <c r="F173" s="132">
        <f t="shared" si="91"/>
        <v>47848</v>
      </c>
      <c r="G173" s="133"/>
      <c r="H173" s="133"/>
      <c r="I173" s="133"/>
      <c r="J173" s="133"/>
      <c r="K173" s="34">
        <f>K161</f>
        <v>18616.67826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2"/>
      <c r="C174" s="2"/>
      <c r="D174" s="2"/>
      <c r="E174" s="2"/>
      <c r="F174" s="82" t="s">
        <v>120</v>
      </c>
      <c r="G174" s="134">
        <f t="shared" ref="G174:K174" si="92">XIRR(G168:G173,$F$168:$F$173)</f>
        <v>0.08674303838</v>
      </c>
      <c r="H174" s="134">
        <f t="shared" si="92"/>
        <v>0.1667214815</v>
      </c>
      <c r="I174" s="134">
        <f t="shared" si="92"/>
        <v>0.1735461301</v>
      </c>
      <c r="J174" s="134">
        <f t="shared" si="92"/>
        <v>0.1705845723</v>
      </c>
      <c r="K174" s="134">
        <f t="shared" si="92"/>
        <v>0.1621784554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1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 t="s">
        <v>1</v>
      </c>
      <c r="B177" s="48" t="s">
        <v>122</v>
      </c>
      <c r="C177" s="6"/>
      <c r="D177" s="6"/>
      <c r="E177" s="6"/>
      <c r="F177" s="6"/>
      <c r="G177" s="6"/>
      <c r="H177" s="6"/>
      <c r="I177" s="6"/>
      <c r="J177" s="6"/>
      <c r="K177" s="6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2"/>
      <c r="C178" s="2"/>
      <c r="D178" s="2"/>
      <c r="E178" s="135" t="s">
        <v>123</v>
      </c>
      <c r="F178" s="136"/>
      <c r="G178" s="136"/>
      <c r="H178" s="136"/>
      <c r="I178" s="136"/>
      <c r="J178" s="136"/>
      <c r="K178" s="136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2"/>
      <c r="C179" s="2"/>
      <c r="D179" s="2"/>
      <c r="E179" s="1" t="s">
        <v>124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2"/>
      <c r="C180" s="2"/>
      <c r="D180" s="137">
        <f>K174</f>
        <v>0.1621784554</v>
      </c>
      <c r="E180" s="138">
        <v>0.05</v>
      </c>
      <c r="F180" s="16">
        <f t="shared" ref="F180:K180" si="93">$M$180+E180</f>
        <v>0.1</v>
      </c>
      <c r="G180" s="16">
        <f t="shared" si="93"/>
        <v>0.15</v>
      </c>
      <c r="H180" s="16">
        <f t="shared" si="93"/>
        <v>0.2</v>
      </c>
      <c r="I180" s="16">
        <f t="shared" si="93"/>
        <v>0.25</v>
      </c>
      <c r="J180" s="16">
        <f t="shared" si="93"/>
        <v>0.3</v>
      </c>
      <c r="K180" s="16">
        <f t="shared" si="93"/>
        <v>0.35</v>
      </c>
      <c r="L180" s="2"/>
      <c r="M180" s="16">
        <v>0.05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2"/>
      <c r="C181" s="139" t="s">
        <v>26</v>
      </c>
      <c r="D181" s="140">
        <v>11.0</v>
      </c>
      <c r="E181" s="141">
        <v>0.07962304651737215</v>
      </c>
      <c r="F181" s="142">
        <v>0.055704101920127855</v>
      </c>
      <c r="G181" s="142">
        <v>0.033730950951576244</v>
      </c>
      <c r="H181" s="142">
        <v>0.013429436087608337</v>
      </c>
      <c r="I181" s="142">
        <v>-0.005420812964439393</v>
      </c>
      <c r="J181" s="142">
        <v>-0.022999563813209535</v>
      </c>
      <c r="K181" s="143">
        <v>-0.03945541679859162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2"/>
      <c r="D182" s="27">
        <f t="shared" ref="D182:D188" si="94">D181+$M$188</f>
        <v>12</v>
      </c>
      <c r="E182" s="144">
        <v>0.09801366925239566</v>
      </c>
      <c r="F182" s="145">
        <v>0.073687282204628</v>
      </c>
      <c r="G182" s="145">
        <v>0.051339837908744815</v>
      </c>
      <c r="H182" s="145">
        <v>0.030692496895790098</v>
      </c>
      <c r="I182" s="145">
        <v>0.011521145701408386</v>
      </c>
      <c r="J182" s="145">
        <v>-0.006357046961784363</v>
      </c>
      <c r="K182" s="146">
        <v>-0.023093214631080626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2"/>
      <c r="D183" s="27">
        <f t="shared" si="94"/>
        <v>13</v>
      </c>
      <c r="E183" s="144">
        <v>0.11524810194969176</v>
      </c>
      <c r="F183" s="145">
        <v>0.09053988754749301</v>
      </c>
      <c r="G183" s="145">
        <v>0.06784167587757112</v>
      </c>
      <c r="H183" s="145">
        <v>0.046870252490043646</v>
      </c>
      <c r="I183" s="145">
        <v>0.027397993206977844</v>
      </c>
      <c r="J183" s="145">
        <v>0.00923918187618256</v>
      </c>
      <c r="K183" s="146">
        <v>-0.00775967538356781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2"/>
      <c r="D184" s="27">
        <f t="shared" si="94"/>
        <v>14</v>
      </c>
      <c r="E184" s="144">
        <v>0.1314780414104462</v>
      </c>
      <c r="F184" s="145">
        <v>0.10641025900840761</v>
      </c>
      <c r="G184" s="145">
        <v>0.08338172733783723</v>
      </c>
      <c r="H184" s="145">
        <v>0.062105116248130796</v>
      </c>
      <c r="I184" s="145">
        <v>0.04234947860240937</v>
      </c>
      <c r="J184" s="145">
        <v>0.0239264041185379</v>
      </c>
      <c r="K184" s="146">
        <v>0.0066801637411117555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2"/>
      <c r="D185" s="27">
        <f t="shared" si="94"/>
        <v>15</v>
      </c>
      <c r="E185" s="144">
        <v>0.14682633280754093</v>
      </c>
      <c r="F185" s="145">
        <v>0.12141850590705874</v>
      </c>
      <c r="G185" s="145">
        <v>0.09807760119438172</v>
      </c>
      <c r="H185" s="145">
        <v>0.07651236951351167</v>
      </c>
      <c r="I185" s="145">
        <v>0.05648874938488005</v>
      </c>
      <c r="J185" s="145">
        <v>0.03781577050685883</v>
      </c>
      <c r="K185" s="146">
        <v>0.02033559381961823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2"/>
      <c r="D186" s="27">
        <f t="shared" si="94"/>
        <v>16</v>
      </c>
      <c r="E186" s="144">
        <v>0.16139391064643865</v>
      </c>
      <c r="F186" s="145">
        <v>0.13566333651542664</v>
      </c>
      <c r="G186" s="145">
        <v>0.11202593445777895</v>
      </c>
      <c r="H186" s="145">
        <v>0.0901867836713791</v>
      </c>
      <c r="I186" s="145">
        <v>0.06990881264209746</v>
      </c>
      <c r="J186" s="145">
        <v>0.05099863708019256</v>
      </c>
      <c r="K186" s="146">
        <v>0.03329641520977021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2"/>
      <c r="D187" s="27">
        <f t="shared" si="94"/>
        <v>17</v>
      </c>
      <c r="E187" s="144">
        <v>0.17526480555534366</v>
      </c>
      <c r="F187" s="145">
        <v>0.1492269217967987</v>
      </c>
      <c r="G187" s="145">
        <v>0.1253072202205658</v>
      </c>
      <c r="H187" s="145">
        <v>0.10320722460746767</v>
      </c>
      <c r="I187" s="145">
        <v>0.08268707096576693</v>
      </c>
      <c r="J187" s="145">
        <v>0.06355104744434358</v>
      </c>
      <c r="K187" s="146">
        <v>0.04563740193843842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2"/>
      <c r="D188" s="27">
        <f t="shared" si="94"/>
        <v>18</v>
      </c>
      <c r="E188" s="147">
        <v>0.18850978016853334</v>
      </c>
      <c r="F188" s="148">
        <v>0.16217845082283022</v>
      </c>
      <c r="G188" s="148">
        <v>0.13798918128013613</v>
      </c>
      <c r="H188" s="148">
        <v>0.11564012169837953</v>
      </c>
      <c r="I188" s="148">
        <v>0.09488871395587921</v>
      </c>
      <c r="J188" s="148">
        <v>0.07553703486919404</v>
      </c>
      <c r="K188" s="149">
        <v>0.05742150247097015</v>
      </c>
      <c r="L188" s="2"/>
      <c r="M188" s="2">
        <v>1.0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 t="s">
        <v>1</v>
      </c>
      <c r="B192" s="48" t="s">
        <v>125</v>
      </c>
      <c r="C192" s="6"/>
      <c r="D192" s="6"/>
      <c r="E192" s="6"/>
      <c r="F192" s="6"/>
      <c r="G192" s="6"/>
      <c r="H192" s="6"/>
      <c r="I192" s="6"/>
      <c r="J192" s="6"/>
      <c r="K192" s="6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2" t="s">
        <v>126</v>
      </c>
      <c r="E194" s="150">
        <f t="shared" ref="E194:K194" si="95">E201</f>
        <v>12</v>
      </c>
      <c r="F194" s="150">
        <f t="shared" si="95"/>
        <v>13</v>
      </c>
      <c r="G194" s="150">
        <f t="shared" si="95"/>
        <v>14</v>
      </c>
      <c r="H194" s="150">
        <f t="shared" si="95"/>
        <v>15</v>
      </c>
      <c r="I194" s="150">
        <f t="shared" si="95"/>
        <v>16</v>
      </c>
      <c r="J194" s="150">
        <f t="shared" si="95"/>
        <v>17</v>
      </c>
      <c r="K194" s="150">
        <f t="shared" si="95"/>
        <v>18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2" t="s">
        <v>127</v>
      </c>
      <c r="E195" s="151">
        <f t="shared" ref="E195:K195" si="96">$K$81</f>
        <v>1015.014538</v>
      </c>
      <c r="F195" s="151">
        <f t="shared" si="96"/>
        <v>1015.014538</v>
      </c>
      <c r="G195" s="151">
        <f t="shared" si="96"/>
        <v>1015.014538</v>
      </c>
      <c r="H195" s="151">
        <f t="shared" si="96"/>
        <v>1015.014538</v>
      </c>
      <c r="I195" s="151">
        <f t="shared" si="96"/>
        <v>1015.014538</v>
      </c>
      <c r="J195" s="151">
        <f t="shared" si="96"/>
        <v>1015.014538</v>
      </c>
      <c r="K195" s="151">
        <f t="shared" si="96"/>
        <v>1015.014538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82"/>
      <c r="B196" s="8" t="s">
        <v>128</v>
      </c>
      <c r="C196" s="152"/>
      <c r="D196" s="152"/>
      <c r="E196" s="153">
        <f t="shared" ref="E196:K196" si="97">E194*E195</f>
        <v>12180.17445</v>
      </c>
      <c r="F196" s="153">
        <f t="shared" si="97"/>
        <v>13195.18899</v>
      </c>
      <c r="G196" s="153">
        <f t="shared" si="97"/>
        <v>14210.20353</v>
      </c>
      <c r="H196" s="153">
        <f t="shared" si="97"/>
        <v>15225.21807</v>
      </c>
      <c r="I196" s="153">
        <f t="shared" si="97"/>
        <v>16240.23261</v>
      </c>
      <c r="J196" s="153">
        <f t="shared" si="97"/>
        <v>17255.24714</v>
      </c>
      <c r="K196" s="153">
        <f t="shared" si="97"/>
        <v>18270.26168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1"/>
      <c r="B197" s="2" t="s">
        <v>129</v>
      </c>
      <c r="E197" s="154">
        <f t="shared" ref="E197:K197" si="98">$K$160</f>
        <v>-346.4165734</v>
      </c>
      <c r="F197" s="154">
        <f t="shared" si="98"/>
        <v>-346.4165734</v>
      </c>
      <c r="G197" s="154">
        <f t="shared" si="98"/>
        <v>-346.4165734</v>
      </c>
      <c r="H197" s="154">
        <f t="shared" si="98"/>
        <v>-346.4165734</v>
      </c>
      <c r="I197" s="154">
        <f t="shared" si="98"/>
        <v>-346.4165734</v>
      </c>
      <c r="J197" s="154">
        <f t="shared" si="98"/>
        <v>-346.4165734</v>
      </c>
      <c r="K197" s="154">
        <f t="shared" si="98"/>
        <v>-346.4165734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82"/>
      <c r="B198" s="8" t="s">
        <v>130</v>
      </c>
      <c r="C198" s="152"/>
      <c r="D198" s="152"/>
      <c r="E198" s="153">
        <f t="shared" ref="E198:K198" si="99">E196+E197</f>
        <v>11833.75788</v>
      </c>
      <c r="F198" s="153">
        <f t="shared" si="99"/>
        <v>12848.77242</v>
      </c>
      <c r="G198" s="153">
        <f t="shared" si="99"/>
        <v>13863.78696</v>
      </c>
      <c r="H198" s="153">
        <f t="shared" si="99"/>
        <v>14878.80149</v>
      </c>
      <c r="I198" s="153">
        <f t="shared" si="99"/>
        <v>15893.81603</v>
      </c>
      <c r="J198" s="153">
        <f t="shared" si="99"/>
        <v>16908.83057</v>
      </c>
      <c r="K198" s="153">
        <f t="shared" si="99"/>
        <v>17923.84511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1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2"/>
      <c r="C200" s="2"/>
      <c r="E200" s="1" t="s">
        <v>26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8" t="s">
        <v>131</v>
      </c>
      <c r="C201" s="155">
        <v>0.25</v>
      </c>
      <c r="D201" s="156"/>
      <c r="E201" s="157">
        <f>D182</f>
        <v>12</v>
      </c>
      <c r="F201" s="157">
        <f t="shared" ref="F201:K201" si="100">E201+$M$188</f>
        <v>13</v>
      </c>
      <c r="G201" s="157">
        <f t="shared" si="100"/>
        <v>14</v>
      </c>
      <c r="H201" s="157">
        <f t="shared" si="100"/>
        <v>15</v>
      </c>
      <c r="I201" s="157">
        <f t="shared" si="100"/>
        <v>16</v>
      </c>
      <c r="J201" s="157">
        <f t="shared" si="100"/>
        <v>17</v>
      </c>
      <c r="K201" s="157">
        <f t="shared" si="100"/>
        <v>18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2" t="s">
        <v>119</v>
      </c>
      <c r="C202" s="158">
        <f>(C201+1)^5</f>
        <v>3.051757813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2" t="s">
        <v>132</v>
      </c>
      <c r="C203" s="2"/>
      <c r="D203" s="2"/>
      <c r="E203" s="69">
        <f t="shared" ref="E203:K203" si="101">E198/((1+$C$201)^5)</f>
        <v>3877.685783</v>
      </c>
      <c r="F203" s="69">
        <f t="shared" si="101"/>
        <v>4210.285746</v>
      </c>
      <c r="G203" s="69">
        <f t="shared" si="101"/>
        <v>4542.88571</v>
      </c>
      <c r="H203" s="69">
        <f t="shared" si="101"/>
        <v>4875.485674</v>
      </c>
      <c r="I203" s="69">
        <f t="shared" si="101"/>
        <v>5208.085638</v>
      </c>
      <c r="J203" s="69">
        <f t="shared" si="101"/>
        <v>5540.685601</v>
      </c>
      <c r="K203" s="69">
        <f t="shared" si="101"/>
        <v>5873.285565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2" t="s">
        <v>133</v>
      </c>
      <c r="C204" s="2"/>
      <c r="D204" s="2"/>
      <c r="E204" s="34">
        <f t="shared" ref="E204:K204" si="102">$E$29</f>
        <v>3432.012434</v>
      </c>
      <c r="F204" s="34">
        <f t="shared" si="102"/>
        <v>3432.012434</v>
      </c>
      <c r="G204" s="34">
        <f t="shared" si="102"/>
        <v>3432.012434</v>
      </c>
      <c r="H204" s="34">
        <f t="shared" si="102"/>
        <v>3432.012434</v>
      </c>
      <c r="I204" s="34">
        <f t="shared" si="102"/>
        <v>3432.012434</v>
      </c>
      <c r="J204" s="34">
        <f t="shared" si="102"/>
        <v>3432.012434</v>
      </c>
      <c r="K204" s="34">
        <f t="shared" si="102"/>
        <v>3432.012434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2" t="s">
        <v>134</v>
      </c>
      <c r="C205" s="2"/>
      <c r="D205" s="2"/>
      <c r="E205" s="34">
        <f t="shared" ref="E205:K205" si="103">-$D$36-$E$22</f>
        <v>-555.771</v>
      </c>
      <c r="F205" s="34">
        <f t="shared" si="103"/>
        <v>-555.771</v>
      </c>
      <c r="G205" s="34">
        <f t="shared" si="103"/>
        <v>-555.771</v>
      </c>
      <c r="H205" s="34">
        <f t="shared" si="103"/>
        <v>-555.771</v>
      </c>
      <c r="I205" s="34">
        <f t="shared" si="103"/>
        <v>-555.771</v>
      </c>
      <c r="J205" s="34">
        <f t="shared" si="103"/>
        <v>-555.771</v>
      </c>
      <c r="K205" s="34">
        <f t="shared" si="103"/>
        <v>-555.771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2" t="s">
        <v>135</v>
      </c>
      <c r="C206" s="2"/>
      <c r="D206" s="2"/>
      <c r="E206" s="34">
        <f t="shared" ref="E206:K206" si="104">-$I$39</f>
        <v>-60.40431065</v>
      </c>
      <c r="F206" s="34">
        <f t="shared" si="104"/>
        <v>-60.40431065</v>
      </c>
      <c r="G206" s="34">
        <f t="shared" si="104"/>
        <v>-60.40431065</v>
      </c>
      <c r="H206" s="34">
        <f t="shared" si="104"/>
        <v>-60.40431065</v>
      </c>
      <c r="I206" s="34">
        <f t="shared" si="104"/>
        <v>-60.40431065</v>
      </c>
      <c r="J206" s="34">
        <f t="shared" si="104"/>
        <v>-60.40431065</v>
      </c>
      <c r="K206" s="34">
        <f t="shared" si="104"/>
        <v>-60.40431065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2" t="s">
        <v>136</v>
      </c>
      <c r="C207" s="2"/>
      <c r="D207" s="2"/>
      <c r="E207" s="34">
        <f t="shared" ref="E207:K207" si="105">-$I$40</f>
        <v>-12.01204352</v>
      </c>
      <c r="F207" s="34">
        <f t="shared" si="105"/>
        <v>-12.01204352</v>
      </c>
      <c r="G207" s="34">
        <f t="shared" si="105"/>
        <v>-12.01204352</v>
      </c>
      <c r="H207" s="34">
        <f t="shared" si="105"/>
        <v>-12.01204352</v>
      </c>
      <c r="I207" s="34">
        <f t="shared" si="105"/>
        <v>-12.01204352</v>
      </c>
      <c r="J207" s="34">
        <f t="shared" si="105"/>
        <v>-12.01204352</v>
      </c>
      <c r="K207" s="34">
        <f t="shared" si="105"/>
        <v>-12.01204352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8" t="s">
        <v>137</v>
      </c>
      <c r="C208" s="8"/>
      <c r="D208" s="8"/>
      <c r="E208" s="159">
        <f t="shared" ref="E208:K208" si="106">SUM(E203:E207)</f>
        <v>6681.510863</v>
      </c>
      <c r="F208" s="159">
        <f t="shared" si="106"/>
        <v>7014.110827</v>
      </c>
      <c r="G208" s="159">
        <f t="shared" si="106"/>
        <v>7346.71079</v>
      </c>
      <c r="H208" s="159">
        <f t="shared" si="106"/>
        <v>7679.310754</v>
      </c>
      <c r="I208" s="159">
        <f t="shared" si="106"/>
        <v>8011.910718</v>
      </c>
      <c r="J208" s="159">
        <f t="shared" si="106"/>
        <v>8344.510682</v>
      </c>
      <c r="K208" s="159">
        <f t="shared" si="106"/>
        <v>8677.110645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160" t="s">
        <v>138</v>
      </c>
      <c r="C209" s="161"/>
      <c r="D209" s="161"/>
      <c r="E209" s="162">
        <f t="shared" ref="E209:K209" si="107">E208/$E$19</f>
        <v>11.68092073</v>
      </c>
      <c r="F209" s="162">
        <f t="shared" si="107"/>
        <v>12.26238709</v>
      </c>
      <c r="G209" s="162">
        <f t="shared" si="107"/>
        <v>12.84385345</v>
      </c>
      <c r="H209" s="162">
        <f t="shared" si="107"/>
        <v>13.42531981</v>
      </c>
      <c r="I209" s="162">
        <f t="shared" si="107"/>
        <v>14.00678617</v>
      </c>
      <c r="J209" s="162">
        <f t="shared" si="107"/>
        <v>14.58825253</v>
      </c>
      <c r="K209" s="163">
        <f t="shared" si="107"/>
        <v>15.16971889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2" t="s">
        <v>139</v>
      </c>
      <c r="C210" s="2"/>
      <c r="D210" s="2"/>
      <c r="E210" s="69">
        <f t="shared" ref="E210:K210" si="108">E208-$K$18+$K$19</f>
        <v>5023.652863</v>
      </c>
      <c r="F210" s="69">
        <f t="shared" si="108"/>
        <v>5356.252827</v>
      </c>
      <c r="G210" s="69">
        <f t="shared" si="108"/>
        <v>5688.85279</v>
      </c>
      <c r="H210" s="69">
        <f t="shared" si="108"/>
        <v>6021.452754</v>
      </c>
      <c r="I210" s="69">
        <f t="shared" si="108"/>
        <v>6354.052718</v>
      </c>
      <c r="J210" s="69">
        <f t="shared" si="108"/>
        <v>6686.652682</v>
      </c>
      <c r="K210" s="69">
        <f t="shared" si="108"/>
        <v>7019.252645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2" t="s">
        <v>140</v>
      </c>
      <c r="C211" s="2"/>
      <c r="D211" s="2"/>
      <c r="E211" s="69">
        <f>E203/K16</f>
        <v>46.55084973</v>
      </c>
      <c r="F211" s="69">
        <f t="shared" ref="F211:K211" si="109">F210/$K$16</f>
        <v>64.30075422</v>
      </c>
      <c r="G211" s="69">
        <f t="shared" si="109"/>
        <v>68.2935509</v>
      </c>
      <c r="H211" s="69">
        <f t="shared" si="109"/>
        <v>72.28634759</v>
      </c>
      <c r="I211" s="69">
        <f t="shared" si="109"/>
        <v>76.27914427</v>
      </c>
      <c r="J211" s="69">
        <f t="shared" si="109"/>
        <v>80.27194096</v>
      </c>
      <c r="K211" s="69">
        <f t="shared" si="109"/>
        <v>84.26473764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2" t="s">
        <v>141</v>
      </c>
      <c r="C212" s="2"/>
      <c r="D212" s="2"/>
      <c r="E212" s="145">
        <f t="shared" ref="E212:K212" si="110">E211/$E$14-1</f>
        <v>-0.5498418941</v>
      </c>
      <c r="F212" s="145">
        <f t="shared" si="110"/>
        <v>-0.3781959751</v>
      </c>
      <c r="G212" s="145">
        <f t="shared" si="110"/>
        <v>-0.3395846543</v>
      </c>
      <c r="H212" s="145">
        <f t="shared" si="110"/>
        <v>-0.3009733335</v>
      </c>
      <c r="I212" s="145">
        <f t="shared" si="110"/>
        <v>-0.2623620127</v>
      </c>
      <c r="J212" s="145">
        <f t="shared" si="110"/>
        <v>-0.2237506919</v>
      </c>
      <c r="K212" s="145">
        <f t="shared" si="110"/>
        <v>-0.1851393711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mergeCells count="4">
    <mergeCell ref="E178:K178"/>
    <mergeCell ref="E179:K179"/>
    <mergeCell ref="C181:C188"/>
    <mergeCell ref="E200:K200"/>
  </mergeCells>
  <conditionalFormatting sqref="E181:K188">
    <cfRule type="cellIs" dxfId="0" priority="1" operator="greaterThanOrEqual">
      <formula>0.25</formula>
    </cfRule>
  </conditionalFormatting>
  <dataValidations>
    <dataValidation type="list" allowBlank="1" showErrorMessage="1" sqref="E6">
      <formula1>"ON,OFF"</formula1>
    </dataValidation>
    <dataValidation type="list" allowBlank="1" showErrorMessage="1" sqref="F23">
      <formula1>$M$23:$T$23</formula1>
    </dataValidation>
    <dataValidation type="list" allowBlank="1" showErrorMessage="1" sqref="L13">
      <formula1>$M$13:$S$13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E6F5"/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 outlineLevelCol="1" outlineLevelRow="1"/>
  <cols>
    <col customWidth="1" min="1" max="1" width="40.63"/>
    <col customWidth="1" hidden="1" min="2" max="5" width="9.63" outlineLevel="1"/>
    <col collapsed="1" customWidth="1" min="6" max="6" width="9.63"/>
    <col customWidth="1" hidden="1" min="7" max="10" width="9.63" outlineLevel="1"/>
    <col customWidth="1" min="11" max="11" width="9.63"/>
    <col customWidth="1" hidden="1" min="12" max="15" width="9.63" outlineLevel="1"/>
    <col customWidth="1" min="16" max="16" width="9.63"/>
    <col customWidth="1" hidden="1" min="17" max="20" width="9.63" outlineLevel="1"/>
    <col customWidth="1" min="21" max="21" width="9.63"/>
    <col customWidth="1" hidden="1" min="22" max="25" width="9.63" outlineLevel="1"/>
    <col customWidth="1" min="26" max="26" width="9.63"/>
    <col customWidth="1" hidden="1" min="27" max="30" width="9.63" outlineLevel="1"/>
    <col customWidth="1" min="31" max="31" width="9.63"/>
    <col customWidth="1" hidden="1" min="32" max="35" width="9.63" outlineLevel="1"/>
    <col customWidth="1" min="36" max="36" width="9.63"/>
    <col customWidth="1" hidden="1" min="37" max="40" width="9.63" outlineLevel="1"/>
    <col customWidth="1" min="41" max="41" width="9.63"/>
    <col customWidth="1" min="42" max="43" width="9.38"/>
    <col customWidth="1" min="44" max="47" width="8.63"/>
  </cols>
  <sheetData>
    <row r="1" ht="10.5" customHeight="1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4"/>
      <c r="AS1" s="164"/>
      <c r="AT1" s="164"/>
      <c r="AU1" s="164"/>
    </row>
    <row r="2" ht="10.5" customHeight="1">
      <c r="A2" s="166" t="s">
        <v>142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4"/>
      <c r="AQ2" s="164"/>
      <c r="AR2" s="164"/>
      <c r="AS2" s="164"/>
      <c r="AT2" s="164"/>
      <c r="AU2" s="164"/>
    </row>
    <row r="3" ht="10.5" customHeight="1">
      <c r="A3" s="168" t="s">
        <v>143</v>
      </c>
      <c r="B3" s="168"/>
      <c r="C3" s="168"/>
      <c r="D3" s="168"/>
      <c r="E3" s="168"/>
      <c r="F3" s="168"/>
      <c r="G3" s="168"/>
      <c r="H3" s="168"/>
      <c r="I3" s="168"/>
      <c r="J3" s="168"/>
      <c r="K3" s="169"/>
      <c r="L3" s="168"/>
      <c r="M3" s="168"/>
      <c r="N3" s="168"/>
      <c r="O3" s="169"/>
      <c r="P3" s="169"/>
      <c r="Q3" s="169"/>
      <c r="R3" s="169"/>
      <c r="S3" s="169"/>
      <c r="T3" s="169"/>
      <c r="U3" s="170"/>
      <c r="V3" s="168"/>
      <c r="W3" s="168"/>
      <c r="X3" s="168"/>
      <c r="Y3" s="168"/>
      <c r="Z3" s="171"/>
      <c r="AA3" s="171"/>
      <c r="AB3" s="168"/>
      <c r="AC3" s="168"/>
      <c r="AD3" s="168"/>
      <c r="AE3" s="169"/>
      <c r="AF3" s="168"/>
      <c r="AG3" s="168"/>
      <c r="AH3" s="168"/>
      <c r="AI3" s="168"/>
      <c r="AJ3" s="168"/>
      <c r="AK3" s="168"/>
      <c r="AL3" s="168"/>
      <c r="AM3" s="168"/>
      <c r="AN3" s="168"/>
      <c r="AO3" s="168"/>
      <c r="AP3" s="164"/>
      <c r="AQ3" s="164"/>
      <c r="AR3" s="164"/>
      <c r="AS3" s="164"/>
      <c r="AT3" s="164"/>
      <c r="AU3" s="164"/>
    </row>
    <row r="4" ht="10.5" customHeight="1">
      <c r="A4" s="164" t="s">
        <v>144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72"/>
      <c r="Q4" s="164"/>
      <c r="R4" s="164"/>
      <c r="S4" s="164"/>
      <c r="T4" s="164"/>
      <c r="U4" s="172"/>
      <c r="V4" s="164"/>
      <c r="W4" s="164"/>
      <c r="X4" s="172"/>
      <c r="Y4" s="164"/>
      <c r="Z4" s="172"/>
      <c r="AA4" s="164"/>
      <c r="AB4" s="164"/>
      <c r="AC4" s="164"/>
      <c r="AD4" s="164"/>
      <c r="AE4" s="172"/>
      <c r="AF4" s="164"/>
      <c r="AG4" s="164"/>
      <c r="AH4" s="164"/>
      <c r="AI4" s="164"/>
      <c r="AJ4" s="172">
        <f>AJ11/AE11-1</f>
        <v>0.08124600478</v>
      </c>
      <c r="AK4" s="164"/>
      <c r="AL4" s="164"/>
      <c r="AM4" s="164"/>
      <c r="AN4" s="164"/>
      <c r="AO4" s="172">
        <f>AO11/AJ11-1</f>
        <v>0.07082618091</v>
      </c>
      <c r="AP4" s="164"/>
      <c r="AQ4" s="164"/>
      <c r="AR4" s="164"/>
      <c r="AS4" s="164"/>
      <c r="AT4" s="164"/>
      <c r="AU4" s="164"/>
    </row>
    <row r="5" ht="10.5" customHeight="1">
      <c r="A5" s="164"/>
      <c r="B5" s="173" t="s">
        <v>145</v>
      </c>
      <c r="C5" s="174"/>
      <c r="D5" s="174"/>
      <c r="E5" s="175"/>
      <c r="F5" s="176" t="s">
        <v>145</v>
      </c>
      <c r="G5" s="173" t="s">
        <v>146</v>
      </c>
      <c r="H5" s="174"/>
      <c r="I5" s="174"/>
      <c r="J5" s="175"/>
      <c r="K5" s="176" t="s">
        <v>146</v>
      </c>
      <c r="L5" s="173" t="s">
        <v>147</v>
      </c>
      <c r="M5" s="174"/>
      <c r="N5" s="174"/>
      <c r="O5" s="175"/>
      <c r="P5" s="177">
        <v>2025.0</v>
      </c>
      <c r="Q5" s="178">
        <f>P5+1</f>
        <v>2026</v>
      </c>
      <c r="R5" s="174"/>
      <c r="S5" s="174"/>
      <c r="T5" s="175"/>
      <c r="U5" s="177">
        <f>Q5</f>
        <v>2026</v>
      </c>
      <c r="V5" s="178">
        <f>U5+1</f>
        <v>2027</v>
      </c>
      <c r="W5" s="174"/>
      <c r="X5" s="174"/>
      <c r="Y5" s="175"/>
      <c r="Z5" s="177">
        <f>V5</f>
        <v>2027</v>
      </c>
      <c r="AA5" s="178">
        <f>Z5+1</f>
        <v>2028</v>
      </c>
      <c r="AB5" s="174"/>
      <c r="AC5" s="174"/>
      <c r="AD5" s="175"/>
      <c r="AE5" s="177">
        <f>AA5</f>
        <v>2028</v>
      </c>
      <c r="AF5" s="178">
        <f>AE5+1</f>
        <v>2029</v>
      </c>
      <c r="AG5" s="174"/>
      <c r="AH5" s="174"/>
      <c r="AI5" s="175"/>
      <c r="AJ5" s="177">
        <f>AF5</f>
        <v>2029</v>
      </c>
      <c r="AK5" s="178">
        <f>AJ5+1</f>
        <v>2030</v>
      </c>
      <c r="AL5" s="174"/>
      <c r="AM5" s="174"/>
      <c r="AN5" s="175"/>
      <c r="AO5" s="177">
        <f>AK5</f>
        <v>2030</v>
      </c>
      <c r="AP5" s="164"/>
      <c r="AQ5" s="164"/>
      <c r="AR5" s="164"/>
      <c r="AS5" s="164"/>
      <c r="AT5" s="164"/>
      <c r="AU5" s="164"/>
    </row>
    <row r="6" ht="10.5" customHeight="1">
      <c r="A6" s="164"/>
      <c r="B6" s="179" t="s">
        <v>148</v>
      </c>
      <c r="C6" s="179" t="s">
        <v>149</v>
      </c>
      <c r="D6" s="179" t="s">
        <v>150</v>
      </c>
      <c r="E6" s="179" t="s">
        <v>151</v>
      </c>
      <c r="F6" s="180" t="s">
        <v>152</v>
      </c>
      <c r="G6" s="179" t="s">
        <v>148</v>
      </c>
      <c r="H6" s="179" t="s">
        <v>149</v>
      </c>
      <c r="I6" s="179" t="s">
        <v>150</v>
      </c>
      <c r="J6" s="179" t="s">
        <v>153</v>
      </c>
      <c r="K6" s="180" t="s">
        <v>152</v>
      </c>
      <c r="L6" s="179" t="s">
        <v>148</v>
      </c>
      <c r="M6" s="179" t="s">
        <v>149</v>
      </c>
      <c r="N6" s="179" t="s">
        <v>150</v>
      </c>
      <c r="O6" s="179" t="s">
        <v>153</v>
      </c>
      <c r="P6" s="180" t="s">
        <v>152</v>
      </c>
      <c r="Q6" s="179" t="s">
        <v>154</v>
      </c>
      <c r="R6" s="179" t="s">
        <v>155</v>
      </c>
      <c r="S6" s="179" t="s">
        <v>156</v>
      </c>
      <c r="T6" s="179" t="s">
        <v>153</v>
      </c>
      <c r="U6" s="180" t="s">
        <v>152</v>
      </c>
      <c r="V6" s="179" t="s">
        <v>154</v>
      </c>
      <c r="W6" s="179" t="s">
        <v>155</v>
      </c>
      <c r="X6" s="179" t="s">
        <v>156</v>
      </c>
      <c r="Y6" s="179" t="s">
        <v>153</v>
      </c>
      <c r="Z6" s="180" t="s">
        <v>152</v>
      </c>
      <c r="AA6" s="179" t="s">
        <v>154</v>
      </c>
      <c r="AB6" s="179" t="s">
        <v>155</v>
      </c>
      <c r="AC6" s="179" t="s">
        <v>156</v>
      </c>
      <c r="AD6" s="179" t="s">
        <v>153</v>
      </c>
      <c r="AE6" s="180" t="s">
        <v>152</v>
      </c>
      <c r="AF6" s="179" t="s">
        <v>154</v>
      </c>
      <c r="AG6" s="179" t="s">
        <v>155</v>
      </c>
      <c r="AH6" s="179" t="s">
        <v>156</v>
      </c>
      <c r="AI6" s="179" t="s">
        <v>153</v>
      </c>
      <c r="AJ6" s="180" t="s">
        <v>152</v>
      </c>
      <c r="AK6" s="179" t="s">
        <v>154</v>
      </c>
      <c r="AL6" s="179" t="s">
        <v>155</v>
      </c>
      <c r="AM6" s="179" t="s">
        <v>156</v>
      </c>
      <c r="AN6" s="179" t="s">
        <v>153</v>
      </c>
      <c r="AO6" s="180" t="s">
        <v>152</v>
      </c>
      <c r="AP6" s="164"/>
      <c r="AQ6" s="164"/>
      <c r="AR6" s="164"/>
      <c r="AS6" s="164"/>
      <c r="AT6" s="164"/>
      <c r="AU6" s="164"/>
    </row>
    <row r="7" ht="10.5" customHeight="1">
      <c r="A7" s="181" t="s">
        <v>157</v>
      </c>
      <c r="B7" s="164"/>
      <c r="C7" s="164"/>
      <c r="D7" s="164"/>
      <c r="E7" s="164"/>
      <c r="F7" s="182"/>
      <c r="G7" s="164"/>
      <c r="H7" s="164"/>
      <c r="I7" s="164"/>
      <c r="J7" s="164"/>
      <c r="K7" s="182"/>
      <c r="L7" s="164"/>
      <c r="M7" s="164"/>
      <c r="N7" s="164"/>
      <c r="O7" s="164"/>
      <c r="P7" s="182"/>
      <c r="Q7" s="164"/>
      <c r="R7" s="164"/>
      <c r="S7" s="164"/>
      <c r="T7" s="164"/>
      <c r="U7" s="182"/>
      <c r="V7" s="164"/>
      <c r="W7" s="164"/>
      <c r="X7" s="164"/>
      <c r="Y7" s="164"/>
      <c r="Z7" s="182"/>
      <c r="AA7" s="164"/>
      <c r="AB7" s="164"/>
      <c r="AC7" s="164"/>
      <c r="AD7" s="164"/>
      <c r="AE7" s="182"/>
      <c r="AF7" s="164"/>
      <c r="AG7" s="164"/>
      <c r="AH7" s="164"/>
      <c r="AI7" s="164"/>
      <c r="AJ7" s="182"/>
      <c r="AK7" s="164"/>
      <c r="AL7" s="164"/>
      <c r="AM7" s="164"/>
      <c r="AN7" s="164"/>
      <c r="AO7" s="182"/>
      <c r="AP7" s="164"/>
      <c r="AQ7" s="164"/>
      <c r="AR7" s="164"/>
      <c r="AS7" s="164"/>
      <c r="AT7" s="164"/>
      <c r="AU7" s="164"/>
    </row>
    <row r="8" ht="10.5" customHeight="1">
      <c r="A8" s="183" t="s">
        <v>158</v>
      </c>
      <c r="B8" s="184">
        <v>75.878</v>
      </c>
      <c r="C8" s="184">
        <v>80.846</v>
      </c>
      <c r="D8" s="184">
        <v>80.587</v>
      </c>
      <c r="E8" s="184">
        <v>80.604</v>
      </c>
      <c r="F8" s="185">
        <v>387.92699999999996</v>
      </c>
      <c r="G8" s="184">
        <v>104.02</v>
      </c>
      <c r="H8" s="184">
        <v>107.79</v>
      </c>
      <c r="I8" s="184">
        <v>102.415</v>
      </c>
      <c r="J8" s="184">
        <v>109.022</v>
      </c>
      <c r="K8" s="185">
        <f t="shared" ref="K8:K10" si="1">SUM(G8:J8)</f>
        <v>423.247</v>
      </c>
      <c r="L8" s="184">
        <v>115.17999999999999</v>
      </c>
      <c r="M8" s="184">
        <v>119.65799999999999</v>
      </c>
      <c r="N8" s="184">
        <v>113.67500000000001</v>
      </c>
      <c r="O8" s="186">
        <f>Assumptions!O10</f>
        <v>119.7055445</v>
      </c>
      <c r="P8" s="185">
        <f t="shared" ref="P8:P10" si="2">SUM(L8:O8)</f>
        <v>468.2185445</v>
      </c>
      <c r="Q8" s="186">
        <f>Assumptions!Q10</f>
        <v>141.1678103</v>
      </c>
      <c r="R8" s="186">
        <f>Assumptions!R10</f>
        <v>146.8497961</v>
      </c>
      <c r="S8" s="186">
        <f>Assumptions!S10</f>
        <v>138.7640947</v>
      </c>
      <c r="T8" s="186">
        <f>Assumptions!T10</f>
        <v>145.9097375</v>
      </c>
      <c r="U8" s="185">
        <f t="shared" ref="U8:U10" si="3">SUM(Q8:T8)</f>
        <v>572.6914386</v>
      </c>
      <c r="V8" s="186">
        <f>Assumptions!V10</f>
        <v>158.8070075</v>
      </c>
      <c r="W8" s="186">
        <f>Assumptions!W10</f>
        <v>165.3877293</v>
      </c>
      <c r="X8" s="186">
        <f>Assumptions!X10</f>
        <v>154.8018204</v>
      </c>
      <c r="Y8" s="186">
        <f>Assumptions!Y10</f>
        <v>162.601887</v>
      </c>
      <c r="Z8" s="185">
        <f t="shared" ref="Z8:Z10" si="4">SUM(V8:Y8)</f>
        <v>641.5984442</v>
      </c>
      <c r="AA8" s="186">
        <f>Assumptions!AA10</f>
        <v>175.9255406</v>
      </c>
      <c r="AB8" s="186">
        <f>Assumptions!AB10</f>
        <v>183.1187945</v>
      </c>
      <c r="AC8" s="186">
        <f>Assumptions!AC10</f>
        <v>171.3056299</v>
      </c>
      <c r="AD8" s="186">
        <f>Assumptions!AD10</f>
        <v>179.7384843</v>
      </c>
      <c r="AE8" s="185">
        <f t="shared" ref="AE8:AE10" si="5">SUM(AA8:AD8)</f>
        <v>710.0884492</v>
      </c>
      <c r="AF8" s="186">
        <f>Assumptions!AF10</f>
        <v>192.3420038</v>
      </c>
      <c r="AG8" s="186">
        <f>Assumptions!AG10</f>
        <v>199.9521501</v>
      </c>
      <c r="AH8" s="186">
        <f>Assumptions!AH10</f>
        <v>186.7566048</v>
      </c>
      <c r="AI8" s="186">
        <f>Assumptions!AI10</f>
        <v>195.5802858</v>
      </c>
      <c r="AJ8" s="185">
        <f t="shared" ref="AJ8:AJ10" si="6">SUM(AF8:AI8)</f>
        <v>774.6310444</v>
      </c>
      <c r="AK8" s="186">
        <f>Assumptions!AK10</f>
        <v>209.0485871</v>
      </c>
      <c r="AL8" s="186">
        <f>Assumptions!AL10</f>
        <v>217.2415641</v>
      </c>
      <c r="AM8" s="186">
        <f>Assumptions!AM10</f>
        <v>202.8331045</v>
      </c>
      <c r="AN8" s="186">
        <f>Assumptions!AN10</f>
        <v>212.247467</v>
      </c>
      <c r="AO8" s="185">
        <f t="shared" ref="AO8:AO10" si="7">SUM(AK8:AN8)</f>
        <v>841.3707227</v>
      </c>
      <c r="AP8" s="165"/>
      <c r="AQ8" s="187"/>
      <c r="AR8" s="188"/>
      <c r="AS8" s="188"/>
      <c r="AT8" s="188"/>
      <c r="AU8" s="164"/>
    </row>
    <row r="9" ht="10.5" customHeight="1">
      <c r="A9" s="183" t="s">
        <v>159</v>
      </c>
      <c r="B9" s="184">
        <v>105.882</v>
      </c>
      <c r="C9" s="184">
        <v>113.759</v>
      </c>
      <c r="D9" s="184">
        <v>113.245</v>
      </c>
      <c r="E9" s="184">
        <v>116.411</v>
      </c>
      <c r="F9" s="185">
        <v>449.297</v>
      </c>
      <c r="G9" s="184">
        <v>122.378</v>
      </c>
      <c r="H9" s="184">
        <v>125.466</v>
      </c>
      <c r="I9" s="184">
        <v>128.132</v>
      </c>
      <c r="J9" s="184">
        <v>126.311</v>
      </c>
      <c r="K9" s="185">
        <f t="shared" si="1"/>
        <v>502.287</v>
      </c>
      <c r="L9" s="184">
        <v>133.669</v>
      </c>
      <c r="M9" s="184">
        <v>138.989</v>
      </c>
      <c r="N9" s="184">
        <v>137.833</v>
      </c>
      <c r="O9" s="186">
        <f>Assumptions!O14</f>
        <v>136.3069512</v>
      </c>
      <c r="P9" s="185">
        <f t="shared" si="2"/>
        <v>546.7979512</v>
      </c>
      <c r="Q9" s="186">
        <f>Assumptions!Q14</f>
        <v>146.1479731</v>
      </c>
      <c r="R9" s="186">
        <f>Assumptions!R14</f>
        <v>151.1227644</v>
      </c>
      <c r="S9" s="186">
        <f>Assumptions!S14</f>
        <v>151.3963537</v>
      </c>
      <c r="T9" s="186">
        <f>Assumptions!T14</f>
        <v>151.1431632</v>
      </c>
      <c r="U9" s="185">
        <f t="shared" si="3"/>
        <v>599.8102544</v>
      </c>
      <c r="V9" s="186">
        <f>Assumptions!V14</f>
        <v>161.9407734</v>
      </c>
      <c r="W9" s="186">
        <f>Assumptions!W14</f>
        <v>168.4876254</v>
      </c>
      <c r="X9" s="186">
        <f>Assumptions!X14</f>
        <v>169.4715387</v>
      </c>
      <c r="Y9" s="186">
        <f>Assumptions!Y14</f>
        <v>169.469585</v>
      </c>
      <c r="Z9" s="185">
        <f t="shared" si="4"/>
        <v>669.3695226</v>
      </c>
      <c r="AA9" s="186">
        <f>Assumptions!AA14</f>
        <v>179.6002173</v>
      </c>
      <c r="AB9" s="186">
        <f>Assumptions!AB14</f>
        <v>186.720587</v>
      </c>
      <c r="AC9" s="186">
        <f>Assumptions!AC14</f>
        <v>187.6146468</v>
      </c>
      <c r="AD9" s="186">
        <f>Assumptions!AD14</f>
        <v>187.3293743</v>
      </c>
      <c r="AE9" s="185">
        <f t="shared" si="5"/>
        <v>741.2648254</v>
      </c>
      <c r="AF9" s="186">
        <f>Assumptions!AF14</f>
        <v>198.2974448</v>
      </c>
      <c r="AG9" s="186">
        <f>Assumptions!AG14</f>
        <v>205.7332846</v>
      </c>
      <c r="AH9" s="186">
        <f>Assumptions!AH14</f>
        <v>205.9584191</v>
      </c>
      <c r="AI9" s="186">
        <f>Assumptions!AI14</f>
        <v>204.5482241</v>
      </c>
      <c r="AJ9" s="185">
        <f t="shared" si="6"/>
        <v>814.5373726</v>
      </c>
      <c r="AK9" s="186">
        <f>Assumptions!AK14</f>
        <v>213.6633812</v>
      </c>
      <c r="AL9" s="186">
        <f>Assumptions!AL14</f>
        <v>221.584033</v>
      </c>
      <c r="AM9" s="186">
        <f>Assumptions!AM14</f>
        <v>221.7069133</v>
      </c>
      <c r="AN9" s="186">
        <f>Assumptions!AN14</f>
        <v>220.0156053</v>
      </c>
      <c r="AO9" s="185">
        <f t="shared" si="7"/>
        <v>876.9699328</v>
      </c>
      <c r="AP9" s="165"/>
      <c r="AQ9" s="187"/>
      <c r="AR9" s="188"/>
      <c r="AS9" s="188"/>
      <c r="AT9" s="188"/>
      <c r="AU9" s="164"/>
    </row>
    <row r="10" ht="10.5" customHeight="1">
      <c r="A10" s="189" t="s">
        <v>160</v>
      </c>
      <c r="B10" s="190">
        <v>23.661</v>
      </c>
      <c r="C10" s="190">
        <v>73.862</v>
      </c>
      <c r="D10" s="190">
        <v>66.141</v>
      </c>
      <c r="E10" s="190">
        <v>70.437</v>
      </c>
      <c r="F10" s="191">
        <v>234.101</v>
      </c>
      <c r="G10" s="190">
        <v>21.619</v>
      </c>
      <c r="H10" s="190">
        <v>67.685</v>
      </c>
      <c r="I10" s="190">
        <v>61.699</v>
      </c>
      <c r="J10" s="190">
        <v>105.117</v>
      </c>
      <c r="K10" s="191">
        <f t="shared" si="1"/>
        <v>256.12</v>
      </c>
      <c r="L10" s="190">
        <v>27.813</v>
      </c>
      <c r="M10" s="190">
        <v>82.232</v>
      </c>
      <c r="N10" s="190">
        <v>78.837</v>
      </c>
      <c r="O10" s="192">
        <f>Assumptions!O18</f>
        <v>105.117</v>
      </c>
      <c r="P10" s="191">
        <f t="shared" si="2"/>
        <v>293.999</v>
      </c>
      <c r="Q10" s="192">
        <f>Assumptions!Q18</f>
        <v>30.31617</v>
      </c>
      <c r="R10" s="192">
        <f>Assumptions!R18</f>
        <v>89.63288</v>
      </c>
      <c r="S10" s="192">
        <f>Assumptions!S18</f>
        <v>85.93233</v>
      </c>
      <c r="T10" s="192">
        <f>Assumptions!T18</f>
        <v>113.52636</v>
      </c>
      <c r="U10" s="191">
        <f t="shared" si="3"/>
        <v>319.40774</v>
      </c>
      <c r="V10" s="192">
        <f>Assumptions!V18</f>
        <v>32.28672105</v>
      </c>
      <c r="W10" s="192">
        <f>Assumptions!W18</f>
        <v>95.4590172</v>
      </c>
      <c r="X10" s="192">
        <f>Assumptions!X18</f>
        <v>91.51793145</v>
      </c>
      <c r="Y10" s="192">
        <f>Assumptions!Y18</f>
        <v>120.9055734</v>
      </c>
      <c r="Z10" s="191">
        <f t="shared" si="4"/>
        <v>340.1692431</v>
      </c>
      <c r="AA10" s="192">
        <f>Assumptions!AA18</f>
        <v>33.57818989</v>
      </c>
      <c r="AB10" s="192">
        <f>Assumptions!AB18</f>
        <v>99.27737789</v>
      </c>
      <c r="AC10" s="192">
        <f>Assumptions!AC18</f>
        <v>95.17864871</v>
      </c>
      <c r="AD10" s="192">
        <f>Assumptions!AD18</f>
        <v>125.7417963</v>
      </c>
      <c r="AE10" s="191">
        <f t="shared" si="5"/>
        <v>353.7760128</v>
      </c>
      <c r="AF10" s="192">
        <f>Assumptions!AF18</f>
        <v>34.41764464</v>
      </c>
      <c r="AG10" s="192">
        <f>Assumptions!AG18</f>
        <v>101.7593123</v>
      </c>
      <c r="AH10" s="192">
        <f>Assumptions!AH18</f>
        <v>97.55811493</v>
      </c>
      <c r="AI10" s="192">
        <f>Assumptions!AI18</f>
        <v>128.8853412</v>
      </c>
      <c r="AJ10" s="191">
        <f t="shared" si="6"/>
        <v>362.6204131</v>
      </c>
      <c r="AK10" s="192">
        <f>Assumptions!AK18</f>
        <v>35.27808576</v>
      </c>
      <c r="AL10" s="192">
        <f>Assumptions!AL18</f>
        <v>104.3032951</v>
      </c>
      <c r="AM10" s="192">
        <f>Assumptions!AM18</f>
        <v>99.9970678</v>
      </c>
      <c r="AN10" s="192">
        <f>Assumptions!AN18</f>
        <v>132.1074748</v>
      </c>
      <c r="AO10" s="191">
        <f t="shared" si="7"/>
        <v>371.6859235</v>
      </c>
      <c r="AP10" s="165"/>
      <c r="AQ10" s="187"/>
      <c r="AR10" s="188"/>
      <c r="AS10" s="188"/>
      <c r="AT10" s="188"/>
      <c r="AU10" s="164"/>
    </row>
    <row r="11" ht="10.5" customHeight="1">
      <c r="A11" s="193" t="s">
        <v>161</v>
      </c>
      <c r="B11" s="193">
        <f t="shared" ref="B11:AO11" si="8">SUM(B8:B10)</f>
        <v>205.421</v>
      </c>
      <c r="C11" s="193">
        <f t="shared" si="8"/>
        <v>268.467</v>
      </c>
      <c r="D11" s="193">
        <f t="shared" si="8"/>
        <v>259.973</v>
      </c>
      <c r="E11" s="193">
        <f t="shared" si="8"/>
        <v>267.452</v>
      </c>
      <c r="F11" s="194">
        <f t="shared" si="8"/>
        <v>1071.325</v>
      </c>
      <c r="G11" s="193">
        <f t="shared" si="8"/>
        <v>248.017</v>
      </c>
      <c r="H11" s="193">
        <f t="shared" si="8"/>
        <v>300.941</v>
      </c>
      <c r="I11" s="193">
        <f t="shared" si="8"/>
        <v>292.246</v>
      </c>
      <c r="J11" s="193">
        <f t="shared" si="8"/>
        <v>340.45</v>
      </c>
      <c r="K11" s="194">
        <f t="shared" si="8"/>
        <v>1181.654</v>
      </c>
      <c r="L11" s="193">
        <f t="shared" si="8"/>
        <v>276.662</v>
      </c>
      <c r="M11" s="193">
        <f t="shared" si="8"/>
        <v>340.879</v>
      </c>
      <c r="N11" s="193">
        <f t="shared" si="8"/>
        <v>330.345</v>
      </c>
      <c r="O11" s="193">
        <f t="shared" si="8"/>
        <v>361.1294958</v>
      </c>
      <c r="P11" s="194">
        <f t="shared" si="8"/>
        <v>1309.015496</v>
      </c>
      <c r="Q11" s="193">
        <f t="shared" si="8"/>
        <v>317.6319534</v>
      </c>
      <c r="R11" s="193">
        <f t="shared" si="8"/>
        <v>387.6054404</v>
      </c>
      <c r="S11" s="193">
        <f t="shared" si="8"/>
        <v>376.0927785</v>
      </c>
      <c r="T11" s="193">
        <f t="shared" si="8"/>
        <v>410.5792607</v>
      </c>
      <c r="U11" s="194">
        <f t="shared" si="8"/>
        <v>1491.909433</v>
      </c>
      <c r="V11" s="193">
        <f t="shared" si="8"/>
        <v>353.034502</v>
      </c>
      <c r="W11" s="193">
        <f t="shared" si="8"/>
        <v>429.334372</v>
      </c>
      <c r="X11" s="193">
        <f t="shared" si="8"/>
        <v>415.7912906</v>
      </c>
      <c r="Y11" s="193">
        <f t="shared" si="8"/>
        <v>452.9770454</v>
      </c>
      <c r="Z11" s="194">
        <f t="shared" si="8"/>
        <v>1651.13721</v>
      </c>
      <c r="AA11" s="193">
        <f t="shared" si="8"/>
        <v>389.1039478</v>
      </c>
      <c r="AB11" s="193">
        <f t="shared" si="8"/>
        <v>469.1167593</v>
      </c>
      <c r="AC11" s="193">
        <f t="shared" si="8"/>
        <v>454.0989254</v>
      </c>
      <c r="AD11" s="193">
        <f t="shared" si="8"/>
        <v>492.8096549</v>
      </c>
      <c r="AE11" s="194">
        <f t="shared" si="8"/>
        <v>1805.129287</v>
      </c>
      <c r="AF11" s="193">
        <f t="shared" si="8"/>
        <v>425.0570932</v>
      </c>
      <c r="AG11" s="193">
        <f t="shared" si="8"/>
        <v>507.4447469</v>
      </c>
      <c r="AH11" s="193">
        <f t="shared" si="8"/>
        <v>490.2731388</v>
      </c>
      <c r="AI11" s="193">
        <f t="shared" si="8"/>
        <v>529.0138512</v>
      </c>
      <c r="AJ11" s="194">
        <f t="shared" si="8"/>
        <v>1951.78883</v>
      </c>
      <c r="AK11" s="193">
        <f t="shared" si="8"/>
        <v>457.990054</v>
      </c>
      <c r="AL11" s="193">
        <f t="shared" si="8"/>
        <v>543.1288922</v>
      </c>
      <c r="AM11" s="193">
        <f t="shared" si="8"/>
        <v>524.5370856</v>
      </c>
      <c r="AN11" s="193">
        <f t="shared" si="8"/>
        <v>564.370547</v>
      </c>
      <c r="AO11" s="194">
        <f t="shared" si="8"/>
        <v>2090.026579</v>
      </c>
      <c r="AP11" s="186"/>
      <c r="AQ11" s="187"/>
      <c r="AR11" s="188"/>
      <c r="AS11" s="188"/>
      <c r="AT11" s="188"/>
      <c r="AU11" s="186"/>
    </row>
    <row r="12" ht="10.5" customHeight="1">
      <c r="A12" s="181" t="s">
        <v>162</v>
      </c>
      <c r="B12" s="186"/>
      <c r="C12" s="186"/>
      <c r="D12" s="186"/>
      <c r="E12" s="186"/>
      <c r="F12" s="185"/>
      <c r="G12" s="186"/>
      <c r="H12" s="186"/>
      <c r="I12" s="186"/>
      <c r="J12" s="186"/>
      <c r="K12" s="195"/>
      <c r="L12" s="186"/>
      <c r="M12" s="186"/>
      <c r="N12" s="186"/>
      <c r="O12" s="186"/>
      <c r="P12" s="185"/>
      <c r="Q12" s="186"/>
      <c r="R12" s="186"/>
      <c r="S12" s="186"/>
      <c r="T12" s="186"/>
      <c r="U12" s="185"/>
      <c r="V12" s="186"/>
      <c r="W12" s="186"/>
      <c r="X12" s="186"/>
      <c r="Y12" s="186"/>
      <c r="Z12" s="185"/>
      <c r="AA12" s="186"/>
      <c r="AB12" s="186"/>
      <c r="AC12" s="186"/>
      <c r="AD12" s="186"/>
      <c r="AE12" s="185"/>
      <c r="AF12" s="186"/>
      <c r="AG12" s="186"/>
      <c r="AH12" s="186"/>
      <c r="AI12" s="186"/>
      <c r="AJ12" s="185"/>
      <c r="AK12" s="186"/>
      <c r="AL12" s="186"/>
      <c r="AM12" s="186"/>
      <c r="AN12" s="186"/>
      <c r="AO12" s="185"/>
      <c r="AP12" s="165"/>
      <c r="AQ12" s="187"/>
      <c r="AR12" s="188"/>
      <c r="AS12" s="188"/>
      <c r="AT12" s="188"/>
      <c r="AU12" s="164"/>
    </row>
    <row r="13" ht="10.5" customHeight="1">
      <c r="A13" s="183" t="s">
        <v>163</v>
      </c>
      <c r="B13" s="184">
        <v>19.354</v>
      </c>
      <c r="C13" s="184">
        <v>59.457</v>
      </c>
      <c r="D13" s="184">
        <v>53.751</v>
      </c>
      <c r="E13" s="184">
        <v>57.465</v>
      </c>
      <c r="F13" s="196">
        <v>190.02700000000002</v>
      </c>
      <c r="G13" s="184">
        <v>18.993</v>
      </c>
      <c r="H13" s="184">
        <v>51.934</v>
      </c>
      <c r="I13" s="184">
        <v>45.701</v>
      </c>
      <c r="J13" s="184">
        <v>80.494</v>
      </c>
      <c r="K13" s="185">
        <f t="shared" ref="K13:K18" si="9">SUM(G13:J13)</f>
        <v>197.122</v>
      </c>
      <c r="L13" s="184">
        <v>22.485</v>
      </c>
      <c r="M13" s="184">
        <v>59.423</v>
      </c>
      <c r="N13" s="184">
        <v>58.155</v>
      </c>
      <c r="O13" s="186">
        <f>Assumptions!O96</f>
        <v>85.38333862</v>
      </c>
      <c r="P13" s="185">
        <f t="shared" ref="P13:P18" si="10">SUM(L13:O13)</f>
        <v>225.4463386</v>
      </c>
      <c r="Q13" s="186">
        <f>Assumptions!Q96</f>
        <v>23.90893698</v>
      </c>
      <c r="R13" s="186">
        <f>Assumptions!R96</f>
        <v>65.24285379</v>
      </c>
      <c r="S13" s="186">
        <f>Assumptions!S96</f>
        <v>63.9520299</v>
      </c>
      <c r="T13" s="186">
        <f>Assumptions!T96</f>
        <v>94.61147527</v>
      </c>
      <c r="U13" s="185">
        <f t="shared" ref="U13:U18" si="11">SUM(Q13:T13)</f>
        <v>247.7152959</v>
      </c>
      <c r="V13" s="186">
        <f>Assumptions!V96</f>
        <v>24.80860122</v>
      </c>
      <c r="W13" s="186">
        <f>Assumptions!W96</f>
        <v>70.12011476</v>
      </c>
      <c r="X13" s="186">
        <f>Assumptions!X96</f>
        <v>68.62353658</v>
      </c>
      <c r="Y13" s="186">
        <f>Assumptions!Y96</f>
        <v>102.1164867</v>
      </c>
      <c r="Z13" s="185">
        <f t="shared" ref="Z13:Z18" si="12">SUM(V13:Y13)</f>
        <v>265.6687393</v>
      </c>
      <c r="AA13" s="186">
        <f>Assumptions!AA96</f>
        <v>27.34328974</v>
      </c>
      <c r="AB13" s="186">
        <f>Assumptions!AB96</f>
        <v>76.61748779</v>
      </c>
      <c r="AC13" s="186">
        <f>Assumptions!AC96</f>
        <v>74.94595227</v>
      </c>
      <c r="AD13" s="186">
        <f>Assumptions!AD96</f>
        <v>111.0961164</v>
      </c>
      <c r="AE13" s="185">
        <f t="shared" ref="AE13:AE18" si="13">SUM(AA13:AD13)</f>
        <v>290.0028462</v>
      </c>
      <c r="AF13" s="186">
        <f>Assumptions!AF96</f>
        <v>29.86980554</v>
      </c>
      <c r="AG13" s="186">
        <f>Assumptions!AG96</f>
        <v>82.8773241</v>
      </c>
      <c r="AH13" s="186">
        <f>Assumptions!AH96</f>
        <v>80.91626121</v>
      </c>
      <c r="AI13" s="186">
        <f>Assumptions!AI96</f>
        <v>119.257778</v>
      </c>
      <c r="AJ13" s="185">
        <f t="shared" ref="AJ13:AJ18" si="14">SUM(AF13:AI13)</f>
        <v>312.9211688</v>
      </c>
      <c r="AK13" s="186">
        <f>Assumptions!AK96</f>
        <v>32.18408555</v>
      </c>
      <c r="AL13" s="186">
        <f>Assumptions!AL96</f>
        <v>88.70536053</v>
      </c>
      <c r="AM13" s="186">
        <f>Assumptions!AM96</f>
        <v>86.57129357</v>
      </c>
      <c r="AN13" s="186">
        <f>Assumptions!AN96</f>
        <v>127.228384</v>
      </c>
      <c r="AO13" s="185">
        <f t="shared" ref="AO13:AO18" si="15">SUM(AK13:AN13)</f>
        <v>334.6891237</v>
      </c>
      <c r="AP13" s="165"/>
      <c r="AQ13" s="187"/>
      <c r="AR13" s="188"/>
      <c r="AS13" s="188"/>
      <c r="AT13" s="188"/>
      <c r="AU13" s="164"/>
    </row>
    <row r="14" ht="10.5" customHeight="1">
      <c r="A14" s="183" t="s">
        <v>164</v>
      </c>
      <c r="B14" s="184">
        <v>66.015</v>
      </c>
      <c r="C14" s="184">
        <v>58.876</v>
      </c>
      <c r="D14" s="184">
        <v>63.12</v>
      </c>
      <c r="E14" s="184">
        <v>65.608</v>
      </c>
      <c r="F14" s="196">
        <v>253.619</v>
      </c>
      <c r="G14" s="184">
        <v>74.353</v>
      </c>
      <c r="H14" s="184">
        <v>70.152</v>
      </c>
      <c r="I14" s="184">
        <v>71.614</v>
      </c>
      <c r="J14" s="184">
        <v>74.388</v>
      </c>
      <c r="K14" s="185">
        <f t="shared" si="9"/>
        <v>290.507</v>
      </c>
      <c r="L14" s="184">
        <v>81.68</v>
      </c>
      <c r="M14" s="184">
        <v>77.437</v>
      </c>
      <c r="N14" s="184">
        <v>79.792</v>
      </c>
      <c r="O14" s="186">
        <f>Assumptions!O100</f>
        <v>77.64284159</v>
      </c>
      <c r="P14" s="185">
        <f t="shared" si="10"/>
        <v>316.5518416</v>
      </c>
      <c r="Q14" s="186">
        <f>Assumptions!Q100</f>
        <v>91.86992722</v>
      </c>
      <c r="R14" s="186">
        <f>Assumptions!R100</f>
        <v>85.7261467</v>
      </c>
      <c r="S14" s="186">
        <f>Assumptions!S100</f>
        <v>88.58542665</v>
      </c>
      <c r="T14" s="186">
        <f>Assumptions!T100</f>
        <v>85.81106549</v>
      </c>
      <c r="U14" s="185">
        <f t="shared" si="11"/>
        <v>351.9925661</v>
      </c>
      <c r="V14" s="186">
        <f>Assumptions!V100</f>
        <v>100.3443718</v>
      </c>
      <c r="W14" s="186">
        <f>Assumptions!W100</f>
        <v>94.95527543</v>
      </c>
      <c r="X14" s="186">
        <f>Assumptions!X100</f>
        <v>97.93607053</v>
      </c>
      <c r="Y14" s="186">
        <f>Assumptions!Y100</f>
        <v>94.67220249</v>
      </c>
      <c r="Z14" s="185">
        <f t="shared" si="12"/>
        <v>387.9079202</v>
      </c>
      <c r="AA14" s="186">
        <f>Assumptions!AA100</f>
        <v>110.5965308</v>
      </c>
      <c r="AB14" s="186">
        <f>Assumptions!AB100</f>
        <v>103.7538897</v>
      </c>
      <c r="AC14" s="186">
        <f>Assumptions!AC100</f>
        <v>106.9591052</v>
      </c>
      <c r="AD14" s="186">
        <f>Assumptions!AD100</f>
        <v>102.9972179</v>
      </c>
      <c r="AE14" s="185">
        <f t="shared" si="13"/>
        <v>424.3067436</v>
      </c>
      <c r="AF14" s="186">
        <f>Assumptions!AF100</f>
        <v>120.8156334</v>
      </c>
      <c r="AG14" s="186">
        <f>Assumptions!AG100</f>
        <v>112.2308365</v>
      </c>
      <c r="AH14" s="186">
        <f>Assumptions!AH100</f>
        <v>115.4796307</v>
      </c>
      <c r="AI14" s="186">
        <f>Assumptions!AI100</f>
        <v>110.5638949</v>
      </c>
      <c r="AJ14" s="185">
        <f t="shared" si="14"/>
        <v>459.0899956</v>
      </c>
      <c r="AK14" s="186">
        <f>Assumptions!AK100</f>
        <v>130.1762972</v>
      </c>
      <c r="AL14" s="186">
        <f>Assumptions!AL100</f>
        <v>120.1230484</v>
      </c>
      <c r="AM14" s="186">
        <f>Assumptions!AM100</f>
        <v>123.5502094</v>
      </c>
      <c r="AN14" s="186">
        <f>Assumptions!AN100</f>
        <v>117.9534443</v>
      </c>
      <c r="AO14" s="185">
        <f t="shared" si="15"/>
        <v>491.8029993</v>
      </c>
      <c r="AP14" s="165"/>
      <c r="AQ14" s="187"/>
      <c r="AR14" s="188"/>
      <c r="AS14" s="188"/>
      <c r="AT14" s="188"/>
      <c r="AU14" s="164"/>
    </row>
    <row r="15" ht="10.5" customHeight="1">
      <c r="A15" s="183" t="s">
        <v>165</v>
      </c>
      <c r="B15" s="184">
        <v>27.767</v>
      </c>
      <c r="C15" s="184">
        <v>32.646</v>
      </c>
      <c r="D15" s="184">
        <v>33.29</v>
      </c>
      <c r="E15" s="184">
        <v>31.225</v>
      </c>
      <c r="F15" s="196">
        <v>124.928</v>
      </c>
      <c r="G15" s="184">
        <v>29.193</v>
      </c>
      <c r="H15" s="184">
        <v>31.613</v>
      </c>
      <c r="I15" s="184">
        <v>32.647</v>
      </c>
      <c r="J15" s="184">
        <v>35.693</v>
      </c>
      <c r="K15" s="185">
        <f t="shared" si="9"/>
        <v>129.146</v>
      </c>
      <c r="L15" s="184">
        <v>34.307</v>
      </c>
      <c r="M15" s="184">
        <v>35.511</v>
      </c>
      <c r="N15" s="184">
        <v>30.525</v>
      </c>
      <c r="O15" s="186">
        <f>Assumptions!O104</f>
        <v>35.39069059</v>
      </c>
      <c r="P15" s="185">
        <f t="shared" si="10"/>
        <v>135.7336906</v>
      </c>
      <c r="Q15" s="186">
        <f>Assumptions!Q104</f>
        <v>39.38740927</v>
      </c>
      <c r="R15" s="186">
        <f>Assumptions!R104</f>
        <v>40.37871736</v>
      </c>
      <c r="S15" s="186">
        <f>Assumptions!S104</f>
        <v>34.75225011</v>
      </c>
      <c r="T15" s="186">
        <f>Assumptions!T104</f>
        <v>40.23676755</v>
      </c>
      <c r="U15" s="185">
        <f t="shared" si="11"/>
        <v>154.7551443</v>
      </c>
      <c r="V15" s="186">
        <f>Assumptions!V104</f>
        <v>43.77744201</v>
      </c>
      <c r="W15" s="186">
        <f>Assumptions!W104</f>
        <v>44.72582026</v>
      </c>
      <c r="X15" s="186">
        <f>Assumptions!X104</f>
        <v>38.42052747</v>
      </c>
      <c r="Y15" s="186">
        <f>Assumptions!Y104</f>
        <v>44.39175045</v>
      </c>
      <c r="Z15" s="185">
        <f t="shared" si="12"/>
        <v>171.3155402</v>
      </c>
      <c r="AA15" s="186">
        <f>Assumptions!AA104</f>
        <v>48.25017219</v>
      </c>
      <c r="AB15" s="186">
        <f>Assumptions!AB104</f>
        <v>48.87014231</v>
      </c>
      <c r="AC15" s="186">
        <f>Assumptions!AC104</f>
        <v>41.96028303</v>
      </c>
      <c r="AD15" s="186">
        <f>Assumptions!AD104</f>
        <v>48.29534618</v>
      </c>
      <c r="AE15" s="185">
        <f t="shared" si="13"/>
        <v>187.3759437</v>
      </c>
      <c r="AF15" s="186">
        <f>Assumptions!AF104</f>
        <v>44.20593769</v>
      </c>
      <c r="AG15" s="186">
        <f>Assumptions!AG104</f>
        <v>52.77425368</v>
      </c>
      <c r="AH15" s="186">
        <f>Assumptions!AH104</f>
        <v>50.98840644</v>
      </c>
      <c r="AI15" s="186">
        <f>Assumptions!AI104</f>
        <v>55.01744052</v>
      </c>
      <c r="AJ15" s="185">
        <f t="shared" si="14"/>
        <v>202.9860383</v>
      </c>
      <c r="AK15" s="186">
        <f>Assumptions!AK104</f>
        <v>47.63096562</v>
      </c>
      <c r="AL15" s="186">
        <f>Assumptions!AL104</f>
        <v>56.48540479</v>
      </c>
      <c r="AM15" s="186">
        <f>Assumptions!AM104</f>
        <v>54.55185691</v>
      </c>
      <c r="AN15" s="186">
        <f>Assumptions!AN104</f>
        <v>58.69453689</v>
      </c>
      <c r="AO15" s="185">
        <f t="shared" si="15"/>
        <v>217.3627642</v>
      </c>
      <c r="AP15" s="165"/>
      <c r="AQ15" s="187"/>
      <c r="AR15" s="188"/>
      <c r="AS15" s="188"/>
      <c r="AT15" s="188"/>
      <c r="AU15" s="164"/>
    </row>
    <row r="16" ht="10.5" customHeight="1">
      <c r="A16" s="183" t="s">
        <v>166</v>
      </c>
      <c r="B16" s="184">
        <v>16.987</v>
      </c>
      <c r="C16" s="184">
        <v>17.89</v>
      </c>
      <c r="D16" s="184">
        <v>17.618</v>
      </c>
      <c r="E16" s="184">
        <v>17.599</v>
      </c>
      <c r="F16" s="196">
        <v>70.094</v>
      </c>
      <c r="G16" s="184">
        <v>19.792</v>
      </c>
      <c r="H16" s="184">
        <v>20.112</v>
      </c>
      <c r="I16" s="184">
        <v>19.72</v>
      </c>
      <c r="J16" s="184">
        <v>19.385</v>
      </c>
      <c r="K16" s="185">
        <f t="shared" si="9"/>
        <v>79.009</v>
      </c>
      <c r="L16" s="184">
        <v>21.944</v>
      </c>
      <c r="M16" s="184">
        <v>22.777</v>
      </c>
      <c r="N16" s="184">
        <v>21.429</v>
      </c>
      <c r="O16" s="186">
        <f>Assumptions!O108</f>
        <v>20.35425</v>
      </c>
      <c r="P16" s="185">
        <f t="shared" si="10"/>
        <v>86.50425</v>
      </c>
      <c r="Q16" s="186">
        <f>Assumptions!Q108</f>
        <v>27.43</v>
      </c>
      <c r="R16" s="186">
        <f>Assumptions!R108</f>
        <v>28.47125</v>
      </c>
      <c r="S16" s="186">
        <f>Assumptions!S108</f>
        <v>26.78625</v>
      </c>
      <c r="T16" s="186">
        <f>Assumptions!T108</f>
        <v>25.4428125</v>
      </c>
      <c r="U16" s="185">
        <f t="shared" si="11"/>
        <v>108.1303125</v>
      </c>
      <c r="V16" s="186">
        <f>Assumptions!V108</f>
        <v>29.3501</v>
      </c>
      <c r="W16" s="186">
        <f>Assumptions!W108</f>
        <v>30.4642375</v>
      </c>
      <c r="X16" s="186">
        <f>Assumptions!X108</f>
        <v>28.6612875</v>
      </c>
      <c r="Y16" s="186">
        <f>Assumptions!Y108</f>
        <v>27.22380938</v>
      </c>
      <c r="Z16" s="185">
        <f t="shared" si="12"/>
        <v>115.6994344</v>
      </c>
      <c r="AA16" s="186">
        <f>Assumptions!AA108</f>
        <v>30.817605</v>
      </c>
      <c r="AB16" s="186">
        <f>Assumptions!AB108</f>
        <v>31.98744938</v>
      </c>
      <c r="AC16" s="186">
        <f>Assumptions!AC108</f>
        <v>30.09435188</v>
      </c>
      <c r="AD16" s="186">
        <f>Assumptions!AD108</f>
        <v>28.58499984</v>
      </c>
      <c r="AE16" s="185">
        <f t="shared" si="13"/>
        <v>121.4844061</v>
      </c>
      <c r="AF16" s="186">
        <f>Assumptions!AF108</f>
        <v>32.35848525</v>
      </c>
      <c r="AG16" s="186">
        <f>Assumptions!AG108</f>
        <v>33.58682184</v>
      </c>
      <c r="AH16" s="186">
        <f>Assumptions!AH108</f>
        <v>31.59906947</v>
      </c>
      <c r="AI16" s="186">
        <f>Assumptions!AI108</f>
        <v>30.01424984</v>
      </c>
      <c r="AJ16" s="185">
        <f t="shared" si="14"/>
        <v>127.5586264</v>
      </c>
      <c r="AK16" s="186">
        <f>Assumptions!AK108</f>
        <v>33.97640951</v>
      </c>
      <c r="AL16" s="186">
        <f>Assumptions!AL108</f>
        <v>35.26616294</v>
      </c>
      <c r="AM16" s="186">
        <f>Assumptions!AM108</f>
        <v>33.17902294</v>
      </c>
      <c r="AN16" s="186">
        <f>Assumptions!AN108</f>
        <v>31.51496233</v>
      </c>
      <c r="AO16" s="185">
        <f t="shared" si="15"/>
        <v>133.9365577</v>
      </c>
      <c r="AP16" s="165"/>
      <c r="AQ16" s="187"/>
      <c r="AR16" s="188"/>
      <c r="AS16" s="188"/>
      <c r="AT16" s="188"/>
      <c r="AU16" s="164"/>
    </row>
    <row r="17" ht="10.5" customHeight="1">
      <c r="A17" s="183" t="s">
        <v>167</v>
      </c>
      <c r="B17" s="184">
        <v>36.01</v>
      </c>
      <c r="C17" s="184">
        <v>36.767</v>
      </c>
      <c r="D17" s="184">
        <v>37.477</v>
      </c>
      <c r="E17" s="184">
        <v>39.159</v>
      </c>
      <c r="F17" s="196">
        <v>149.41299999999998</v>
      </c>
      <c r="G17" s="184">
        <v>39.38</v>
      </c>
      <c r="H17" s="184">
        <v>39.817</v>
      </c>
      <c r="I17" s="184">
        <v>41.033</v>
      </c>
      <c r="J17" s="184">
        <v>40.116</v>
      </c>
      <c r="K17" s="185">
        <f t="shared" si="9"/>
        <v>160.346</v>
      </c>
      <c r="L17" s="184">
        <v>38.281</v>
      </c>
      <c r="M17" s="184">
        <v>38.429</v>
      </c>
      <c r="N17" s="184">
        <v>39.108</v>
      </c>
      <c r="O17" s="186">
        <f>-Assumptions!O122-Assumptions!O137</f>
        <v>39.12378076</v>
      </c>
      <c r="P17" s="185">
        <f t="shared" si="10"/>
        <v>154.9417808</v>
      </c>
      <c r="Q17" s="186">
        <f>-Assumptions!Q122-Assumptions!Q137</f>
        <v>35.63336737</v>
      </c>
      <c r="R17" s="186">
        <f>-Assumptions!R122-Assumptions!R137</f>
        <v>35.96667246</v>
      </c>
      <c r="S17" s="186">
        <f>-Assumptions!S122-Assumptions!S137</f>
        <v>36.94346388</v>
      </c>
      <c r="T17" s="186">
        <f>-Assumptions!T122-Assumptions!T137</f>
        <v>38.15552838</v>
      </c>
      <c r="U17" s="185">
        <f t="shared" si="11"/>
        <v>146.6990321</v>
      </c>
      <c r="V17" s="186">
        <f>-Assumptions!V122-Assumptions!V137</f>
        <v>37.79306701</v>
      </c>
      <c r="W17" s="186">
        <f>-Assumptions!W122-Assumptions!W137</f>
        <v>38.25035772</v>
      </c>
      <c r="X17" s="186">
        <f>-Assumptions!X122-Assumptions!X137</f>
        <v>35.95816238</v>
      </c>
      <c r="Y17" s="186">
        <f>-Assumptions!Y122-Assumptions!Y137</f>
        <v>39.65088761</v>
      </c>
      <c r="Z17" s="185">
        <f t="shared" si="12"/>
        <v>151.6524747</v>
      </c>
      <c r="AA17" s="186">
        <f>-Assumptions!AA122-Assumptions!AA137</f>
        <v>40.00620653</v>
      </c>
      <c r="AB17" s="186">
        <f>-Assumptions!AB122-Assumptions!AB137</f>
        <v>40.54134711</v>
      </c>
      <c r="AC17" s="186">
        <f>-Assumptions!AC122-Assumptions!AC137</f>
        <v>38.0984465</v>
      </c>
      <c r="AD17" s="186">
        <f>-Assumptions!AD122-Assumptions!AD137</f>
        <v>42.10975019</v>
      </c>
      <c r="AE17" s="185">
        <f t="shared" si="13"/>
        <v>160.7557503</v>
      </c>
      <c r="AF17" s="186">
        <f>-Assumptions!AF122-Assumptions!AF137</f>
        <v>41.78697249</v>
      </c>
      <c r="AG17" s="186">
        <f>-Assumptions!AG122-Assumptions!AG137</f>
        <v>42.37860031</v>
      </c>
      <c r="AH17" s="186">
        <f>-Assumptions!AH122-Assumptions!AH137</f>
        <v>39.73537066</v>
      </c>
      <c r="AI17" s="186">
        <f>-Assumptions!AI122-Assumptions!AI137</f>
        <v>44.06015782</v>
      </c>
      <c r="AJ17" s="185">
        <f t="shared" si="14"/>
        <v>167.9611013</v>
      </c>
      <c r="AK17" s="186">
        <f>-Assumptions!AK122-Assumptions!AK137</f>
        <v>46.00664113</v>
      </c>
      <c r="AL17" s="186">
        <f>-Assumptions!AL122-Assumptions!AL137</f>
        <v>46.62803422</v>
      </c>
      <c r="AM17" s="186">
        <f>-Assumptions!AM122-Assumptions!AM137</f>
        <v>43.74830002</v>
      </c>
      <c r="AN17" s="186">
        <f>-Assumptions!AN122-Assumptions!AN137</f>
        <v>48.38527576</v>
      </c>
      <c r="AO17" s="185">
        <f t="shared" si="15"/>
        <v>184.7682511</v>
      </c>
      <c r="AP17" s="165"/>
      <c r="AQ17" s="187"/>
      <c r="AR17" s="188"/>
      <c r="AS17" s="188"/>
      <c r="AT17" s="188"/>
      <c r="AU17" s="164"/>
    </row>
    <row r="18" ht="10.5" customHeight="1">
      <c r="A18" s="189" t="s">
        <v>168</v>
      </c>
      <c r="B18" s="190">
        <v>3.936</v>
      </c>
      <c r="C18" s="190">
        <v>3.825</v>
      </c>
      <c r="D18" s="190">
        <v>-0.056</v>
      </c>
      <c r="E18" s="190">
        <v>2.674</v>
      </c>
      <c r="F18" s="197">
        <v>10.379</v>
      </c>
      <c r="G18" s="190">
        <v>0.484</v>
      </c>
      <c r="H18" s="190">
        <v>-0.066</v>
      </c>
      <c r="I18" s="190">
        <v>0.28</v>
      </c>
      <c r="J18" s="190">
        <v>0.628</v>
      </c>
      <c r="K18" s="191">
        <f t="shared" si="9"/>
        <v>1.326</v>
      </c>
      <c r="L18" s="190">
        <v>-1.237</v>
      </c>
      <c r="M18" s="190">
        <v>4.9</v>
      </c>
      <c r="N18" s="190">
        <v>-5.732</v>
      </c>
      <c r="O18" s="192">
        <f>Assumptions!O111</f>
        <v>0</v>
      </c>
      <c r="P18" s="191">
        <f t="shared" si="10"/>
        <v>-2.069</v>
      </c>
      <c r="Q18" s="192">
        <f>Assumptions!Q111</f>
        <v>0</v>
      </c>
      <c r="R18" s="192">
        <f>Assumptions!R111</f>
        <v>0</v>
      </c>
      <c r="S18" s="192">
        <f>Assumptions!S111</f>
        <v>0</v>
      </c>
      <c r="T18" s="192">
        <f>Assumptions!T111</f>
        <v>0</v>
      </c>
      <c r="U18" s="191">
        <f t="shared" si="11"/>
        <v>0</v>
      </c>
      <c r="V18" s="192">
        <f>Assumptions!V111</f>
        <v>0</v>
      </c>
      <c r="W18" s="192">
        <f>Assumptions!W111</f>
        <v>0</v>
      </c>
      <c r="X18" s="192">
        <f>Assumptions!X111</f>
        <v>0</v>
      </c>
      <c r="Y18" s="192">
        <f>Assumptions!Y111</f>
        <v>0</v>
      </c>
      <c r="Z18" s="191">
        <f t="shared" si="12"/>
        <v>0</v>
      </c>
      <c r="AA18" s="192">
        <f>Assumptions!AA111</f>
        <v>0</v>
      </c>
      <c r="AB18" s="192">
        <f>Assumptions!AB111</f>
        <v>0</v>
      </c>
      <c r="AC18" s="192">
        <f>Assumptions!AC111</f>
        <v>0</v>
      </c>
      <c r="AD18" s="192">
        <f>Assumptions!AD111</f>
        <v>0</v>
      </c>
      <c r="AE18" s="191">
        <f t="shared" si="13"/>
        <v>0</v>
      </c>
      <c r="AF18" s="192">
        <f>Assumptions!AF111</f>
        <v>0</v>
      </c>
      <c r="AG18" s="192">
        <f>Assumptions!AG111</f>
        <v>0</v>
      </c>
      <c r="AH18" s="192">
        <f>Assumptions!AH111</f>
        <v>0</v>
      </c>
      <c r="AI18" s="192">
        <f>Assumptions!AI111</f>
        <v>0</v>
      </c>
      <c r="AJ18" s="191">
        <f t="shared" si="14"/>
        <v>0</v>
      </c>
      <c r="AK18" s="192">
        <f>Assumptions!AK111</f>
        <v>0</v>
      </c>
      <c r="AL18" s="192">
        <f>Assumptions!AL111</f>
        <v>0</v>
      </c>
      <c r="AM18" s="192">
        <f>Assumptions!AM111</f>
        <v>0</v>
      </c>
      <c r="AN18" s="192">
        <f>Assumptions!AN111</f>
        <v>0</v>
      </c>
      <c r="AO18" s="191">
        <f t="shared" si="15"/>
        <v>0</v>
      </c>
      <c r="AP18" s="165"/>
      <c r="AQ18" s="187"/>
      <c r="AR18" s="188"/>
      <c r="AS18" s="188"/>
      <c r="AT18" s="188"/>
      <c r="AU18" s="164"/>
    </row>
    <row r="19" ht="10.5" customHeight="1">
      <c r="A19" s="181" t="s">
        <v>169</v>
      </c>
      <c r="B19" s="186">
        <f t="shared" ref="B19:AO19" si="16">SUM(B12:B18)</f>
        <v>170.069</v>
      </c>
      <c r="C19" s="186">
        <f t="shared" si="16"/>
        <v>209.461</v>
      </c>
      <c r="D19" s="186">
        <f t="shared" si="16"/>
        <v>205.2</v>
      </c>
      <c r="E19" s="186">
        <f t="shared" si="16"/>
        <v>213.73</v>
      </c>
      <c r="F19" s="185">
        <f t="shared" si="16"/>
        <v>798.46</v>
      </c>
      <c r="G19" s="186">
        <f t="shared" si="16"/>
        <v>182.195</v>
      </c>
      <c r="H19" s="186">
        <f t="shared" si="16"/>
        <v>213.562</v>
      </c>
      <c r="I19" s="186">
        <f t="shared" si="16"/>
        <v>210.995</v>
      </c>
      <c r="J19" s="186">
        <f t="shared" si="16"/>
        <v>250.704</v>
      </c>
      <c r="K19" s="185">
        <f t="shared" si="16"/>
        <v>857.456</v>
      </c>
      <c r="L19" s="186">
        <f t="shared" si="16"/>
        <v>197.46</v>
      </c>
      <c r="M19" s="186">
        <f t="shared" si="16"/>
        <v>238.477</v>
      </c>
      <c r="N19" s="186">
        <f t="shared" si="16"/>
        <v>223.277</v>
      </c>
      <c r="O19" s="186">
        <f t="shared" si="16"/>
        <v>257.8949016</v>
      </c>
      <c r="P19" s="185">
        <f t="shared" si="16"/>
        <v>917.1089016</v>
      </c>
      <c r="Q19" s="186">
        <f t="shared" si="16"/>
        <v>218.2296408</v>
      </c>
      <c r="R19" s="186">
        <f t="shared" si="16"/>
        <v>255.7856403</v>
      </c>
      <c r="S19" s="186">
        <f t="shared" si="16"/>
        <v>251.0194205</v>
      </c>
      <c r="T19" s="186">
        <f t="shared" si="16"/>
        <v>284.2576492</v>
      </c>
      <c r="U19" s="185">
        <f t="shared" si="16"/>
        <v>1009.292351</v>
      </c>
      <c r="V19" s="186">
        <f t="shared" si="16"/>
        <v>236.073582</v>
      </c>
      <c r="W19" s="186">
        <f t="shared" si="16"/>
        <v>278.5158057</v>
      </c>
      <c r="X19" s="186">
        <f t="shared" si="16"/>
        <v>269.5995845</v>
      </c>
      <c r="Y19" s="186">
        <f t="shared" si="16"/>
        <v>308.0551367</v>
      </c>
      <c r="Z19" s="185">
        <f t="shared" si="16"/>
        <v>1092.244109</v>
      </c>
      <c r="AA19" s="186">
        <f t="shared" si="16"/>
        <v>257.0138043</v>
      </c>
      <c r="AB19" s="186">
        <f t="shared" si="16"/>
        <v>301.7703163</v>
      </c>
      <c r="AC19" s="186">
        <f t="shared" si="16"/>
        <v>292.0581388</v>
      </c>
      <c r="AD19" s="186">
        <f t="shared" si="16"/>
        <v>333.0834305</v>
      </c>
      <c r="AE19" s="185">
        <f t="shared" si="16"/>
        <v>1183.92569</v>
      </c>
      <c r="AF19" s="186">
        <f t="shared" si="16"/>
        <v>269.0368344</v>
      </c>
      <c r="AG19" s="186">
        <f t="shared" si="16"/>
        <v>323.8478365</v>
      </c>
      <c r="AH19" s="186">
        <f t="shared" si="16"/>
        <v>318.7187385</v>
      </c>
      <c r="AI19" s="186">
        <f t="shared" si="16"/>
        <v>358.9135211</v>
      </c>
      <c r="AJ19" s="185">
        <f t="shared" si="16"/>
        <v>1270.51693</v>
      </c>
      <c r="AK19" s="186">
        <f t="shared" si="16"/>
        <v>289.974399</v>
      </c>
      <c r="AL19" s="186">
        <f t="shared" si="16"/>
        <v>347.2080109</v>
      </c>
      <c r="AM19" s="186">
        <f t="shared" si="16"/>
        <v>341.6006828</v>
      </c>
      <c r="AN19" s="186">
        <f t="shared" si="16"/>
        <v>383.7766033</v>
      </c>
      <c r="AO19" s="185">
        <f t="shared" si="16"/>
        <v>1362.559696</v>
      </c>
      <c r="AP19" s="165"/>
      <c r="AQ19" s="187"/>
      <c r="AR19" s="188"/>
      <c r="AS19" s="188"/>
      <c r="AT19" s="188"/>
      <c r="AU19" s="164"/>
    </row>
    <row r="20" ht="10.5" customHeight="1">
      <c r="A20" s="193" t="s">
        <v>170</v>
      </c>
      <c r="B20" s="186">
        <f t="shared" ref="B20:AO20" si="17">B11-B19</f>
        <v>35.352</v>
      </c>
      <c r="C20" s="186">
        <f t="shared" si="17"/>
        <v>59.006</v>
      </c>
      <c r="D20" s="186">
        <f t="shared" si="17"/>
        <v>54.773</v>
      </c>
      <c r="E20" s="186">
        <f t="shared" si="17"/>
        <v>53.722</v>
      </c>
      <c r="F20" s="185">
        <f t="shared" si="17"/>
        <v>272.865</v>
      </c>
      <c r="G20" s="186">
        <f t="shared" si="17"/>
        <v>65.822</v>
      </c>
      <c r="H20" s="186">
        <f t="shared" si="17"/>
        <v>87.379</v>
      </c>
      <c r="I20" s="186">
        <f t="shared" si="17"/>
        <v>81.251</v>
      </c>
      <c r="J20" s="186">
        <f t="shared" si="17"/>
        <v>89.746</v>
      </c>
      <c r="K20" s="185">
        <f t="shared" si="17"/>
        <v>324.198</v>
      </c>
      <c r="L20" s="186">
        <f t="shared" si="17"/>
        <v>79.202</v>
      </c>
      <c r="M20" s="186">
        <f t="shared" si="17"/>
        <v>102.402</v>
      </c>
      <c r="N20" s="186">
        <f t="shared" si="17"/>
        <v>107.068</v>
      </c>
      <c r="O20" s="186">
        <f t="shared" si="17"/>
        <v>103.2345942</v>
      </c>
      <c r="P20" s="185">
        <f t="shared" si="17"/>
        <v>391.9065942</v>
      </c>
      <c r="Q20" s="186">
        <f t="shared" si="17"/>
        <v>99.40231254</v>
      </c>
      <c r="R20" s="186">
        <f t="shared" si="17"/>
        <v>131.8198001</v>
      </c>
      <c r="S20" s="186">
        <f t="shared" si="17"/>
        <v>125.0733579</v>
      </c>
      <c r="T20" s="186">
        <f t="shared" si="17"/>
        <v>126.3216115</v>
      </c>
      <c r="U20" s="185">
        <f t="shared" si="17"/>
        <v>482.6170821</v>
      </c>
      <c r="V20" s="186">
        <f t="shared" si="17"/>
        <v>116.96092</v>
      </c>
      <c r="W20" s="186">
        <f t="shared" si="17"/>
        <v>150.8185663</v>
      </c>
      <c r="X20" s="186">
        <f t="shared" si="17"/>
        <v>146.1917062</v>
      </c>
      <c r="Y20" s="186">
        <f t="shared" si="17"/>
        <v>144.9219087</v>
      </c>
      <c r="Z20" s="185">
        <f t="shared" si="17"/>
        <v>558.8931012</v>
      </c>
      <c r="AA20" s="186">
        <f t="shared" si="17"/>
        <v>132.0901435</v>
      </c>
      <c r="AB20" s="186">
        <f t="shared" si="17"/>
        <v>167.346443</v>
      </c>
      <c r="AC20" s="186">
        <f t="shared" si="17"/>
        <v>162.0407865</v>
      </c>
      <c r="AD20" s="186">
        <f t="shared" si="17"/>
        <v>159.7262244</v>
      </c>
      <c r="AE20" s="185">
        <f t="shared" si="17"/>
        <v>621.2035974</v>
      </c>
      <c r="AF20" s="186">
        <f t="shared" si="17"/>
        <v>156.0202588</v>
      </c>
      <c r="AG20" s="186">
        <f t="shared" si="17"/>
        <v>183.5969105</v>
      </c>
      <c r="AH20" s="186">
        <f t="shared" si="17"/>
        <v>171.5544003</v>
      </c>
      <c r="AI20" s="186">
        <f t="shared" si="17"/>
        <v>170.1003301</v>
      </c>
      <c r="AJ20" s="185">
        <f t="shared" si="17"/>
        <v>681.2718997</v>
      </c>
      <c r="AK20" s="186">
        <f t="shared" si="17"/>
        <v>168.0156551</v>
      </c>
      <c r="AL20" s="186">
        <f t="shared" si="17"/>
        <v>195.9208813</v>
      </c>
      <c r="AM20" s="186">
        <f t="shared" si="17"/>
        <v>182.9364028</v>
      </c>
      <c r="AN20" s="186">
        <f t="shared" si="17"/>
        <v>180.5939437</v>
      </c>
      <c r="AO20" s="185">
        <f t="shared" si="17"/>
        <v>727.4668829</v>
      </c>
      <c r="AP20" s="186"/>
      <c r="AQ20" s="187"/>
      <c r="AR20" s="188"/>
      <c r="AS20" s="188"/>
      <c r="AT20" s="188"/>
      <c r="AU20" s="186"/>
    </row>
    <row r="21" ht="10.5" customHeight="1">
      <c r="A21" s="164" t="s">
        <v>171</v>
      </c>
      <c r="B21" s="186"/>
      <c r="C21" s="186"/>
      <c r="D21" s="186"/>
      <c r="E21" s="186"/>
      <c r="F21" s="185"/>
      <c r="G21" s="186"/>
      <c r="H21" s="186"/>
      <c r="I21" s="186"/>
      <c r="J21" s="186"/>
      <c r="K21" s="185"/>
      <c r="L21" s="186"/>
      <c r="M21" s="186"/>
      <c r="N21" s="186"/>
      <c r="O21" s="186"/>
      <c r="P21" s="185"/>
      <c r="Q21" s="186"/>
      <c r="R21" s="186"/>
      <c r="S21" s="186"/>
      <c r="T21" s="186"/>
      <c r="U21" s="185"/>
      <c r="V21" s="186"/>
      <c r="W21" s="186"/>
      <c r="X21" s="186"/>
      <c r="Y21" s="186"/>
      <c r="Z21" s="185"/>
      <c r="AA21" s="186"/>
      <c r="AB21" s="186"/>
      <c r="AC21" s="186"/>
      <c r="AD21" s="186"/>
      <c r="AE21" s="185"/>
      <c r="AF21" s="186"/>
      <c r="AG21" s="186"/>
      <c r="AH21" s="186"/>
      <c r="AI21" s="186"/>
      <c r="AJ21" s="185"/>
      <c r="AK21" s="186"/>
      <c r="AL21" s="186"/>
      <c r="AM21" s="186"/>
      <c r="AN21" s="186"/>
      <c r="AO21" s="185"/>
      <c r="AP21" s="165"/>
      <c r="AQ21" s="187"/>
      <c r="AR21" s="188"/>
      <c r="AS21" s="188"/>
      <c r="AT21" s="188"/>
      <c r="AU21" s="164"/>
    </row>
    <row r="22" ht="10.5" customHeight="1">
      <c r="A22" s="183" t="s">
        <v>172</v>
      </c>
      <c r="B22" s="184">
        <v>3.931</v>
      </c>
      <c r="C22" s="184">
        <v>4.163</v>
      </c>
      <c r="D22" s="184">
        <v>4.245</v>
      </c>
      <c r="E22" s="184">
        <v>5.402</v>
      </c>
      <c r="F22" s="196">
        <v>17.741000000000003</v>
      </c>
      <c r="G22" s="184">
        <v>5.461</v>
      </c>
      <c r="H22" s="184">
        <v>5.616</v>
      </c>
      <c r="I22" s="184">
        <v>5.61</v>
      </c>
      <c r="J22" s="184">
        <v>6.428</v>
      </c>
      <c r="K22" s="185">
        <f t="shared" ref="K22:K24" si="18">SUM(G22:J22)</f>
        <v>23.115</v>
      </c>
      <c r="L22" s="184">
        <v>5.812</v>
      </c>
      <c r="M22" s="184">
        <v>5.69</v>
      </c>
      <c r="N22" s="184">
        <v>5.936</v>
      </c>
      <c r="O22" s="186">
        <f>Assumptions!O152</f>
        <v>4.37299625</v>
      </c>
      <c r="P22" s="185">
        <f t="shared" ref="P22:P24" si="19">SUM(L22:O22)</f>
        <v>21.81099625</v>
      </c>
      <c r="Q22" s="186">
        <f>Assumptions!Q152</f>
        <v>4.399789473</v>
      </c>
      <c r="R22" s="186">
        <f>Assumptions!R152</f>
        <v>5.553146084</v>
      </c>
      <c r="S22" s="186">
        <f>Assumptions!S152</f>
        <v>6.077896649</v>
      </c>
      <c r="T22" s="186">
        <f>Assumptions!T152</f>
        <v>6.395522187</v>
      </c>
      <c r="U22" s="185">
        <f t="shared" ref="U22:U24" si="20">SUM(Q22:T22)</f>
        <v>22.42635439</v>
      </c>
      <c r="V22" s="186">
        <f>Assumptions!V152</f>
        <v>6.811315848</v>
      </c>
      <c r="W22" s="186">
        <f>Assumptions!W152</f>
        <v>8.120977522</v>
      </c>
      <c r="X22" s="186">
        <f>Assumptions!X152</f>
        <v>8.695300149</v>
      </c>
      <c r="Y22" s="186">
        <f>Assumptions!Y152</f>
        <v>9.192291441</v>
      </c>
      <c r="Z22" s="185">
        <f t="shared" ref="Z22:Z24" si="21">SUM(V22:Y22)</f>
        <v>32.81988496</v>
      </c>
      <c r="AA22" s="186">
        <f>Assumptions!AA152</f>
        <v>9.719502078</v>
      </c>
      <c r="AB22" s="186">
        <f>Assumptions!AB152</f>
        <v>11.22102407</v>
      </c>
      <c r="AC22" s="186">
        <f>Assumptions!AC152</f>
        <v>11.88282236</v>
      </c>
      <c r="AD22" s="186">
        <f>Assumptions!AD152</f>
        <v>12.46863182</v>
      </c>
      <c r="AE22" s="185">
        <f t="shared" ref="AE22:AE24" si="22">SUM(AA22:AD22)</f>
        <v>45.29198033</v>
      </c>
      <c r="AF22" s="186">
        <f>Assumptions!AF152</f>
        <v>13.06965203</v>
      </c>
      <c r="AG22" s="186">
        <f>Assumptions!AG152</f>
        <v>14.84682508</v>
      </c>
      <c r="AH22" s="186">
        <f>Assumptions!AH152</f>
        <v>15.63634138</v>
      </c>
      <c r="AI22" s="186">
        <f>Assumptions!AI152</f>
        <v>16.31140119</v>
      </c>
      <c r="AJ22" s="185">
        <f t="shared" ref="AJ22:AJ24" si="23">SUM(AF22:AI22)</f>
        <v>59.86421969</v>
      </c>
      <c r="AK22" s="186">
        <f>Assumptions!AK152</f>
        <v>17.00914208</v>
      </c>
      <c r="AL22" s="186">
        <f>Assumptions!AL152</f>
        <v>18.96558845</v>
      </c>
      <c r="AM22" s="186">
        <f>Assumptions!AM152</f>
        <v>19.84500899</v>
      </c>
      <c r="AN22" s="186">
        <f>Assumptions!AN152</f>
        <v>20.60315026</v>
      </c>
      <c r="AO22" s="185">
        <f t="shared" ref="AO22:AO24" si="24">SUM(AK22:AN22)</f>
        <v>76.42288979</v>
      </c>
      <c r="AP22" s="165"/>
      <c r="AQ22" s="187"/>
      <c r="AR22" s="188"/>
      <c r="AS22" s="188"/>
      <c r="AT22" s="188"/>
      <c r="AU22" s="164"/>
    </row>
    <row r="23" ht="10.5" customHeight="1">
      <c r="A23" s="183" t="s">
        <v>173</v>
      </c>
      <c r="B23" s="184">
        <v>-21.599</v>
      </c>
      <c r="C23" s="184">
        <v>-21.468</v>
      </c>
      <c r="D23" s="184">
        <v>-21.704</v>
      </c>
      <c r="E23" s="184">
        <v>-21.805</v>
      </c>
      <c r="F23" s="196">
        <v>-86.576</v>
      </c>
      <c r="G23" s="184">
        <v>-21.433</v>
      </c>
      <c r="H23" s="184">
        <v>-24.533</v>
      </c>
      <c r="I23" s="184">
        <v>-26.603</v>
      </c>
      <c r="J23" s="184">
        <v>-27.468</v>
      </c>
      <c r="K23" s="185">
        <f t="shared" si="18"/>
        <v>-100.037</v>
      </c>
      <c r="L23" s="184">
        <v>-26.197</v>
      </c>
      <c r="M23" s="184">
        <v>-26.181</v>
      </c>
      <c r="N23" s="184">
        <v>-26.342</v>
      </c>
      <c r="O23" s="186">
        <f>-Assumptions!O151</f>
        <v>-27.74326244</v>
      </c>
      <c r="P23" s="185">
        <f t="shared" si="19"/>
        <v>-106.4632624</v>
      </c>
      <c r="Q23" s="186">
        <f>-Assumptions!Q151</f>
        <v>-26.362049</v>
      </c>
      <c r="R23" s="186">
        <f>-Assumptions!R151</f>
        <v>-26.362049</v>
      </c>
      <c r="S23" s="186">
        <f>-Assumptions!S151</f>
        <v>-26.362049</v>
      </c>
      <c r="T23" s="186">
        <f>-Assumptions!T151</f>
        <v>-26.362049</v>
      </c>
      <c r="U23" s="185">
        <f t="shared" si="20"/>
        <v>-105.448196</v>
      </c>
      <c r="V23" s="186">
        <f>-Assumptions!V151</f>
        <v>-26.33410369</v>
      </c>
      <c r="W23" s="186">
        <f>-Assumptions!W151</f>
        <v>-26.27821306</v>
      </c>
      <c r="X23" s="186">
        <f>-Assumptions!X151</f>
        <v>-26.22232244</v>
      </c>
      <c r="Y23" s="186">
        <f>-Assumptions!Y151</f>
        <v>-26.16643181</v>
      </c>
      <c r="Z23" s="185">
        <f t="shared" si="21"/>
        <v>-105.001071</v>
      </c>
      <c r="AA23" s="186">
        <f>-Assumptions!AA151</f>
        <v>-26.11054119</v>
      </c>
      <c r="AB23" s="186">
        <f>-Assumptions!AB151</f>
        <v>-26.05465056</v>
      </c>
      <c r="AC23" s="186">
        <f>-Assumptions!AC151</f>
        <v>-25.99875994</v>
      </c>
      <c r="AD23" s="186">
        <f>-Assumptions!AD151</f>
        <v>-25.94286931</v>
      </c>
      <c r="AE23" s="185">
        <f t="shared" si="22"/>
        <v>-104.106821</v>
      </c>
      <c r="AF23" s="186">
        <f>-Assumptions!AF151</f>
        <v>-25.914924</v>
      </c>
      <c r="AG23" s="186">
        <f>-Assumptions!AG151</f>
        <v>-25.914924</v>
      </c>
      <c r="AH23" s="186">
        <f>-Assumptions!AH151</f>
        <v>-25.914924</v>
      </c>
      <c r="AI23" s="186">
        <f>-Assumptions!AI151</f>
        <v>-25.914924</v>
      </c>
      <c r="AJ23" s="185">
        <f t="shared" si="23"/>
        <v>-103.659696</v>
      </c>
      <c r="AK23" s="186">
        <f>-Assumptions!AK151</f>
        <v>-25.914924</v>
      </c>
      <c r="AL23" s="186">
        <f>-Assumptions!AL151</f>
        <v>-25.914924</v>
      </c>
      <c r="AM23" s="186">
        <f>-Assumptions!AM151</f>
        <v>-25.914924</v>
      </c>
      <c r="AN23" s="186">
        <f>-Assumptions!AN151</f>
        <v>-25.914924</v>
      </c>
      <c r="AO23" s="185">
        <f t="shared" si="24"/>
        <v>-103.659696</v>
      </c>
      <c r="AP23" s="165"/>
      <c r="AQ23" s="187"/>
      <c r="AR23" s="188"/>
      <c r="AS23" s="188"/>
      <c r="AT23" s="188"/>
      <c r="AU23" s="164"/>
    </row>
    <row r="24" ht="10.5" customHeight="1">
      <c r="A24" s="189" t="s">
        <v>174</v>
      </c>
      <c r="B24" s="190">
        <v>0.113</v>
      </c>
      <c r="C24" s="190">
        <v>0.37</v>
      </c>
      <c r="D24" s="190">
        <v>0.148</v>
      </c>
      <c r="E24" s="190">
        <v>2.881</v>
      </c>
      <c r="F24" s="197">
        <v>3.5119999999999996</v>
      </c>
      <c r="G24" s="190">
        <v>0.647</v>
      </c>
      <c r="H24" s="190">
        <v>1.043</v>
      </c>
      <c r="I24" s="190">
        <v>-0.558</v>
      </c>
      <c r="J24" s="190">
        <v>-1.68</v>
      </c>
      <c r="K24" s="191">
        <f t="shared" si="18"/>
        <v>-0.548</v>
      </c>
      <c r="L24" s="190">
        <v>0.283</v>
      </c>
      <c r="M24" s="190">
        <v>1.942</v>
      </c>
      <c r="N24" s="190">
        <v>1.067</v>
      </c>
      <c r="O24" s="192">
        <f>N24</f>
        <v>1.067</v>
      </c>
      <c r="P24" s="191">
        <f t="shared" si="19"/>
        <v>4.359</v>
      </c>
      <c r="Q24" s="192">
        <f>O24</f>
        <v>1.067</v>
      </c>
      <c r="R24" s="192">
        <f t="shared" ref="R24:T24" si="25">Q24</f>
        <v>1.067</v>
      </c>
      <c r="S24" s="192">
        <f t="shared" si="25"/>
        <v>1.067</v>
      </c>
      <c r="T24" s="192">
        <f t="shared" si="25"/>
        <v>1.067</v>
      </c>
      <c r="U24" s="191">
        <f t="shared" si="20"/>
        <v>4.268</v>
      </c>
      <c r="V24" s="192">
        <f>Q24</f>
        <v>1.067</v>
      </c>
      <c r="W24" s="192">
        <f t="shared" ref="W24:Y24" si="26">V24</f>
        <v>1.067</v>
      </c>
      <c r="X24" s="192">
        <f t="shared" si="26"/>
        <v>1.067</v>
      </c>
      <c r="Y24" s="192">
        <f t="shared" si="26"/>
        <v>1.067</v>
      </c>
      <c r="Z24" s="191">
        <f t="shared" si="21"/>
        <v>4.268</v>
      </c>
      <c r="AA24" s="192">
        <f>Y24</f>
        <v>1.067</v>
      </c>
      <c r="AB24" s="192">
        <f t="shared" ref="AB24:AD24" si="27">AA24</f>
        <v>1.067</v>
      </c>
      <c r="AC24" s="192">
        <f t="shared" si="27"/>
        <v>1.067</v>
      </c>
      <c r="AD24" s="192">
        <f t="shared" si="27"/>
        <v>1.067</v>
      </c>
      <c r="AE24" s="191">
        <f t="shared" si="22"/>
        <v>4.268</v>
      </c>
      <c r="AF24" s="192">
        <f>AD24</f>
        <v>1.067</v>
      </c>
      <c r="AG24" s="192">
        <f t="shared" ref="AG24:AI24" si="28">AF24</f>
        <v>1.067</v>
      </c>
      <c r="AH24" s="192">
        <f t="shared" si="28"/>
        <v>1.067</v>
      </c>
      <c r="AI24" s="192">
        <f t="shared" si="28"/>
        <v>1.067</v>
      </c>
      <c r="AJ24" s="191">
        <f t="shared" si="23"/>
        <v>4.268</v>
      </c>
      <c r="AK24" s="192">
        <f>AI24</f>
        <v>1.067</v>
      </c>
      <c r="AL24" s="192">
        <f t="shared" ref="AL24:AN24" si="29">AK24</f>
        <v>1.067</v>
      </c>
      <c r="AM24" s="192">
        <f t="shared" si="29"/>
        <v>1.067</v>
      </c>
      <c r="AN24" s="192">
        <f t="shared" si="29"/>
        <v>1.067</v>
      </c>
      <c r="AO24" s="191">
        <f t="shared" si="24"/>
        <v>4.268</v>
      </c>
      <c r="AP24" s="165"/>
      <c r="AQ24" s="187"/>
      <c r="AR24" s="188"/>
      <c r="AS24" s="188"/>
      <c r="AT24" s="188"/>
      <c r="AU24" s="164"/>
    </row>
    <row r="25" ht="10.5" customHeight="1">
      <c r="A25" s="181" t="s">
        <v>175</v>
      </c>
      <c r="B25" s="186">
        <f t="shared" ref="B25:AO25" si="30">SUM(B22:B24)</f>
        <v>-17.555</v>
      </c>
      <c r="C25" s="186">
        <f t="shared" si="30"/>
        <v>-16.935</v>
      </c>
      <c r="D25" s="186">
        <f t="shared" si="30"/>
        <v>-17.311</v>
      </c>
      <c r="E25" s="186">
        <f t="shared" si="30"/>
        <v>-13.522</v>
      </c>
      <c r="F25" s="185">
        <f t="shared" si="30"/>
        <v>-65.323</v>
      </c>
      <c r="G25" s="186">
        <f t="shared" si="30"/>
        <v>-15.325</v>
      </c>
      <c r="H25" s="186">
        <f t="shared" si="30"/>
        <v>-17.874</v>
      </c>
      <c r="I25" s="186">
        <f t="shared" si="30"/>
        <v>-21.551</v>
      </c>
      <c r="J25" s="186">
        <f t="shared" si="30"/>
        <v>-22.72</v>
      </c>
      <c r="K25" s="185">
        <f t="shared" si="30"/>
        <v>-77.47</v>
      </c>
      <c r="L25" s="186">
        <f t="shared" si="30"/>
        <v>-20.102</v>
      </c>
      <c r="M25" s="186">
        <f t="shared" si="30"/>
        <v>-18.549</v>
      </c>
      <c r="N25" s="186">
        <f t="shared" si="30"/>
        <v>-19.339</v>
      </c>
      <c r="O25" s="186">
        <f t="shared" si="30"/>
        <v>-22.30326619</v>
      </c>
      <c r="P25" s="185">
        <f t="shared" si="30"/>
        <v>-80.29326619</v>
      </c>
      <c r="Q25" s="186">
        <f t="shared" si="30"/>
        <v>-20.89525953</v>
      </c>
      <c r="R25" s="186">
        <f t="shared" si="30"/>
        <v>-19.74190292</v>
      </c>
      <c r="S25" s="186">
        <f t="shared" si="30"/>
        <v>-19.21715235</v>
      </c>
      <c r="T25" s="186">
        <f t="shared" si="30"/>
        <v>-18.89952681</v>
      </c>
      <c r="U25" s="185">
        <f t="shared" si="30"/>
        <v>-78.75384161</v>
      </c>
      <c r="V25" s="186">
        <f t="shared" si="30"/>
        <v>-18.45578784</v>
      </c>
      <c r="W25" s="186">
        <f t="shared" si="30"/>
        <v>-17.09023554</v>
      </c>
      <c r="X25" s="186">
        <f t="shared" si="30"/>
        <v>-16.46002229</v>
      </c>
      <c r="Y25" s="186">
        <f t="shared" si="30"/>
        <v>-15.90714037</v>
      </c>
      <c r="Z25" s="185">
        <f t="shared" si="30"/>
        <v>-67.91318604</v>
      </c>
      <c r="AA25" s="186">
        <f t="shared" si="30"/>
        <v>-15.32403911</v>
      </c>
      <c r="AB25" s="186">
        <f t="shared" si="30"/>
        <v>-13.76662649</v>
      </c>
      <c r="AC25" s="186">
        <f t="shared" si="30"/>
        <v>-13.04893758</v>
      </c>
      <c r="AD25" s="186">
        <f t="shared" si="30"/>
        <v>-12.40723749</v>
      </c>
      <c r="AE25" s="185">
        <f t="shared" si="30"/>
        <v>-54.54684067</v>
      </c>
      <c r="AF25" s="186">
        <f t="shared" si="30"/>
        <v>-11.77827197</v>
      </c>
      <c r="AG25" s="186">
        <f t="shared" si="30"/>
        <v>-10.00109892</v>
      </c>
      <c r="AH25" s="186">
        <f t="shared" si="30"/>
        <v>-9.211582619</v>
      </c>
      <c r="AI25" s="186">
        <f t="shared" si="30"/>
        <v>-8.536522812</v>
      </c>
      <c r="AJ25" s="185">
        <f t="shared" si="30"/>
        <v>-39.52747631</v>
      </c>
      <c r="AK25" s="186">
        <f t="shared" si="30"/>
        <v>-7.838781917</v>
      </c>
      <c r="AL25" s="186">
        <f t="shared" si="30"/>
        <v>-5.882335552</v>
      </c>
      <c r="AM25" s="186">
        <f t="shared" si="30"/>
        <v>-5.002915009</v>
      </c>
      <c r="AN25" s="186">
        <f t="shared" si="30"/>
        <v>-4.244773736</v>
      </c>
      <c r="AO25" s="185">
        <f t="shared" si="30"/>
        <v>-22.96880621</v>
      </c>
      <c r="AP25" s="165"/>
      <c r="AQ25" s="187"/>
      <c r="AR25" s="188"/>
      <c r="AS25" s="188"/>
      <c r="AT25" s="188"/>
      <c r="AU25" s="164"/>
    </row>
    <row r="26" ht="10.5" customHeight="1">
      <c r="A26" s="198"/>
      <c r="B26" s="192"/>
      <c r="C26" s="192"/>
      <c r="D26" s="192"/>
      <c r="E26" s="192"/>
      <c r="F26" s="191"/>
      <c r="G26" s="192"/>
      <c r="H26" s="192"/>
      <c r="I26" s="192"/>
      <c r="J26" s="192"/>
      <c r="K26" s="191"/>
      <c r="L26" s="192"/>
      <c r="M26" s="192"/>
      <c r="N26" s="192"/>
      <c r="O26" s="192"/>
      <c r="P26" s="191"/>
      <c r="Q26" s="192"/>
      <c r="R26" s="192"/>
      <c r="S26" s="192"/>
      <c r="T26" s="192"/>
      <c r="U26" s="191"/>
      <c r="V26" s="192"/>
      <c r="W26" s="192"/>
      <c r="X26" s="192"/>
      <c r="Y26" s="192"/>
      <c r="Z26" s="191"/>
      <c r="AA26" s="192"/>
      <c r="AB26" s="192"/>
      <c r="AC26" s="192"/>
      <c r="AD26" s="192"/>
      <c r="AE26" s="191"/>
      <c r="AF26" s="192"/>
      <c r="AG26" s="192"/>
      <c r="AH26" s="192"/>
      <c r="AI26" s="192"/>
      <c r="AJ26" s="191"/>
      <c r="AK26" s="192"/>
      <c r="AL26" s="192"/>
      <c r="AM26" s="192"/>
      <c r="AN26" s="192"/>
      <c r="AO26" s="191"/>
      <c r="AP26" s="165"/>
      <c r="AQ26" s="187"/>
      <c r="AR26" s="188"/>
      <c r="AS26" s="188"/>
      <c r="AT26" s="188"/>
      <c r="AU26" s="164"/>
    </row>
    <row r="27" ht="10.5" customHeight="1">
      <c r="A27" s="199" t="s">
        <v>176</v>
      </c>
      <c r="B27" s="200">
        <f t="shared" ref="B27:AO27" si="31">B20+B25</f>
        <v>17.797</v>
      </c>
      <c r="C27" s="200">
        <f t="shared" si="31"/>
        <v>42.071</v>
      </c>
      <c r="D27" s="200">
        <f t="shared" si="31"/>
        <v>37.462</v>
      </c>
      <c r="E27" s="200">
        <f t="shared" si="31"/>
        <v>40.2</v>
      </c>
      <c r="F27" s="201">
        <f t="shared" si="31"/>
        <v>207.542</v>
      </c>
      <c r="G27" s="200">
        <f t="shared" si="31"/>
        <v>50.497</v>
      </c>
      <c r="H27" s="200">
        <f t="shared" si="31"/>
        <v>69.505</v>
      </c>
      <c r="I27" s="200">
        <f t="shared" si="31"/>
        <v>59.7</v>
      </c>
      <c r="J27" s="200">
        <f t="shared" si="31"/>
        <v>67.026</v>
      </c>
      <c r="K27" s="201">
        <f t="shared" si="31"/>
        <v>246.728</v>
      </c>
      <c r="L27" s="200">
        <f t="shared" si="31"/>
        <v>59.1</v>
      </c>
      <c r="M27" s="200">
        <f t="shared" si="31"/>
        <v>83.853</v>
      </c>
      <c r="N27" s="200">
        <f t="shared" si="31"/>
        <v>87.729</v>
      </c>
      <c r="O27" s="200">
        <f t="shared" si="31"/>
        <v>80.93132804</v>
      </c>
      <c r="P27" s="201">
        <f t="shared" si="31"/>
        <v>311.613328</v>
      </c>
      <c r="Q27" s="200">
        <f t="shared" si="31"/>
        <v>78.50705302</v>
      </c>
      <c r="R27" s="200">
        <f t="shared" si="31"/>
        <v>112.0778972</v>
      </c>
      <c r="S27" s="200">
        <f t="shared" si="31"/>
        <v>105.8562056</v>
      </c>
      <c r="T27" s="200">
        <f t="shared" si="31"/>
        <v>107.4220847</v>
      </c>
      <c r="U27" s="201">
        <f t="shared" si="31"/>
        <v>403.8632405</v>
      </c>
      <c r="V27" s="200">
        <f t="shared" si="31"/>
        <v>98.50513217</v>
      </c>
      <c r="W27" s="200">
        <f t="shared" si="31"/>
        <v>133.7283308</v>
      </c>
      <c r="X27" s="200">
        <f t="shared" si="31"/>
        <v>129.7316839</v>
      </c>
      <c r="Y27" s="200">
        <f t="shared" si="31"/>
        <v>129.0147684</v>
      </c>
      <c r="Z27" s="201">
        <f t="shared" si="31"/>
        <v>490.9799152</v>
      </c>
      <c r="AA27" s="200">
        <f t="shared" si="31"/>
        <v>116.7661044</v>
      </c>
      <c r="AB27" s="200">
        <f t="shared" si="31"/>
        <v>153.5798165</v>
      </c>
      <c r="AC27" s="200">
        <f t="shared" si="31"/>
        <v>148.991849</v>
      </c>
      <c r="AD27" s="200">
        <f t="shared" si="31"/>
        <v>147.3189869</v>
      </c>
      <c r="AE27" s="201">
        <f t="shared" si="31"/>
        <v>566.6567567</v>
      </c>
      <c r="AF27" s="200">
        <f t="shared" si="31"/>
        <v>144.2419868</v>
      </c>
      <c r="AG27" s="200">
        <f t="shared" si="31"/>
        <v>173.5958116</v>
      </c>
      <c r="AH27" s="200">
        <f t="shared" si="31"/>
        <v>162.3428177</v>
      </c>
      <c r="AI27" s="200">
        <f t="shared" si="31"/>
        <v>161.5638073</v>
      </c>
      <c r="AJ27" s="201">
        <f t="shared" si="31"/>
        <v>641.7444234</v>
      </c>
      <c r="AK27" s="200">
        <f t="shared" si="31"/>
        <v>160.1768731</v>
      </c>
      <c r="AL27" s="200">
        <f t="shared" si="31"/>
        <v>190.0385458</v>
      </c>
      <c r="AM27" s="200">
        <f t="shared" si="31"/>
        <v>177.9334878</v>
      </c>
      <c r="AN27" s="200">
        <f t="shared" si="31"/>
        <v>176.34917</v>
      </c>
      <c r="AO27" s="201">
        <f t="shared" si="31"/>
        <v>704.4980767</v>
      </c>
      <c r="AP27" s="186"/>
      <c r="AQ27" s="187"/>
      <c r="AR27" s="188"/>
      <c r="AS27" s="188"/>
      <c r="AT27" s="188"/>
      <c r="AU27" s="186"/>
    </row>
    <row r="28" ht="10.5" customHeight="1">
      <c r="A28" s="164" t="s">
        <v>177</v>
      </c>
      <c r="B28" s="184">
        <v>9.567</v>
      </c>
      <c r="C28" s="184">
        <v>15.814</v>
      </c>
      <c r="D28" s="184">
        <v>13.474</v>
      </c>
      <c r="E28" s="184">
        <v>19.657</v>
      </c>
      <c r="F28" s="196">
        <v>58.512</v>
      </c>
      <c r="G28" s="184">
        <v>14.324</v>
      </c>
      <c r="H28" s="184">
        <v>18.977</v>
      </c>
      <c r="I28" s="184">
        <v>16.523</v>
      </c>
      <c r="J28" s="184">
        <v>18.619</v>
      </c>
      <c r="K28" s="185">
        <f t="shared" ref="K28:K29" si="32">SUM(G28:J28)</f>
        <v>68.443</v>
      </c>
      <c r="L28" s="184">
        <v>16.216</v>
      </c>
      <c r="M28" s="184">
        <v>24.93</v>
      </c>
      <c r="N28" s="184">
        <v>27.974</v>
      </c>
      <c r="O28" s="186">
        <f>O27*Assumptions!O157</f>
        <v>22.41797787</v>
      </c>
      <c r="P28" s="185">
        <f t="shared" ref="P28:P29" si="33">SUM(L28:O28)</f>
        <v>91.53797787</v>
      </c>
      <c r="Q28" s="186">
        <f>Q27*Assumptions!Q157</f>
        <v>22.0604819</v>
      </c>
      <c r="R28" s="186">
        <f>R27*Assumptions!R157</f>
        <v>31.49388912</v>
      </c>
      <c r="S28" s="186">
        <f>S27*Assumptions!S157</f>
        <v>29.74559376</v>
      </c>
      <c r="T28" s="186">
        <f>T27*Assumptions!T157</f>
        <v>30.1856058</v>
      </c>
      <c r="U28" s="185">
        <f t="shared" ref="U28:U29" si="34">SUM(Q28:T28)</f>
        <v>113.4855706</v>
      </c>
      <c r="V28" s="186">
        <f>V27*Assumptions!V157</f>
        <v>27.67994214</v>
      </c>
      <c r="W28" s="186">
        <f>W27*Assumptions!W157</f>
        <v>37.57766094</v>
      </c>
      <c r="X28" s="186">
        <f>X27*Assumptions!X157</f>
        <v>36.45460317</v>
      </c>
      <c r="Y28" s="186">
        <f>Y27*Assumptions!Y157</f>
        <v>36.25314991</v>
      </c>
      <c r="Z28" s="185">
        <f t="shared" ref="Z28:Z29" si="35">SUM(V28:Y28)</f>
        <v>137.9653562</v>
      </c>
      <c r="AA28" s="186">
        <f>AA27*Assumptions!AA157</f>
        <v>32.81127534</v>
      </c>
      <c r="AB28" s="186">
        <f>AB27*Assumptions!AB157</f>
        <v>43.15592844</v>
      </c>
      <c r="AC28" s="186">
        <f>AC27*Assumptions!AC157</f>
        <v>41.86670956</v>
      </c>
      <c r="AD28" s="186">
        <f>AD27*Assumptions!AD157</f>
        <v>41.39663531</v>
      </c>
      <c r="AE28" s="185">
        <f t="shared" ref="AE28:AE29" si="36">SUM(AA28:AD28)</f>
        <v>159.2305486</v>
      </c>
      <c r="AF28" s="186">
        <f>AF27*Assumptions!AF157</f>
        <v>40.5319983</v>
      </c>
      <c r="AG28" s="186">
        <f>AG27*Assumptions!AG157</f>
        <v>48.78042305</v>
      </c>
      <c r="AH28" s="186">
        <f>AH27*Assumptions!AH157</f>
        <v>45.61833178</v>
      </c>
      <c r="AI28" s="186">
        <f>AI27*Assumptions!AI157</f>
        <v>45.39942986</v>
      </c>
      <c r="AJ28" s="185">
        <f t="shared" ref="AJ28:AJ29" si="37">SUM(AF28:AI28)</f>
        <v>180.330183</v>
      </c>
      <c r="AK28" s="186">
        <f>AK27*Assumptions!AK157</f>
        <v>45.00970135</v>
      </c>
      <c r="AL28" s="186">
        <f>AL27*Assumptions!AL157</f>
        <v>53.40083136</v>
      </c>
      <c r="AM28" s="186">
        <f>AM27*Assumptions!AM157</f>
        <v>49.99931007</v>
      </c>
      <c r="AN28" s="186">
        <f>AN27*Assumptions!AN157</f>
        <v>49.55411676</v>
      </c>
      <c r="AO28" s="185">
        <f t="shared" ref="AO28:AO29" si="38">SUM(AK28:AN28)</f>
        <v>197.9639596</v>
      </c>
      <c r="AP28" s="165"/>
      <c r="AQ28" s="187"/>
      <c r="AR28" s="188"/>
      <c r="AS28" s="188"/>
      <c r="AT28" s="188"/>
      <c r="AU28" s="164"/>
    </row>
    <row r="29" ht="10.5" customHeight="1">
      <c r="A29" s="202" t="s">
        <v>178</v>
      </c>
      <c r="B29" s="190">
        <v>-0.265</v>
      </c>
      <c r="C29" s="190">
        <v>-0.073</v>
      </c>
      <c r="D29" s="190">
        <v>-0.242</v>
      </c>
      <c r="E29" s="190">
        <v>-1.414</v>
      </c>
      <c r="F29" s="197">
        <v>-1.994</v>
      </c>
      <c r="G29" s="190">
        <v>-1.2</v>
      </c>
      <c r="H29" s="190">
        <v>-1.216</v>
      </c>
      <c r="I29" s="190">
        <v>-0.782</v>
      </c>
      <c r="J29" s="190">
        <v>-0.844</v>
      </c>
      <c r="K29" s="191">
        <f t="shared" si="32"/>
        <v>-4.042</v>
      </c>
      <c r="L29" s="190">
        <v>-0.805</v>
      </c>
      <c r="M29" s="190">
        <v>-0.628</v>
      </c>
      <c r="N29" s="190">
        <v>-0.572</v>
      </c>
      <c r="O29" s="190">
        <v>0.0</v>
      </c>
      <c r="P29" s="191">
        <f t="shared" si="33"/>
        <v>-2.005</v>
      </c>
      <c r="Q29" s="190">
        <v>0.0</v>
      </c>
      <c r="R29" s="190">
        <v>0.0</v>
      </c>
      <c r="S29" s="190">
        <v>0.0</v>
      </c>
      <c r="T29" s="190">
        <v>0.0</v>
      </c>
      <c r="U29" s="191">
        <f t="shared" si="34"/>
        <v>0</v>
      </c>
      <c r="V29" s="190">
        <v>0.0</v>
      </c>
      <c r="W29" s="190">
        <v>0.0</v>
      </c>
      <c r="X29" s="190">
        <v>0.0</v>
      </c>
      <c r="Y29" s="190">
        <v>0.0</v>
      </c>
      <c r="Z29" s="191">
        <f t="shared" si="35"/>
        <v>0</v>
      </c>
      <c r="AA29" s="190">
        <v>0.0</v>
      </c>
      <c r="AB29" s="190">
        <v>0.0</v>
      </c>
      <c r="AC29" s="190">
        <v>0.0</v>
      </c>
      <c r="AD29" s="190">
        <v>0.0</v>
      </c>
      <c r="AE29" s="191">
        <f t="shared" si="36"/>
        <v>0</v>
      </c>
      <c r="AF29" s="190">
        <v>0.0</v>
      </c>
      <c r="AG29" s="190">
        <v>0.0</v>
      </c>
      <c r="AH29" s="190">
        <v>0.0</v>
      </c>
      <c r="AI29" s="190">
        <v>0.0</v>
      </c>
      <c r="AJ29" s="191">
        <f t="shared" si="37"/>
        <v>0</v>
      </c>
      <c r="AK29" s="190">
        <v>0.0</v>
      </c>
      <c r="AL29" s="190">
        <v>0.0</v>
      </c>
      <c r="AM29" s="190">
        <v>0.0</v>
      </c>
      <c r="AN29" s="190">
        <v>0.0</v>
      </c>
      <c r="AO29" s="191">
        <f t="shared" si="38"/>
        <v>0</v>
      </c>
      <c r="AP29" s="165"/>
      <c r="AQ29" s="187"/>
      <c r="AR29" s="188"/>
      <c r="AS29" s="188"/>
      <c r="AT29" s="188"/>
      <c r="AU29" s="164"/>
    </row>
    <row r="30" ht="10.5" customHeight="1">
      <c r="A30" s="203" t="s">
        <v>179</v>
      </c>
      <c r="B30" s="203">
        <f t="shared" ref="B30:AO30" si="39">B27-B28+B29</f>
        <v>7.965</v>
      </c>
      <c r="C30" s="203">
        <f t="shared" si="39"/>
        <v>26.184</v>
      </c>
      <c r="D30" s="203">
        <f t="shared" si="39"/>
        <v>23.746</v>
      </c>
      <c r="E30" s="203">
        <f t="shared" si="39"/>
        <v>19.129</v>
      </c>
      <c r="F30" s="204">
        <f t="shared" si="39"/>
        <v>147.036</v>
      </c>
      <c r="G30" s="203">
        <f t="shared" si="39"/>
        <v>34.973</v>
      </c>
      <c r="H30" s="203">
        <f t="shared" si="39"/>
        <v>49.312</v>
      </c>
      <c r="I30" s="203">
        <f t="shared" si="39"/>
        <v>42.395</v>
      </c>
      <c r="J30" s="203">
        <f t="shared" si="39"/>
        <v>47.563</v>
      </c>
      <c r="K30" s="204">
        <f t="shared" si="39"/>
        <v>174.243</v>
      </c>
      <c r="L30" s="203">
        <f t="shared" si="39"/>
        <v>42.079</v>
      </c>
      <c r="M30" s="203">
        <f t="shared" si="39"/>
        <v>58.295</v>
      </c>
      <c r="N30" s="203">
        <f t="shared" si="39"/>
        <v>59.183</v>
      </c>
      <c r="O30" s="203">
        <f t="shared" si="39"/>
        <v>58.51335017</v>
      </c>
      <c r="P30" s="204">
        <f t="shared" si="39"/>
        <v>218.0703502</v>
      </c>
      <c r="Q30" s="203">
        <f t="shared" si="39"/>
        <v>56.44657112</v>
      </c>
      <c r="R30" s="203">
        <f t="shared" si="39"/>
        <v>80.58400809</v>
      </c>
      <c r="S30" s="203">
        <f t="shared" si="39"/>
        <v>76.1106118</v>
      </c>
      <c r="T30" s="203">
        <f t="shared" si="39"/>
        <v>77.23647891</v>
      </c>
      <c r="U30" s="204">
        <f t="shared" si="39"/>
        <v>290.3776699</v>
      </c>
      <c r="V30" s="203">
        <f t="shared" si="39"/>
        <v>70.82519003</v>
      </c>
      <c r="W30" s="203">
        <f t="shared" si="39"/>
        <v>96.15066981</v>
      </c>
      <c r="X30" s="203">
        <f t="shared" si="39"/>
        <v>93.2770807</v>
      </c>
      <c r="Y30" s="203">
        <f t="shared" si="39"/>
        <v>92.76161846</v>
      </c>
      <c r="Z30" s="204">
        <f t="shared" si="39"/>
        <v>353.014559</v>
      </c>
      <c r="AA30" s="203">
        <f t="shared" si="39"/>
        <v>83.95482906</v>
      </c>
      <c r="AB30" s="203">
        <f t="shared" si="39"/>
        <v>110.4238881</v>
      </c>
      <c r="AC30" s="203">
        <f t="shared" si="39"/>
        <v>107.1251394</v>
      </c>
      <c r="AD30" s="203">
        <f t="shared" si="39"/>
        <v>105.9223516</v>
      </c>
      <c r="AE30" s="204">
        <f t="shared" si="39"/>
        <v>407.4262081</v>
      </c>
      <c r="AF30" s="203">
        <f t="shared" si="39"/>
        <v>103.7099885</v>
      </c>
      <c r="AG30" s="203">
        <f t="shared" si="39"/>
        <v>124.8153885</v>
      </c>
      <c r="AH30" s="203">
        <f t="shared" si="39"/>
        <v>116.7244859</v>
      </c>
      <c r="AI30" s="203">
        <f t="shared" si="39"/>
        <v>116.1643775</v>
      </c>
      <c r="AJ30" s="204">
        <f t="shared" si="39"/>
        <v>461.4142404</v>
      </c>
      <c r="AK30" s="203">
        <f t="shared" si="39"/>
        <v>115.1671718</v>
      </c>
      <c r="AL30" s="203">
        <f t="shared" si="39"/>
        <v>136.6377144</v>
      </c>
      <c r="AM30" s="203">
        <f t="shared" si="39"/>
        <v>127.9341777</v>
      </c>
      <c r="AN30" s="203">
        <f t="shared" si="39"/>
        <v>126.7950532</v>
      </c>
      <c r="AO30" s="204">
        <f t="shared" si="39"/>
        <v>506.5341171</v>
      </c>
      <c r="AP30" s="193"/>
      <c r="AQ30" s="187"/>
      <c r="AR30" s="205"/>
      <c r="AS30" s="205"/>
      <c r="AT30" s="205"/>
      <c r="AU30" s="193"/>
    </row>
    <row r="31" ht="10.5" customHeight="1">
      <c r="A31" s="181"/>
      <c r="B31" s="186"/>
      <c r="C31" s="186"/>
      <c r="D31" s="186"/>
      <c r="E31" s="186"/>
      <c r="F31" s="185"/>
      <c r="G31" s="186"/>
      <c r="H31" s="186"/>
      <c r="I31" s="186"/>
      <c r="J31" s="186"/>
      <c r="K31" s="185"/>
      <c r="L31" s="186"/>
      <c r="M31" s="186"/>
      <c r="N31" s="186"/>
      <c r="O31" s="186"/>
      <c r="P31" s="185"/>
      <c r="Q31" s="186"/>
      <c r="R31" s="186"/>
      <c r="S31" s="186"/>
      <c r="T31" s="186"/>
      <c r="U31" s="185"/>
      <c r="V31" s="186"/>
      <c r="W31" s="186"/>
      <c r="X31" s="186"/>
      <c r="Y31" s="186"/>
      <c r="Z31" s="185"/>
      <c r="AA31" s="186"/>
      <c r="AB31" s="186"/>
      <c r="AC31" s="186"/>
      <c r="AD31" s="186"/>
      <c r="AE31" s="185"/>
      <c r="AF31" s="186"/>
      <c r="AG31" s="186"/>
      <c r="AH31" s="186"/>
      <c r="AI31" s="186"/>
      <c r="AJ31" s="185"/>
      <c r="AK31" s="186"/>
      <c r="AL31" s="186"/>
      <c r="AM31" s="186"/>
      <c r="AN31" s="186"/>
      <c r="AO31" s="185"/>
      <c r="AP31" s="165"/>
      <c r="AQ31" s="187"/>
      <c r="AR31" s="188"/>
      <c r="AS31" s="188"/>
      <c r="AT31" s="188"/>
      <c r="AU31" s="164"/>
    </row>
    <row r="32" ht="10.5" customHeight="1">
      <c r="A32" s="202" t="s">
        <v>180</v>
      </c>
      <c r="B32" s="190">
        <v>2.064</v>
      </c>
      <c r="C32" s="190">
        <v>3.045</v>
      </c>
      <c r="D32" s="190">
        <v>2.19</v>
      </c>
      <c r="E32" s="190">
        <v>1.423</v>
      </c>
      <c r="F32" s="197">
        <v>8.722</v>
      </c>
      <c r="G32" s="190">
        <v>0.664</v>
      </c>
      <c r="H32" s="190">
        <v>0.672</v>
      </c>
      <c r="I32" s="190">
        <v>0.386</v>
      </c>
      <c r="J32" s="190">
        <v>0.479</v>
      </c>
      <c r="K32" s="191">
        <f t="shared" ref="K32:K33" si="42">SUM(G32:J32)</f>
        <v>2.201</v>
      </c>
      <c r="L32" s="190">
        <v>0.212</v>
      </c>
      <c r="M32" s="190">
        <v>0.276</v>
      </c>
      <c r="N32" s="190">
        <v>0.354</v>
      </c>
      <c r="O32" s="192">
        <v>0.0</v>
      </c>
      <c r="P32" s="191">
        <f t="shared" ref="P32:P33" si="44">SUM(L32:O32)</f>
        <v>0.842</v>
      </c>
      <c r="Q32" s="192">
        <v>0.0</v>
      </c>
      <c r="R32" s="192">
        <v>0.0</v>
      </c>
      <c r="S32" s="192">
        <v>0.0</v>
      </c>
      <c r="T32" s="192">
        <v>0.0</v>
      </c>
      <c r="U32" s="191">
        <f t="shared" ref="U32:U33" si="46">SUM(Q32:T32)</f>
        <v>0</v>
      </c>
      <c r="V32" s="192">
        <v>0.0</v>
      </c>
      <c r="W32" s="192">
        <v>0.0</v>
      </c>
      <c r="X32" s="192">
        <v>0.0</v>
      </c>
      <c r="Y32" s="192">
        <v>0.0</v>
      </c>
      <c r="Z32" s="191">
        <f t="shared" ref="Z32:Z33" si="48">SUM(V32:Y32)</f>
        <v>0</v>
      </c>
      <c r="AA32" s="192">
        <v>0.0</v>
      </c>
      <c r="AB32" s="192">
        <v>0.0</v>
      </c>
      <c r="AC32" s="192">
        <v>0.0</v>
      </c>
      <c r="AD32" s="192">
        <v>0.0</v>
      </c>
      <c r="AE32" s="191">
        <f t="shared" ref="AE32:AE33" si="50">SUM(AA32:AD32)</f>
        <v>0</v>
      </c>
      <c r="AF32" s="192">
        <v>0.0</v>
      </c>
      <c r="AG32" s="192">
        <v>0.0</v>
      </c>
      <c r="AH32" s="192">
        <v>0.0</v>
      </c>
      <c r="AI32" s="192">
        <v>0.0</v>
      </c>
      <c r="AJ32" s="191">
        <f t="shared" ref="AJ32:AJ33" si="52">SUM(AF32:AI32)</f>
        <v>0</v>
      </c>
      <c r="AK32" s="192">
        <v>0.0</v>
      </c>
      <c r="AL32" s="192">
        <v>0.0</v>
      </c>
      <c r="AM32" s="192">
        <v>0.0</v>
      </c>
      <c r="AN32" s="192">
        <v>0.0</v>
      </c>
      <c r="AO32" s="191">
        <f t="shared" ref="AO32:AO33" si="54">SUM(AK32:AN32)</f>
        <v>0</v>
      </c>
      <c r="AP32" s="165"/>
      <c r="AQ32" s="187"/>
      <c r="AR32" s="188"/>
      <c r="AS32" s="188"/>
      <c r="AT32" s="188"/>
      <c r="AU32" s="164"/>
    </row>
    <row r="33" ht="10.5" customHeight="1">
      <c r="A33" s="199" t="s">
        <v>181</v>
      </c>
      <c r="B33" s="199">
        <f t="shared" ref="B33:E33" si="40">B30-B32</f>
        <v>5.901</v>
      </c>
      <c r="C33" s="199">
        <f t="shared" si="40"/>
        <v>23.139</v>
      </c>
      <c r="D33" s="199">
        <f t="shared" si="40"/>
        <v>21.556</v>
      </c>
      <c r="E33" s="199">
        <f t="shared" si="40"/>
        <v>17.706</v>
      </c>
      <c r="F33" s="206">
        <f>SUM(B33:E33)</f>
        <v>68.302</v>
      </c>
      <c r="G33" s="199">
        <f t="shared" ref="G33:J33" si="41">G30-G32</f>
        <v>34.309</v>
      </c>
      <c r="H33" s="199">
        <f t="shared" si="41"/>
        <v>48.64</v>
      </c>
      <c r="I33" s="199">
        <f t="shared" si="41"/>
        <v>42.009</v>
      </c>
      <c r="J33" s="199">
        <f t="shared" si="41"/>
        <v>47.084</v>
      </c>
      <c r="K33" s="206">
        <f t="shared" si="42"/>
        <v>172.042</v>
      </c>
      <c r="L33" s="199">
        <f t="shared" ref="L33:O33" si="43">L30-L32</f>
        <v>41.867</v>
      </c>
      <c r="M33" s="199">
        <f t="shared" si="43"/>
        <v>58.019</v>
      </c>
      <c r="N33" s="199">
        <f t="shared" si="43"/>
        <v>58.829</v>
      </c>
      <c r="O33" s="199">
        <f t="shared" si="43"/>
        <v>58.51335017</v>
      </c>
      <c r="P33" s="206">
        <f t="shared" si="44"/>
        <v>217.2283502</v>
      </c>
      <c r="Q33" s="199">
        <f t="shared" ref="Q33:T33" si="45">Q30-Q32</f>
        <v>56.44657112</v>
      </c>
      <c r="R33" s="199">
        <f t="shared" si="45"/>
        <v>80.58400809</v>
      </c>
      <c r="S33" s="199">
        <f t="shared" si="45"/>
        <v>76.1106118</v>
      </c>
      <c r="T33" s="199">
        <f t="shared" si="45"/>
        <v>77.23647891</v>
      </c>
      <c r="U33" s="206">
        <f t="shared" si="46"/>
        <v>290.3776699</v>
      </c>
      <c r="V33" s="199">
        <f t="shared" ref="V33:Y33" si="47">V30-V32</f>
        <v>70.82519003</v>
      </c>
      <c r="W33" s="199">
        <f t="shared" si="47"/>
        <v>96.15066981</v>
      </c>
      <c r="X33" s="199">
        <f t="shared" si="47"/>
        <v>93.2770807</v>
      </c>
      <c r="Y33" s="199">
        <f t="shared" si="47"/>
        <v>92.76161846</v>
      </c>
      <c r="Z33" s="206">
        <f t="shared" si="48"/>
        <v>353.014559</v>
      </c>
      <c r="AA33" s="199">
        <f t="shared" ref="AA33:AD33" si="49">AA30-AA32</f>
        <v>83.95482906</v>
      </c>
      <c r="AB33" s="199">
        <f t="shared" si="49"/>
        <v>110.4238881</v>
      </c>
      <c r="AC33" s="199">
        <f t="shared" si="49"/>
        <v>107.1251394</v>
      </c>
      <c r="AD33" s="199">
        <f t="shared" si="49"/>
        <v>105.9223516</v>
      </c>
      <c r="AE33" s="206">
        <f t="shared" si="50"/>
        <v>407.4262081</v>
      </c>
      <c r="AF33" s="199">
        <f t="shared" ref="AF33:AI33" si="51">AF30-AF32</f>
        <v>103.7099885</v>
      </c>
      <c r="AG33" s="199">
        <f t="shared" si="51"/>
        <v>124.8153885</v>
      </c>
      <c r="AH33" s="199">
        <f t="shared" si="51"/>
        <v>116.7244859</v>
      </c>
      <c r="AI33" s="199">
        <f t="shared" si="51"/>
        <v>116.1643775</v>
      </c>
      <c r="AJ33" s="206">
        <f t="shared" si="52"/>
        <v>461.4142404</v>
      </c>
      <c r="AK33" s="199">
        <f t="shared" ref="AK33:AN33" si="53">AK30-AK32</f>
        <v>115.1671718</v>
      </c>
      <c r="AL33" s="199">
        <f t="shared" si="53"/>
        <v>136.6377144</v>
      </c>
      <c r="AM33" s="199">
        <f t="shared" si="53"/>
        <v>127.9341777</v>
      </c>
      <c r="AN33" s="199">
        <f t="shared" si="53"/>
        <v>126.7950532</v>
      </c>
      <c r="AO33" s="206">
        <f t="shared" si="54"/>
        <v>506.5341171</v>
      </c>
      <c r="AP33" s="193"/>
      <c r="AQ33" s="187"/>
      <c r="AR33" s="188"/>
      <c r="AS33" s="188"/>
      <c r="AT33" s="188"/>
      <c r="AU33" s="193"/>
    </row>
    <row r="34" ht="10.5" customHeight="1">
      <c r="A34" s="164" t="s">
        <v>182</v>
      </c>
      <c r="B34" s="165"/>
      <c r="C34" s="165"/>
      <c r="D34" s="165"/>
      <c r="E34" s="165"/>
      <c r="F34" s="207"/>
      <c r="G34" s="165"/>
      <c r="H34" s="165"/>
      <c r="I34" s="165"/>
      <c r="J34" s="165"/>
      <c r="K34" s="207"/>
      <c r="L34" s="165"/>
      <c r="M34" s="165"/>
      <c r="N34" s="165"/>
      <c r="O34" s="165"/>
      <c r="P34" s="207"/>
      <c r="Q34" s="165"/>
      <c r="R34" s="165"/>
      <c r="S34" s="165"/>
      <c r="T34" s="165"/>
      <c r="U34" s="207"/>
      <c r="V34" s="165"/>
      <c r="W34" s="165"/>
      <c r="X34" s="165"/>
      <c r="Y34" s="165"/>
      <c r="Z34" s="207"/>
      <c r="AA34" s="165"/>
      <c r="AB34" s="165"/>
      <c r="AC34" s="165"/>
      <c r="AD34" s="165"/>
      <c r="AE34" s="207"/>
      <c r="AF34" s="165"/>
      <c r="AG34" s="165"/>
      <c r="AH34" s="165"/>
      <c r="AI34" s="165"/>
      <c r="AJ34" s="207"/>
      <c r="AK34" s="165"/>
      <c r="AL34" s="165"/>
      <c r="AM34" s="165"/>
      <c r="AN34" s="165"/>
      <c r="AO34" s="207"/>
      <c r="AP34" s="165"/>
      <c r="AQ34" s="187"/>
      <c r="AR34" s="188"/>
      <c r="AS34" s="188"/>
      <c r="AT34" s="188"/>
      <c r="AU34" s="164"/>
    </row>
    <row r="35" ht="10.5" customHeight="1">
      <c r="A35" s="183" t="s">
        <v>183</v>
      </c>
      <c r="B35" s="208">
        <f t="shared" ref="B35:AO35" si="55">B33/B38</f>
        <v>0.06988063095</v>
      </c>
      <c r="C35" s="208">
        <f t="shared" si="55"/>
        <v>0.2734524569</v>
      </c>
      <c r="D35" s="208">
        <f t="shared" si="55"/>
        <v>0.2547689398</v>
      </c>
      <c r="E35" s="208">
        <f t="shared" si="55"/>
        <v>0.2061209998</v>
      </c>
      <c r="F35" s="209">
        <f t="shared" si="55"/>
        <v>0.8045373162</v>
      </c>
      <c r="G35" s="208">
        <f t="shared" si="55"/>
        <v>0.3947692414</v>
      </c>
      <c r="H35" s="208">
        <f t="shared" si="55"/>
        <v>0.5603105669</v>
      </c>
      <c r="I35" s="208">
        <f t="shared" si="55"/>
        <v>0.4967364314</v>
      </c>
      <c r="J35" s="208">
        <f t="shared" si="55"/>
        <v>0.5590330547</v>
      </c>
      <c r="K35" s="209">
        <f t="shared" si="55"/>
        <v>2.00917924</v>
      </c>
      <c r="L35" s="208">
        <f t="shared" si="55"/>
        <v>0.4974100036</v>
      </c>
      <c r="M35" s="208">
        <f t="shared" si="55"/>
        <v>0.6918472234</v>
      </c>
      <c r="N35" s="208">
        <f t="shared" si="55"/>
        <v>0.7043955123</v>
      </c>
      <c r="O35" s="208">
        <f t="shared" si="55"/>
        <v>0.7006160443</v>
      </c>
      <c r="P35" s="209">
        <f t="shared" si="55"/>
        <v>2.593268174</v>
      </c>
      <c r="Q35" s="208">
        <f t="shared" si="55"/>
        <v>0.6758692376</v>
      </c>
      <c r="R35" s="208">
        <f t="shared" si="55"/>
        <v>0.9648814983</v>
      </c>
      <c r="S35" s="208">
        <f t="shared" si="55"/>
        <v>0.911318795</v>
      </c>
      <c r="T35" s="208">
        <f t="shared" si="55"/>
        <v>0.9247994888</v>
      </c>
      <c r="U35" s="209">
        <f t="shared" si="55"/>
        <v>3.47686902</v>
      </c>
      <c r="V35" s="208">
        <f t="shared" si="55"/>
        <v>0.8480332151</v>
      </c>
      <c r="W35" s="208">
        <f t="shared" si="55"/>
        <v>1.151270637</v>
      </c>
      <c r="X35" s="208">
        <f t="shared" si="55"/>
        <v>1.116863402</v>
      </c>
      <c r="Y35" s="208">
        <f t="shared" si="55"/>
        <v>1.110691458</v>
      </c>
      <c r="Z35" s="209">
        <f t="shared" si="55"/>
        <v>4.226858711</v>
      </c>
      <c r="AA35" s="208">
        <f t="shared" si="55"/>
        <v>1.005242395</v>
      </c>
      <c r="AB35" s="208">
        <f t="shared" si="55"/>
        <v>1.322172588</v>
      </c>
      <c r="AC35" s="208">
        <f t="shared" si="55"/>
        <v>1.282674658</v>
      </c>
      <c r="AD35" s="208">
        <f t="shared" si="55"/>
        <v>1.268272945</v>
      </c>
      <c r="AE35" s="209">
        <f t="shared" si="55"/>
        <v>4.878362586</v>
      </c>
      <c r="AF35" s="208">
        <f t="shared" si="55"/>
        <v>1.241782973</v>
      </c>
      <c r="AG35" s="208">
        <f t="shared" si="55"/>
        <v>1.494490805</v>
      </c>
      <c r="AH35" s="208">
        <f t="shared" si="55"/>
        <v>1.397613491</v>
      </c>
      <c r="AI35" s="208">
        <f t="shared" si="55"/>
        <v>1.390906971</v>
      </c>
      <c r="AJ35" s="209">
        <f t="shared" si="55"/>
        <v>5.524794239</v>
      </c>
      <c r="AK35" s="208">
        <f t="shared" si="55"/>
        <v>1.378966819</v>
      </c>
      <c r="AL35" s="208">
        <f t="shared" si="55"/>
        <v>1.636046726</v>
      </c>
      <c r="AM35" s="208">
        <f t="shared" si="55"/>
        <v>1.531833971</v>
      </c>
      <c r="AN35" s="208">
        <f t="shared" si="55"/>
        <v>1.518194538</v>
      </c>
      <c r="AO35" s="209">
        <f t="shared" si="55"/>
        <v>6.065042053</v>
      </c>
      <c r="AP35" s="165"/>
      <c r="AQ35" s="187"/>
      <c r="AR35" s="188"/>
      <c r="AS35" s="188"/>
      <c r="AT35" s="188"/>
      <c r="AU35" s="164"/>
    </row>
    <row r="36" ht="10.5" customHeight="1">
      <c r="A36" s="183" t="s">
        <v>184</v>
      </c>
      <c r="B36" s="208">
        <f t="shared" ref="B36:AO36" si="56">B33/B39</f>
        <v>0.06959793365</v>
      </c>
      <c r="C36" s="208">
        <f t="shared" si="56"/>
        <v>0.2725184906</v>
      </c>
      <c r="D36" s="208">
        <f t="shared" si="56"/>
        <v>0.2539405791</v>
      </c>
      <c r="E36" s="208">
        <f t="shared" si="56"/>
        <v>0.2054227141</v>
      </c>
      <c r="F36" s="209">
        <f t="shared" si="56"/>
        <v>0.80180783</v>
      </c>
      <c r="G36" s="208">
        <f t="shared" si="56"/>
        <v>0.3933525945</v>
      </c>
      <c r="H36" s="208">
        <f t="shared" si="56"/>
        <v>0.559369789</v>
      </c>
      <c r="I36" s="208">
        <f t="shared" si="56"/>
        <v>0.4958101218</v>
      </c>
      <c r="J36" s="208">
        <f t="shared" si="56"/>
        <v>0.557589825</v>
      </c>
      <c r="K36" s="209">
        <f t="shared" si="56"/>
        <v>2.004293033</v>
      </c>
      <c r="L36" s="208">
        <f t="shared" si="56"/>
        <v>0.4960427478</v>
      </c>
      <c r="M36" s="208">
        <f t="shared" si="56"/>
        <v>0.6901683221</v>
      </c>
      <c r="N36" s="208">
        <f t="shared" si="56"/>
        <v>0.7027127107</v>
      </c>
      <c r="O36" s="208">
        <f t="shared" si="56"/>
        <v>0.6989422718</v>
      </c>
      <c r="P36" s="209">
        <f t="shared" si="56"/>
        <v>2.586813974</v>
      </c>
      <c r="Q36" s="208">
        <f t="shared" si="56"/>
        <v>0.6742545853</v>
      </c>
      <c r="R36" s="208">
        <f t="shared" si="56"/>
        <v>0.9625763954</v>
      </c>
      <c r="S36" s="208">
        <f t="shared" si="56"/>
        <v>0.9091416535</v>
      </c>
      <c r="T36" s="208">
        <f t="shared" si="56"/>
        <v>0.9225901419</v>
      </c>
      <c r="U36" s="209">
        <f t="shared" si="56"/>
        <v>3.468562776</v>
      </c>
      <c r="V36" s="208">
        <f t="shared" si="56"/>
        <v>0.8460072629</v>
      </c>
      <c r="W36" s="208">
        <f t="shared" si="56"/>
        <v>1.148520251</v>
      </c>
      <c r="X36" s="208">
        <f t="shared" si="56"/>
        <v>1.114195214</v>
      </c>
      <c r="Y36" s="208">
        <f t="shared" si="56"/>
        <v>1.108038015</v>
      </c>
      <c r="Z36" s="209">
        <f t="shared" si="56"/>
        <v>4.216760742</v>
      </c>
      <c r="AA36" s="208">
        <f t="shared" si="56"/>
        <v>1.002840869</v>
      </c>
      <c r="AB36" s="208">
        <f t="shared" si="56"/>
        <v>1.319013917</v>
      </c>
      <c r="AC36" s="208">
        <f t="shared" si="56"/>
        <v>1.279610347</v>
      </c>
      <c r="AD36" s="208">
        <f t="shared" si="56"/>
        <v>1.26524304</v>
      </c>
      <c r="AE36" s="209">
        <f t="shared" si="56"/>
        <v>4.866708173</v>
      </c>
      <c r="AF36" s="208">
        <f t="shared" si="56"/>
        <v>1.238816352</v>
      </c>
      <c r="AG36" s="208">
        <f t="shared" si="56"/>
        <v>1.490920464</v>
      </c>
      <c r="AH36" s="208">
        <f t="shared" si="56"/>
        <v>1.394274591</v>
      </c>
      <c r="AI36" s="208">
        <f t="shared" si="56"/>
        <v>1.387584092</v>
      </c>
      <c r="AJ36" s="209">
        <f t="shared" si="56"/>
        <v>5.5115955</v>
      </c>
      <c r="AK36" s="208">
        <f t="shared" si="56"/>
        <v>1.375672465</v>
      </c>
      <c r="AL36" s="208">
        <f t="shared" si="56"/>
        <v>1.632138209</v>
      </c>
      <c r="AM36" s="208">
        <f t="shared" si="56"/>
        <v>1.528174418</v>
      </c>
      <c r="AN36" s="208">
        <f t="shared" si="56"/>
        <v>1.514567569</v>
      </c>
      <c r="AO36" s="209">
        <f t="shared" si="56"/>
        <v>6.050552661</v>
      </c>
      <c r="AP36" s="165"/>
      <c r="AQ36" s="187"/>
      <c r="AR36" s="188"/>
      <c r="AS36" s="188"/>
      <c r="AT36" s="188"/>
      <c r="AU36" s="164"/>
    </row>
    <row r="37" ht="10.5" customHeight="1">
      <c r="A37" s="164" t="s">
        <v>185</v>
      </c>
      <c r="B37" s="165"/>
      <c r="C37" s="164"/>
      <c r="D37" s="165"/>
      <c r="E37" s="164"/>
      <c r="F37" s="207"/>
      <c r="G37" s="165"/>
      <c r="H37" s="164"/>
      <c r="I37" s="165"/>
      <c r="J37" s="165"/>
      <c r="K37" s="207"/>
      <c r="L37" s="165"/>
      <c r="M37" s="165"/>
      <c r="N37" s="165"/>
      <c r="O37" s="165"/>
      <c r="P37" s="207"/>
      <c r="Q37" s="165"/>
      <c r="R37" s="165"/>
      <c r="S37" s="165"/>
      <c r="T37" s="165"/>
      <c r="U37" s="207"/>
      <c r="V37" s="165"/>
      <c r="W37" s="165"/>
      <c r="X37" s="165"/>
      <c r="Y37" s="165"/>
      <c r="Z37" s="207"/>
      <c r="AA37" s="165"/>
      <c r="AB37" s="165"/>
      <c r="AC37" s="165"/>
      <c r="AD37" s="165"/>
      <c r="AE37" s="207"/>
      <c r="AF37" s="165"/>
      <c r="AG37" s="165"/>
      <c r="AH37" s="165"/>
      <c r="AI37" s="165"/>
      <c r="AJ37" s="207"/>
      <c r="AK37" s="165"/>
      <c r="AL37" s="165"/>
      <c r="AM37" s="165"/>
      <c r="AN37" s="165"/>
      <c r="AO37" s="207"/>
      <c r="AP37" s="165"/>
      <c r="AQ37" s="187"/>
      <c r="AR37" s="188"/>
      <c r="AS37" s="188"/>
      <c r="AT37" s="188"/>
      <c r="AU37" s="164"/>
    </row>
    <row r="38" ht="10.5" customHeight="1">
      <c r="A38" s="183" t="s">
        <v>183</v>
      </c>
      <c r="B38" s="210">
        <v>84.444</v>
      </c>
      <c r="C38" s="210">
        <v>84.618</v>
      </c>
      <c r="D38" s="210">
        <v>84.61</v>
      </c>
      <c r="E38" s="210">
        <v>85.901</v>
      </c>
      <c r="F38" s="211">
        <v>84.896</v>
      </c>
      <c r="G38" s="210">
        <v>86.909</v>
      </c>
      <c r="H38" s="210">
        <v>86.809</v>
      </c>
      <c r="I38" s="210">
        <v>84.57</v>
      </c>
      <c r="J38" s="210">
        <v>84.224</v>
      </c>
      <c r="K38" s="207">
        <f t="shared" ref="K38:K39" si="62">AVERAGE(G38:J38)</f>
        <v>85.628</v>
      </c>
      <c r="L38" s="210">
        <v>84.17</v>
      </c>
      <c r="M38" s="210">
        <v>83.861</v>
      </c>
      <c r="N38" s="210">
        <v>83.517</v>
      </c>
      <c r="O38" s="212">
        <f>N38</f>
        <v>83.517</v>
      </c>
      <c r="P38" s="207">
        <f t="shared" ref="P38:P39" si="63">AVERAGE(L38:O38)</f>
        <v>83.76625</v>
      </c>
      <c r="Q38" s="212">
        <f>N38</f>
        <v>83.517</v>
      </c>
      <c r="R38" s="212">
        <f t="shared" ref="R38:T38" si="57">Q38</f>
        <v>83.517</v>
      </c>
      <c r="S38" s="212">
        <f t="shared" si="57"/>
        <v>83.517</v>
      </c>
      <c r="T38" s="212">
        <f t="shared" si="57"/>
        <v>83.517</v>
      </c>
      <c r="U38" s="207">
        <f t="shared" ref="U38:U39" si="65">AVERAGE(Q38:T38)</f>
        <v>83.517</v>
      </c>
      <c r="V38" s="212">
        <f>T38</f>
        <v>83.517</v>
      </c>
      <c r="W38" s="212">
        <f t="shared" ref="W38:Y38" si="58">V38</f>
        <v>83.517</v>
      </c>
      <c r="X38" s="212">
        <f t="shared" si="58"/>
        <v>83.517</v>
      </c>
      <c r="Y38" s="212">
        <f t="shared" si="58"/>
        <v>83.517</v>
      </c>
      <c r="Z38" s="207">
        <f t="shared" ref="Z38:Z39" si="67">AVERAGE(V38:Y38)</f>
        <v>83.517</v>
      </c>
      <c r="AA38" s="212">
        <f>V38</f>
        <v>83.517</v>
      </c>
      <c r="AB38" s="212">
        <f t="shared" ref="AB38:AD38" si="59">AA38</f>
        <v>83.517</v>
      </c>
      <c r="AC38" s="212">
        <f t="shared" si="59"/>
        <v>83.517</v>
      </c>
      <c r="AD38" s="212">
        <f t="shared" si="59"/>
        <v>83.517</v>
      </c>
      <c r="AE38" s="207">
        <f t="shared" ref="AE38:AE39" si="69">AVERAGE(AA38:AD38)</f>
        <v>83.517</v>
      </c>
      <c r="AF38" s="212">
        <f t="shared" ref="AF38:AI38" si="60">AA38</f>
        <v>83.517</v>
      </c>
      <c r="AG38" s="212">
        <f t="shared" si="60"/>
        <v>83.517</v>
      </c>
      <c r="AH38" s="212">
        <f t="shared" si="60"/>
        <v>83.517</v>
      </c>
      <c r="AI38" s="212">
        <f t="shared" si="60"/>
        <v>83.517</v>
      </c>
      <c r="AJ38" s="207">
        <f t="shared" ref="AJ38:AJ39" si="71">AVERAGE(AF38:AI38)</f>
        <v>83.517</v>
      </c>
      <c r="AK38" s="212">
        <f t="shared" ref="AK38:AN38" si="61">AF38</f>
        <v>83.517</v>
      </c>
      <c r="AL38" s="212">
        <f t="shared" si="61"/>
        <v>83.517</v>
      </c>
      <c r="AM38" s="212">
        <f t="shared" si="61"/>
        <v>83.517</v>
      </c>
      <c r="AN38" s="212">
        <f t="shared" si="61"/>
        <v>83.517</v>
      </c>
      <c r="AO38" s="207">
        <f t="shared" ref="AO38:AO39" si="73">AVERAGE(AK38:AN38)</f>
        <v>83.517</v>
      </c>
      <c r="AP38" s="165"/>
      <c r="AQ38" s="187"/>
      <c r="AR38" s="188"/>
      <c r="AS38" s="188"/>
      <c r="AT38" s="188"/>
      <c r="AU38" s="164"/>
    </row>
    <row r="39" ht="10.5" customHeight="1">
      <c r="A39" s="183" t="s">
        <v>184</v>
      </c>
      <c r="B39" s="210">
        <v>84.787</v>
      </c>
      <c r="C39" s="210">
        <v>84.908</v>
      </c>
      <c r="D39" s="210">
        <v>84.886</v>
      </c>
      <c r="E39" s="210">
        <v>86.193</v>
      </c>
      <c r="F39" s="211">
        <v>85.185</v>
      </c>
      <c r="G39" s="210">
        <v>87.222</v>
      </c>
      <c r="H39" s="210">
        <v>86.955</v>
      </c>
      <c r="I39" s="210">
        <v>84.728</v>
      </c>
      <c r="J39" s="210">
        <v>84.442</v>
      </c>
      <c r="K39" s="207">
        <f t="shared" si="62"/>
        <v>85.83675</v>
      </c>
      <c r="L39" s="210">
        <v>84.402</v>
      </c>
      <c r="M39" s="210">
        <v>84.065</v>
      </c>
      <c r="N39" s="210">
        <v>83.717</v>
      </c>
      <c r="O39" s="212">
        <f>N39-N38+O38</f>
        <v>83.717</v>
      </c>
      <c r="P39" s="207">
        <f t="shared" si="63"/>
        <v>83.97525</v>
      </c>
      <c r="Q39" s="212">
        <f>O39-O38+Q38</f>
        <v>83.717</v>
      </c>
      <c r="R39" s="212">
        <f t="shared" ref="R39:T39" si="64">Q39-Q38+R38</f>
        <v>83.717</v>
      </c>
      <c r="S39" s="212">
        <f t="shared" si="64"/>
        <v>83.717</v>
      </c>
      <c r="T39" s="212">
        <f t="shared" si="64"/>
        <v>83.717</v>
      </c>
      <c r="U39" s="207">
        <f t="shared" si="65"/>
        <v>83.717</v>
      </c>
      <c r="V39" s="212">
        <f>T39-T38+V38</f>
        <v>83.717</v>
      </c>
      <c r="W39" s="212">
        <f t="shared" ref="W39:Y39" si="66">V39-V38+W38</f>
        <v>83.717</v>
      </c>
      <c r="X39" s="212">
        <f t="shared" si="66"/>
        <v>83.717</v>
      </c>
      <c r="Y39" s="212">
        <f t="shared" si="66"/>
        <v>83.717</v>
      </c>
      <c r="Z39" s="207">
        <f t="shared" si="67"/>
        <v>83.717</v>
      </c>
      <c r="AA39" s="212">
        <f>Y39-Y38+AA38</f>
        <v>83.717</v>
      </c>
      <c r="AB39" s="212">
        <f t="shared" ref="AB39:AD39" si="68">AA39-AA38+AB38</f>
        <v>83.717</v>
      </c>
      <c r="AC39" s="212">
        <f t="shared" si="68"/>
        <v>83.717</v>
      </c>
      <c r="AD39" s="212">
        <f t="shared" si="68"/>
        <v>83.717</v>
      </c>
      <c r="AE39" s="207">
        <f t="shared" si="69"/>
        <v>83.717</v>
      </c>
      <c r="AF39" s="212">
        <f>AD39-AD38+AF38</f>
        <v>83.717</v>
      </c>
      <c r="AG39" s="212">
        <f t="shared" ref="AG39:AI39" si="70">AF39-AF38+AG38</f>
        <v>83.717</v>
      </c>
      <c r="AH39" s="212">
        <f t="shared" si="70"/>
        <v>83.717</v>
      </c>
      <c r="AI39" s="212">
        <f t="shared" si="70"/>
        <v>83.717</v>
      </c>
      <c r="AJ39" s="207">
        <f t="shared" si="71"/>
        <v>83.717</v>
      </c>
      <c r="AK39" s="212">
        <f>AI39-AI38+AK38</f>
        <v>83.717</v>
      </c>
      <c r="AL39" s="212">
        <f t="shared" ref="AL39:AN39" si="72">AK39-AK38+AL38</f>
        <v>83.717</v>
      </c>
      <c r="AM39" s="212">
        <f t="shared" si="72"/>
        <v>83.717</v>
      </c>
      <c r="AN39" s="212">
        <f t="shared" si="72"/>
        <v>83.717</v>
      </c>
      <c r="AO39" s="207">
        <f t="shared" si="73"/>
        <v>83.717</v>
      </c>
      <c r="AP39" s="165"/>
      <c r="AQ39" s="187"/>
      <c r="AR39" s="188"/>
      <c r="AS39" s="188"/>
      <c r="AT39" s="188"/>
      <c r="AU39" s="164"/>
    </row>
    <row r="40" ht="10.5" customHeight="1">
      <c r="A40" s="183"/>
      <c r="B40" s="210"/>
      <c r="C40" s="210"/>
      <c r="D40" s="210"/>
      <c r="E40" s="210"/>
      <c r="F40" s="211"/>
      <c r="G40" s="210"/>
      <c r="H40" s="165"/>
      <c r="I40" s="210"/>
      <c r="J40" s="165"/>
      <c r="K40" s="207"/>
      <c r="L40" s="165"/>
      <c r="M40" s="165"/>
      <c r="N40" s="165"/>
      <c r="O40" s="165"/>
      <c r="P40" s="207"/>
      <c r="Q40" s="165"/>
      <c r="R40" s="165"/>
      <c r="S40" s="165"/>
      <c r="T40" s="165"/>
      <c r="U40" s="207"/>
      <c r="V40" s="165"/>
      <c r="W40" s="165"/>
      <c r="X40" s="165"/>
      <c r="Y40" s="165"/>
      <c r="Z40" s="207"/>
      <c r="AA40" s="165"/>
      <c r="AB40" s="165"/>
      <c r="AC40" s="165"/>
      <c r="AD40" s="165"/>
      <c r="AE40" s="207"/>
      <c r="AF40" s="165"/>
      <c r="AG40" s="165"/>
      <c r="AH40" s="165"/>
      <c r="AI40" s="165"/>
      <c r="AJ40" s="207"/>
      <c r="AK40" s="165"/>
      <c r="AL40" s="165"/>
      <c r="AM40" s="165"/>
      <c r="AN40" s="165"/>
      <c r="AO40" s="207"/>
      <c r="AP40" s="165"/>
      <c r="AQ40" s="187"/>
      <c r="AR40" s="188"/>
      <c r="AS40" s="188"/>
      <c r="AT40" s="188"/>
      <c r="AU40" s="164"/>
    </row>
    <row r="41" ht="10.5" customHeight="1">
      <c r="A41" s="198" t="s">
        <v>186</v>
      </c>
      <c r="B41" s="213"/>
      <c r="C41" s="213"/>
      <c r="D41" s="213"/>
      <c r="E41" s="213"/>
      <c r="F41" s="214"/>
      <c r="G41" s="213"/>
      <c r="H41" s="213"/>
      <c r="I41" s="213"/>
      <c r="J41" s="215"/>
      <c r="K41" s="216"/>
      <c r="L41" s="215"/>
      <c r="M41" s="215"/>
      <c r="N41" s="215"/>
      <c r="O41" s="215"/>
      <c r="P41" s="216"/>
      <c r="Q41" s="215"/>
      <c r="R41" s="215"/>
      <c r="S41" s="215"/>
      <c r="T41" s="215"/>
      <c r="U41" s="216"/>
      <c r="V41" s="215"/>
      <c r="W41" s="215"/>
      <c r="X41" s="215"/>
      <c r="Y41" s="215"/>
      <c r="Z41" s="216"/>
      <c r="AA41" s="215"/>
      <c r="AB41" s="215"/>
      <c r="AC41" s="215"/>
      <c r="AD41" s="215"/>
      <c r="AE41" s="216"/>
      <c r="AF41" s="215"/>
      <c r="AG41" s="215"/>
      <c r="AH41" s="215"/>
      <c r="AI41" s="215"/>
      <c r="AJ41" s="216"/>
      <c r="AK41" s="215"/>
      <c r="AL41" s="215"/>
      <c r="AM41" s="215"/>
      <c r="AN41" s="215"/>
      <c r="AO41" s="216"/>
      <c r="AP41" s="165"/>
      <c r="AQ41" s="187"/>
      <c r="AR41" s="188"/>
      <c r="AS41" s="188"/>
      <c r="AT41" s="188"/>
      <c r="AU41" s="164"/>
    </row>
    <row r="42" ht="10.5" customHeight="1">
      <c r="A42" s="193" t="s">
        <v>187</v>
      </c>
      <c r="B42" s="186">
        <f t="shared" ref="B42:J42" si="74">B30</f>
        <v>7.965</v>
      </c>
      <c r="C42" s="186">
        <f t="shared" si="74"/>
        <v>26.184</v>
      </c>
      <c r="D42" s="186">
        <f t="shared" si="74"/>
        <v>23.746</v>
      </c>
      <c r="E42" s="186">
        <f t="shared" si="74"/>
        <v>19.129</v>
      </c>
      <c r="F42" s="185">
        <f t="shared" si="74"/>
        <v>147.036</v>
      </c>
      <c r="G42" s="186">
        <f t="shared" si="74"/>
        <v>34.973</v>
      </c>
      <c r="H42" s="186">
        <f t="shared" si="74"/>
        <v>49.312</v>
      </c>
      <c r="I42" s="186">
        <f t="shared" si="74"/>
        <v>42.395</v>
      </c>
      <c r="J42" s="186">
        <f t="shared" si="74"/>
        <v>47.563</v>
      </c>
      <c r="K42" s="185">
        <f t="shared" ref="K42:K46" si="82">SUM(G42:J42)</f>
        <v>174.243</v>
      </c>
      <c r="L42" s="186">
        <f t="shared" ref="L42:O42" si="75">L30</f>
        <v>42.079</v>
      </c>
      <c r="M42" s="186">
        <f t="shared" si="75"/>
        <v>58.295</v>
      </c>
      <c r="N42" s="186">
        <f t="shared" si="75"/>
        <v>59.183</v>
      </c>
      <c r="O42" s="186">
        <f t="shared" si="75"/>
        <v>58.51335017</v>
      </c>
      <c r="P42" s="185">
        <f t="shared" ref="P42:P46" si="84">SUM(L42:O42)</f>
        <v>218.0703502</v>
      </c>
      <c r="Q42" s="186">
        <f t="shared" ref="Q42:T42" si="76">Q30</f>
        <v>56.44657112</v>
      </c>
      <c r="R42" s="186">
        <f t="shared" si="76"/>
        <v>80.58400809</v>
      </c>
      <c r="S42" s="186">
        <f t="shared" si="76"/>
        <v>76.1106118</v>
      </c>
      <c r="T42" s="186">
        <f t="shared" si="76"/>
        <v>77.23647891</v>
      </c>
      <c r="U42" s="185">
        <f t="shared" ref="U42:U46" si="86">SUM(Q42:T42)</f>
        <v>290.3776699</v>
      </c>
      <c r="V42" s="186">
        <f t="shared" ref="V42:Y42" si="77">V30</f>
        <v>70.82519003</v>
      </c>
      <c r="W42" s="186">
        <f t="shared" si="77"/>
        <v>96.15066981</v>
      </c>
      <c r="X42" s="186">
        <f t="shared" si="77"/>
        <v>93.2770807</v>
      </c>
      <c r="Y42" s="186">
        <f t="shared" si="77"/>
        <v>92.76161846</v>
      </c>
      <c r="Z42" s="185">
        <f t="shared" ref="Z42:Z46" si="88">SUM(V42:Y42)</f>
        <v>353.014559</v>
      </c>
      <c r="AA42" s="186">
        <f t="shared" ref="AA42:AD42" si="78">AA30</f>
        <v>83.95482906</v>
      </c>
      <c r="AB42" s="186">
        <f t="shared" si="78"/>
        <v>110.4238881</v>
      </c>
      <c r="AC42" s="186">
        <f t="shared" si="78"/>
        <v>107.1251394</v>
      </c>
      <c r="AD42" s="186">
        <f t="shared" si="78"/>
        <v>105.9223516</v>
      </c>
      <c r="AE42" s="185">
        <f t="shared" ref="AE42:AE46" si="90">SUM(AA42:AD42)</f>
        <v>407.4262081</v>
      </c>
      <c r="AF42" s="186">
        <f t="shared" ref="AF42:AI42" si="79">AF30</f>
        <v>103.7099885</v>
      </c>
      <c r="AG42" s="186">
        <f t="shared" si="79"/>
        <v>124.8153885</v>
      </c>
      <c r="AH42" s="186">
        <f t="shared" si="79"/>
        <v>116.7244859</v>
      </c>
      <c r="AI42" s="186">
        <f t="shared" si="79"/>
        <v>116.1643775</v>
      </c>
      <c r="AJ42" s="185">
        <f t="shared" ref="AJ42:AJ46" si="92">SUM(AF42:AI42)</f>
        <v>461.4142404</v>
      </c>
      <c r="AK42" s="186">
        <f t="shared" ref="AK42:AN42" si="80">AK30</f>
        <v>115.1671718</v>
      </c>
      <c r="AL42" s="186">
        <f t="shared" si="80"/>
        <v>136.6377144</v>
      </c>
      <c r="AM42" s="186">
        <f t="shared" si="80"/>
        <v>127.9341777</v>
      </c>
      <c r="AN42" s="186">
        <f t="shared" si="80"/>
        <v>126.7950532</v>
      </c>
      <c r="AO42" s="185">
        <f t="shared" ref="AO42:AO46" si="94">SUM(AK42:AN42)</f>
        <v>506.5341171</v>
      </c>
      <c r="AP42" s="186"/>
      <c r="AQ42" s="186"/>
      <c r="AR42" s="188"/>
      <c r="AS42" s="188"/>
      <c r="AT42" s="188"/>
      <c r="AU42" s="186"/>
    </row>
    <row r="43" ht="10.5" customHeight="1">
      <c r="A43" s="217" t="s">
        <v>172</v>
      </c>
      <c r="B43" s="186">
        <f t="shared" ref="B43:J43" si="81">-B22</f>
        <v>-3.931</v>
      </c>
      <c r="C43" s="186">
        <f t="shared" si="81"/>
        <v>-4.163</v>
      </c>
      <c r="D43" s="186">
        <f t="shared" si="81"/>
        <v>-4.245</v>
      </c>
      <c r="E43" s="186">
        <f t="shared" si="81"/>
        <v>-5.402</v>
      </c>
      <c r="F43" s="185">
        <f t="shared" si="81"/>
        <v>-17.741</v>
      </c>
      <c r="G43" s="186">
        <f t="shared" si="81"/>
        <v>-5.461</v>
      </c>
      <c r="H43" s="186">
        <f t="shared" si="81"/>
        <v>-5.616</v>
      </c>
      <c r="I43" s="186">
        <f t="shared" si="81"/>
        <v>-5.61</v>
      </c>
      <c r="J43" s="186">
        <f t="shared" si="81"/>
        <v>-6.428</v>
      </c>
      <c r="K43" s="185">
        <f t="shared" si="82"/>
        <v>-23.115</v>
      </c>
      <c r="L43" s="186">
        <f t="shared" ref="L43:O43" si="83">-L22</f>
        <v>-5.812</v>
      </c>
      <c r="M43" s="186">
        <f t="shared" si="83"/>
        <v>-5.69</v>
      </c>
      <c r="N43" s="186">
        <f t="shared" si="83"/>
        <v>-5.936</v>
      </c>
      <c r="O43" s="186">
        <f t="shared" si="83"/>
        <v>-4.37299625</v>
      </c>
      <c r="P43" s="185">
        <f t="shared" si="84"/>
        <v>-21.81099625</v>
      </c>
      <c r="Q43" s="186">
        <f t="shared" ref="Q43:T43" si="85">-Q22</f>
        <v>-4.399789473</v>
      </c>
      <c r="R43" s="186">
        <f t="shared" si="85"/>
        <v>-5.553146084</v>
      </c>
      <c r="S43" s="186">
        <f t="shared" si="85"/>
        <v>-6.077896649</v>
      </c>
      <c r="T43" s="186">
        <f t="shared" si="85"/>
        <v>-6.395522187</v>
      </c>
      <c r="U43" s="185">
        <f t="shared" si="86"/>
        <v>-22.42635439</v>
      </c>
      <c r="V43" s="186">
        <f t="shared" ref="V43:Y43" si="87">-V22</f>
        <v>-6.811315848</v>
      </c>
      <c r="W43" s="186">
        <f t="shared" si="87"/>
        <v>-8.120977522</v>
      </c>
      <c r="X43" s="186">
        <f t="shared" si="87"/>
        <v>-8.695300149</v>
      </c>
      <c r="Y43" s="186">
        <f t="shared" si="87"/>
        <v>-9.192291441</v>
      </c>
      <c r="Z43" s="185">
        <f t="shared" si="88"/>
        <v>-32.81988496</v>
      </c>
      <c r="AA43" s="186">
        <f t="shared" ref="AA43:AD43" si="89">-AA22</f>
        <v>-9.719502078</v>
      </c>
      <c r="AB43" s="186">
        <f t="shared" si="89"/>
        <v>-11.22102407</v>
      </c>
      <c r="AC43" s="186">
        <f t="shared" si="89"/>
        <v>-11.88282236</v>
      </c>
      <c r="AD43" s="186">
        <f t="shared" si="89"/>
        <v>-12.46863182</v>
      </c>
      <c r="AE43" s="185">
        <f t="shared" si="90"/>
        <v>-45.29198033</v>
      </c>
      <c r="AF43" s="186">
        <f t="shared" ref="AF43:AI43" si="91">-AF22</f>
        <v>-13.06965203</v>
      </c>
      <c r="AG43" s="186">
        <f t="shared" si="91"/>
        <v>-14.84682508</v>
      </c>
      <c r="AH43" s="186">
        <f t="shared" si="91"/>
        <v>-15.63634138</v>
      </c>
      <c r="AI43" s="186">
        <f t="shared" si="91"/>
        <v>-16.31140119</v>
      </c>
      <c r="AJ43" s="185">
        <f t="shared" si="92"/>
        <v>-59.86421969</v>
      </c>
      <c r="AK43" s="186">
        <f t="shared" ref="AK43:AN43" si="93">-AK22</f>
        <v>-17.00914208</v>
      </c>
      <c r="AL43" s="186">
        <f t="shared" si="93"/>
        <v>-18.96558845</v>
      </c>
      <c r="AM43" s="186">
        <f t="shared" si="93"/>
        <v>-19.84500899</v>
      </c>
      <c r="AN43" s="186">
        <f t="shared" si="93"/>
        <v>-20.60315026</v>
      </c>
      <c r="AO43" s="185">
        <f t="shared" si="94"/>
        <v>-76.42288979</v>
      </c>
      <c r="AP43" s="186"/>
      <c r="AQ43" s="186"/>
      <c r="AR43" s="188"/>
      <c r="AS43" s="188"/>
      <c r="AT43" s="188"/>
      <c r="AU43" s="186"/>
    </row>
    <row r="44" ht="10.5" customHeight="1">
      <c r="A44" s="217" t="s">
        <v>173</v>
      </c>
      <c r="B44" s="186">
        <f t="shared" ref="B44:J44" si="95">-B23</f>
        <v>21.599</v>
      </c>
      <c r="C44" s="186">
        <f t="shared" si="95"/>
        <v>21.468</v>
      </c>
      <c r="D44" s="186">
        <f t="shared" si="95"/>
        <v>21.704</v>
      </c>
      <c r="E44" s="186">
        <f t="shared" si="95"/>
        <v>21.805</v>
      </c>
      <c r="F44" s="185">
        <f t="shared" si="95"/>
        <v>86.576</v>
      </c>
      <c r="G44" s="186">
        <f t="shared" si="95"/>
        <v>21.433</v>
      </c>
      <c r="H44" s="186">
        <f t="shared" si="95"/>
        <v>24.533</v>
      </c>
      <c r="I44" s="186">
        <f t="shared" si="95"/>
        <v>26.603</v>
      </c>
      <c r="J44" s="186">
        <f t="shared" si="95"/>
        <v>27.468</v>
      </c>
      <c r="K44" s="185">
        <f t="shared" si="82"/>
        <v>100.037</v>
      </c>
      <c r="L44" s="186">
        <f t="shared" ref="L44:O44" si="96">-L23</f>
        <v>26.197</v>
      </c>
      <c r="M44" s="186">
        <f t="shared" si="96"/>
        <v>26.181</v>
      </c>
      <c r="N44" s="186">
        <f t="shared" si="96"/>
        <v>26.342</v>
      </c>
      <c r="O44" s="186">
        <f t="shared" si="96"/>
        <v>27.74326244</v>
      </c>
      <c r="P44" s="185">
        <f t="shared" si="84"/>
        <v>106.4632624</v>
      </c>
      <c r="Q44" s="186">
        <f t="shared" ref="Q44:T44" si="97">-Q23</f>
        <v>26.362049</v>
      </c>
      <c r="R44" s="186">
        <f t="shared" si="97"/>
        <v>26.362049</v>
      </c>
      <c r="S44" s="186">
        <f t="shared" si="97"/>
        <v>26.362049</v>
      </c>
      <c r="T44" s="186">
        <f t="shared" si="97"/>
        <v>26.362049</v>
      </c>
      <c r="U44" s="185">
        <f t="shared" si="86"/>
        <v>105.448196</v>
      </c>
      <c r="V44" s="186">
        <f t="shared" ref="V44:Y44" si="98">-V23</f>
        <v>26.33410369</v>
      </c>
      <c r="W44" s="186">
        <f t="shared" si="98"/>
        <v>26.27821306</v>
      </c>
      <c r="X44" s="186">
        <f t="shared" si="98"/>
        <v>26.22232244</v>
      </c>
      <c r="Y44" s="186">
        <f t="shared" si="98"/>
        <v>26.16643181</v>
      </c>
      <c r="Z44" s="185">
        <f t="shared" si="88"/>
        <v>105.001071</v>
      </c>
      <c r="AA44" s="186">
        <f t="shared" ref="AA44:AD44" si="99">-AA23</f>
        <v>26.11054119</v>
      </c>
      <c r="AB44" s="186">
        <f t="shared" si="99"/>
        <v>26.05465056</v>
      </c>
      <c r="AC44" s="186">
        <f t="shared" si="99"/>
        <v>25.99875994</v>
      </c>
      <c r="AD44" s="186">
        <f t="shared" si="99"/>
        <v>25.94286931</v>
      </c>
      <c r="AE44" s="185">
        <f t="shared" si="90"/>
        <v>104.106821</v>
      </c>
      <c r="AF44" s="186">
        <f t="shared" ref="AF44:AI44" si="100">-AF23</f>
        <v>25.914924</v>
      </c>
      <c r="AG44" s="186">
        <f t="shared" si="100"/>
        <v>25.914924</v>
      </c>
      <c r="AH44" s="186">
        <f t="shared" si="100"/>
        <v>25.914924</v>
      </c>
      <c r="AI44" s="186">
        <f t="shared" si="100"/>
        <v>25.914924</v>
      </c>
      <c r="AJ44" s="185">
        <f t="shared" si="92"/>
        <v>103.659696</v>
      </c>
      <c r="AK44" s="186">
        <f t="shared" ref="AK44:AN44" si="101">-AK23</f>
        <v>25.914924</v>
      </c>
      <c r="AL44" s="186">
        <f t="shared" si="101"/>
        <v>25.914924</v>
      </c>
      <c r="AM44" s="186">
        <f t="shared" si="101"/>
        <v>25.914924</v>
      </c>
      <c r="AN44" s="186">
        <f t="shared" si="101"/>
        <v>25.914924</v>
      </c>
      <c r="AO44" s="185">
        <f t="shared" si="94"/>
        <v>103.659696</v>
      </c>
      <c r="AP44" s="186"/>
      <c r="AQ44" s="186"/>
      <c r="AR44" s="188"/>
      <c r="AS44" s="188"/>
      <c r="AT44" s="188"/>
      <c r="AU44" s="186"/>
    </row>
    <row r="45" ht="10.5" customHeight="1">
      <c r="A45" s="217" t="s">
        <v>177</v>
      </c>
      <c r="B45" s="186">
        <f t="shared" ref="B45:J45" si="102">B28</f>
        <v>9.567</v>
      </c>
      <c r="C45" s="186">
        <f t="shared" si="102"/>
        <v>15.814</v>
      </c>
      <c r="D45" s="186">
        <f t="shared" si="102"/>
        <v>13.474</v>
      </c>
      <c r="E45" s="186">
        <f t="shared" si="102"/>
        <v>19.657</v>
      </c>
      <c r="F45" s="185">
        <f t="shared" si="102"/>
        <v>58.512</v>
      </c>
      <c r="G45" s="186">
        <f t="shared" si="102"/>
        <v>14.324</v>
      </c>
      <c r="H45" s="186">
        <f t="shared" si="102"/>
        <v>18.977</v>
      </c>
      <c r="I45" s="186">
        <f t="shared" si="102"/>
        <v>16.523</v>
      </c>
      <c r="J45" s="186">
        <f t="shared" si="102"/>
        <v>18.619</v>
      </c>
      <c r="K45" s="185">
        <f t="shared" si="82"/>
        <v>68.443</v>
      </c>
      <c r="L45" s="186">
        <f t="shared" ref="L45:O45" si="103">L28</f>
        <v>16.216</v>
      </c>
      <c r="M45" s="186">
        <f t="shared" si="103"/>
        <v>24.93</v>
      </c>
      <c r="N45" s="186">
        <f t="shared" si="103"/>
        <v>27.974</v>
      </c>
      <c r="O45" s="186">
        <f t="shared" si="103"/>
        <v>22.41797787</v>
      </c>
      <c r="P45" s="185">
        <f t="shared" si="84"/>
        <v>91.53797787</v>
      </c>
      <c r="Q45" s="186">
        <f t="shared" ref="Q45:T45" si="104">Q28</f>
        <v>22.0604819</v>
      </c>
      <c r="R45" s="186">
        <f t="shared" si="104"/>
        <v>31.49388912</v>
      </c>
      <c r="S45" s="186">
        <f t="shared" si="104"/>
        <v>29.74559376</v>
      </c>
      <c r="T45" s="186">
        <f t="shared" si="104"/>
        <v>30.1856058</v>
      </c>
      <c r="U45" s="185">
        <f t="shared" si="86"/>
        <v>113.4855706</v>
      </c>
      <c r="V45" s="186">
        <f t="shared" ref="V45:Y45" si="105">V28</f>
        <v>27.67994214</v>
      </c>
      <c r="W45" s="186">
        <f t="shared" si="105"/>
        <v>37.57766094</v>
      </c>
      <c r="X45" s="186">
        <f t="shared" si="105"/>
        <v>36.45460317</v>
      </c>
      <c r="Y45" s="186">
        <f t="shared" si="105"/>
        <v>36.25314991</v>
      </c>
      <c r="Z45" s="185">
        <f t="shared" si="88"/>
        <v>137.9653562</v>
      </c>
      <c r="AA45" s="186">
        <f t="shared" ref="AA45:AD45" si="106">AA28</f>
        <v>32.81127534</v>
      </c>
      <c r="AB45" s="186">
        <f t="shared" si="106"/>
        <v>43.15592844</v>
      </c>
      <c r="AC45" s="186">
        <f t="shared" si="106"/>
        <v>41.86670956</v>
      </c>
      <c r="AD45" s="186">
        <f t="shared" si="106"/>
        <v>41.39663531</v>
      </c>
      <c r="AE45" s="185">
        <f t="shared" si="90"/>
        <v>159.2305486</v>
      </c>
      <c r="AF45" s="186">
        <f t="shared" ref="AF45:AI45" si="107">AF28</f>
        <v>40.5319983</v>
      </c>
      <c r="AG45" s="186">
        <f t="shared" si="107"/>
        <v>48.78042305</v>
      </c>
      <c r="AH45" s="186">
        <f t="shared" si="107"/>
        <v>45.61833178</v>
      </c>
      <c r="AI45" s="186">
        <f t="shared" si="107"/>
        <v>45.39942986</v>
      </c>
      <c r="AJ45" s="185">
        <f t="shared" si="92"/>
        <v>180.330183</v>
      </c>
      <c r="AK45" s="186">
        <f t="shared" ref="AK45:AN45" si="108">AK28</f>
        <v>45.00970135</v>
      </c>
      <c r="AL45" s="186">
        <f t="shared" si="108"/>
        <v>53.40083136</v>
      </c>
      <c r="AM45" s="186">
        <f t="shared" si="108"/>
        <v>49.99931007</v>
      </c>
      <c r="AN45" s="186">
        <f t="shared" si="108"/>
        <v>49.55411676</v>
      </c>
      <c r="AO45" s="185">
        <f t="shared" si="94"/>
        <v>197.9639596</v>
      </c>
      <c r="AP45" s="186"/>
      <c r="AQ45" s="186"/>
      <c r="AR45" s="188"/>
      <c r="AS45" s="188"/>
      <c r="AT45" s="188"/>
      <c r="AU45" s="186"/>
    </row>
    <row r="46" ht="10.5" customHeight="1">
      <c r="A46" s="217"/>
      <c r="B46" s="186">
        <f>'Cash Flow Statement'!B10</f>
        <v>36.01</v>
      </c>
      <c r="C46" s="186">
        <f>'Cash Flow Statement'!C10</f>
        <v>36.767</v>
      </c>
      <c r="D46" s="186">
        <f>'Cash Flow Statement'!D10</f>
        <v>37.477</v>
      </c>
      <c r="E46" s="186">
        <f>'Cash Flow Statement'!E10</f>
        <v>39.159</v>
      </c>
      <c r="F46" s="185">
        <f>'Cash Flow Statement'!F10</f>
        <v>149.413</v>
      </c>
      <c r="G46" s="186">
        <f>'Cash Flow Statement'!G10</f>
        <v>39.38</v>
      </c>
      <c r="H46" s="186">
        <f>'Cash Flow Statement'!H10</f>
        <v>39.817</v>
      </c>
      <c r="I46" s="186">
        <f>'Cash Flow Statement'!I10</f>
        <v>41.033</v>
      </c>
      <c r="J46" s="186">
        <f>'Cash Flow Statement'!J10</f>
        <v>40.116</v>
      </c>
      <c r="K46" s="185">
        <f t="shared" si="82"/>
        <v>160.346</v>
      </c>
      <c r="L46" s="186">
        <f>'Cash Flow Statement'!L10</f>
        <v>38.281</v>
      </c>
      <c r="M46" s="186">
        <f>'Cash Flow Statement'!M10</f>
        <v>38.429</v>
      </c>
      <c r="N46" s="186">
        <f>'Cash Flow Statement'!N10</f>
        <v>39.108</v>
      </c>
      <c r="O46" s="186">
        <f>'Cash Flow Statement'!O10</f>
        <v>39.12378076</v>
      </c>
      <c r="P46" s="185">
        <f t="shared" si="84"/>
        <v>154.9417808</v>
      </c>
      <c r="Q46" s="186">
        <f>'Cash Flow Statement'!Q10</f>
        <v>35.63336737</v>
      </c>
      <c r="R46" s="186">
        <f>'Cash Flow Statement'!R10</f>
        <v>35.96667246</v>
      </c>
      <c r="S46" s="186">
        <f>'Cash Flow Statement'!S10</f>
        <v>36.94346388</v>
      </c>
      <c r="T46" s="186">
        <f>'Cash Flow Statement'!T10</f>
        <v>38.15552838</v>
      </c>
      <c r="U46" s="185">
        <f t="shared" si="86"/>
        <v>146.6990321</v>
      </c>
      <c r="V46" s="186">
        <f>'Cash Flow Statement'!V10</f>
        <v>37.79306701</v>
      </c>
      <c r="W46" s="186">
        <f>'Cash Flow Statement'!W10</f>
        <v>38.25035772</v>
      </c>
      <c r="X46" s="186">
        <f>'Cash Flow Statement'!X10</f>
        <v>35.95816238</v>
      </c>
      <c r="Y46" s="186">
        <f>'Cash Flow Statement'!Y10</f>
        <v>39.65088761</v>
      </c>
      <c r="Z46" s="185">
        <f t="shared" si="88"/>
        <v>151.6524747</v>
      </c>
      <c r="AA46" s="186">
        <f>'Cash Flow Statement'!AA10</f>
        <v>40.00620653</v>
      </c>
      <c r="AB46" s="186">
        <f>'Cash Flow Statement'!AB10</f>
        <v>40.54134711</v>
      </c>
      <c r="AC46" s="186">
        <f>'Cash Flow Statement'!AC10</f>
        <v>38.0984465</v>
      </c>
      <c r="AD46" s="186">
        <f>'Cash Flow Statement'!AD10</f>
        <v>42.10975019</v>
      </c>
      <c r="AE46" s="185">
        <f t="shared" si="90"/>
        <v>160.7557503</v>
      </c>
      <c r="AF46" s="186">
        <f>'Cash Flow Statement'!AF10</f>
        <v>41.78697249</v>
      </c>
      <c r="AG46" s="186">
        <f>'Cash Flow Statement'!AG10</f>
        <v>42.37860031</v>
      </c>
      <c r="AH46" s="186">
        <f>'Cash Flow Statement'!AH10</f>
        <v>39.73537066</v>
      </c>
      <c r="AI46" s="186">
        <f>'Cash Flow Statement'!AI10</f>
        <v>44.06015782</v>
      </c>
      <c r="AJ46" s="185">
        <f t="shared" si="92"/>
        <v>167.9611013</v>
      </c>
      <c r="AK46" s="186">
        <f>'Cash Flow Statement'!AK10</f>
        <v>46.00664113</v>
      </c>
      <c r="AL46" s="186">
        <f>'Cash Flow Statement'!AL10</f>
        <v>46.62803422</v>
      </c>
      <c r="AM46" s="186">
        <f>'Cash Flow Statement'!AM10</f>
        <v>43.74830002</v>
      </c>
      <c r="AN46" s="186">
        <f>'Cash Flow Statement'!AN10</f>
        <v>48.38527576</v>
      </c>
      <c r="AO46" s="185">
        <f t="shared" si="94"/>
        <v>184.7682511</v>
      </c>
      <c r="AP46" s="186"/>
      <c r="AQ46" s="186"/>
      <c r="AR46" s="188"/>
      <c r="AS46" s="188"/>
      <c r="AT46" s="188"/>
      <c r="AU46" s="186"/>
    </row>
    <row r="47" ht="10.5" customHeight="1">
      <c r="A47" s="193"/>
      <c r="B47" s="193">
        <f t="shared" ref="B47:AO47" si="109">SUM(B42:B46)</f>
        <v>71.21</v>
      </c>
      <c r="C47" s="193">
        <f t="shared" si="109"/>
        <v>96.07</v>
      </c>
      <c r="D47" s="193">
        <f t="shared" si="109"/>
        <v>92.156</v>
      </c>
      <c r="E47" s="193">
        <f t="shared" si="109"/>
        <v>94.348</v>
      </c>
      <c r="F47" s="194">
        <f t="shared" si="109"/>
        <v>423.796</v>
      </c>
      <c r="G47" s="193">
        <f t="shared" si="109"/>
        <v>104.649</v>
      </c>
      <c r="H47" s="193">
        <f t="shared" si="109"/>
        <v>127.023</v>
      </c>
      <c r="I47" s="193">
        <f t="shared" si="109"/>
        <v>120.944</v>
      </c>
      <c r="J47" s="193">
        <f t="shared" si="109"/>
        <v>127.338</v>
      </c>
      <c r="K47" s="194">
        <f t="shared" si="109"/>
        <v>479.954</v>
      </c>
      <c r="L47" s="193">
        <f t="shared" si="109"/>
        <v>116.961</v>
      </c>
      <c r="M47" s="193">
        <f t="shared" si="109"/>
        <v>142.145</v>
      </c>
      <c r="N47" s="193">
        <f t="shared" si="109"/>
        <v>146.671</v>
      </c>
      <c r="O47" s="193">
        <f t="shared" si="109"/>
        <v>143.425375</v>
      </c>
      <c r="P47" s="194">
        <f t="shared" si="109"/>
        <v>549.202375</v>
      </c>
      <c r="Q47" s="193">
        <f t="shared" si="109"/>
        <v>136.1026799</v>
      </c>
      <c r="R47" s="193">
        <f t="shared" si="109"/>
        <v>168.8534726</v>
      </c>
      <c r="S47" s="193">
        <f t="shared" si="109"/>
        <v>163.0838218</v>
      </c>
      <c r="T47" s="193">
        <f t="shared" si="109"/>
        <v>165.5441399</v>
      </c>
      <c r="U47" s="194">
        <f t="shared" si="109"/>
        <v>633.5841142</v>
      </c>
      <c r="V47" s="193">
        <f t="shared" si="109"/>
        <v>155.820987</v>
      </c>
      <c r="W47" s="193">
        <f t="shared" si="109"/>
        <v>190.135924</v>
      </c>
      <c r="X47" s="193">
        <f t="shared" si="109"/>
        <v>183.2168685</v>
      </c>
      <c r="Y47" s="193">
        <f t="shared" si="109"/>
        <v>185.6397964</v>
      </c>
      <c r="Z47" s="194">
        <f t="shared" si="109"/>
        <v>714.8135759</v>
      </c>
      <c r="AA47" s="193">
        <f t="shared" si="109"/>
        <v>173.16335</v>
      </c>
      <c r="AB47" s="193">
        <f t="shared" si="109"/>
        <v>208.9547901</v>
      </c>
      <c r="AC47" s="193">
        <f t="shared" si="109"/>
        <v>201.206233</v>
      </c>
      <c r="AD47" s="193">
        <f t="shared" si="109"/>
        <v>202.9029746</v>
      </c>
      <c r="AE47" s="194">
        <f t="shared" si="109"/>
        <v>786.2273478</v>
      </c>
      <c r="AF47" s="193">
        <f t="shared" si="109"/>
        <v>198.8742313</v>
      </c>
      <c r="AG47" s="193">
        <f t="shared" si="109"/>
        <v>227.0425108</v>
      </c>
      <c r="AH47" s="193">
        <f t="shared" si="109"/>
        <v>212.356771</v>
      </c>
      <c r="AI47" s="193">
        <f t="shared" si="109"/>
        <v>215.2274879</v>
      </c>
      <c r="AJ47" s="194">
        <f t="shared" si="109"/>
        <v>853.501001</v>
      </c>
      <c r="AK47" s="193">
        <f t="shared" si="109"/>
        <v>215.0892962</v>
      </c>
      <c r="AL47" s="193">
        <f t="shared" si="109"/>
        <v>243.6159155</v>
      </c>
      <c r="AM47" s="193">
        <f t="shared" si="109"/>
        <v>227.7517028</v>
      </c>
      <c r="AN47" s="193">
        <f t="shared" si="109"/>
        <v>230.0462195</v>
      </c>
      <c r="AO47" s="194">
        <f t="shared" si="109"/>
        <v>916.503134</v>
      </c>
      <c r="AP47" s="186"/>
      <c r="AQ47" s="186"/>
      <c r="AR47" s="188"/>
      <c r="AS47" s="188"/>
      <c r="AT47" s="188"/>
      <c r="AU47" s="186"/>
    </row>
    <row r="48" ht="10.5" customHeight="1">
      <c r="A48" s="193" t="s">
        <v>69</v>
      </c>
      <c r="B48" s="193">
        <f t="shared" ref="B48:E48" si="110">SUM(B49:B71)</f>
        <v>2.197</v>
      </c>
      <c r="C48" s="193">
        <f t="shared" si="110"/>
        <v>4.873</v>
      </c>
      <c r="D48" s="193">
        <f t="shared" si="110"/>
        <v>2.158</v>
      </c>
      <c r="E48" s="193">
        <f t="shared" si="110"/>
        <v>2.352</v>
      </c>
      <c r="F48" s="218">
        <v>11.58</v>
      </c>
      <c r="G48" s="193">
        <f t="shared" ref="G48:O48" si="111">SUM(G49:G71)</f>
        <v>1.662</v>
      </c>
      <c r="H48" s="193">
        <f t="shared" si="111"/>
        <v>0.48</v>
      </c>
      <c r="I48" s="193">
        <f t="shared" si="111"/>
        <v>2.127</v>
      </c>
      <c r="J48" s="193">
        <f t="shared" si="111"/>
        <v>3.487</v>
      </c>
      <c r="K48" s="194">
        <f t="shared" si="111"/>
        <v>7.756</v>
      </c>
      <c r="L48" s="193">
        <f t="shared" si="111"/>
        <v>0.044</v>
      </c>
      <c r="M48" s="193">
        <f t="shared" si="111"/>
        <v>5.464</v>
      </c>
      <c r="N48" s="193">
        <f t="shared" si="111"/>
        <v>-5.905</v>
      </c>
      <c r="O48" s="219">
        <f t="shared" si="111"/>
        <v>0</v>
      </c>
      <c r="P48" s="194">
        <f t="shared" ref="P48:P71" si="117">SUM(L48:O48)</f>
        <v>-0.397</v>
      </c>
      <c r="Q48" s="219">
        <f t="shared" ref="Q48:T48" si="112">SUM(Q49:Q71)</f>
        <v>0</v>
      </c>
      <c r="R48" s="219">
        <f t="shared" si="112"/>
        <v>0</v>
      </c>
      <c r="S48" s="219">
        <f t="shared" si="112"/>
        <v>0</v>
      </c>
      <c r="T48" s="219">
        <f t="shared" si="112"/>
        <v>0</v>
      </c>
      <c r="U48" s="194">
        <f t="shared" ref="U48:U71" si="118">SUM(Q48:T48)</f>
        <v>0</v>
      </c>
      <c r="V48" s="219">
        <f t="shared" ref="V48:Y48" si="113">SUM(V49:V71)</f>
        <v>0</v>
      </c>
      <c r="W48" s="219">
        <f t="shared" si="113"/>
        <v>0</v>
      </c>
      <c r="X48" s="219">
        <f t="shared" si="113"/>
        <v>0</v>
      </c>
      <c r="Y48" s="219">
        <f t="shared" si="113"/>
        <v>0</v>
      </c>
      <c r="Z48" s="194">
        <f t="shared" ref="Z48:Z71" si="119">SUM(V48:Y48)</f>
        <v>0</v>
      </c>
      <c r="AA48" s="219">
        <f t="shared" ref="AA48:AD48" si="114">SUM(AA49:AA71)</f>
        <v>0</v>
      </c>
      <c r="AB48" s="219">
        <f t="shared" si="114"/>
        <v>0</v>
      </c>
      <c r="AC48" s="219">
        <f t="shared" si="114"/>
        <v>0</v>
      </c>
      <c r="AD48" s="219">
        <f t="shared" si="114"/>
        <v>0</v>
      </c>
      <c r="AE48" s="194">
        <f t="shared" ref="AE48:AE71" si="120">SUM(AA48:AD48)</f>
        <v>0</v>
      </c>
      <c r="AF48" s="219">
        <f t="shared" ref="AF48:AI48" si="115">SUM(AF49:AF71)</f>
        <v>0</v>
      </c>
      <c r="AG48" s="219">
        <f t="shared" si="115"/>
        <v>0</v>
      </c>
      <c r="AH48" s="219">
        <f t="shared" si="115"/>
        <v>0</v>
      </c>
      <c r="AI48" s="219">
        <f t="shared" si="115"/>
        <v>0</v>
      </c>
      <c r="AJ48" s="194">
        <f t="shared" ref="AJ48:AJ71" si="121">SUM(AF48:AI48)</f>
        <v>0</v>
      </c>
      <c r="AK48" s="219">
        <f t="shared" ref="AK48:AN48" si="116">SUM(AK49:AK71)</f>
        <v>0</v>
      </c>
      <c r="AL48" s="219">
        <f t="shared" si="116"/>
        <v>0</v>
      </c>
      <c r="AM48" s="219">
        <f t="shared" si="116"/>
        <v>0</v>
      </c>
      <c r="AN48" s="219">
        <f t="shared" si="116"/>
        <v>0</v>
      </c>
      <c r="AO48" s="194">
        <f t="shared" ref="AO48:AO71" si="122">SUM(AK48:AN48)</f>
        <v>0</v>
      </c>
      <c r="AP48" s="193"/>
      <c r="AQ48" s="193"/>
      <c r="AR48" s="188"/>
      <c r="AS48" s="188"/>
      <c r="AT48" s="188"/>
      <c r="AU48" s="193"/>
    </row>
    <row r="49" ht="10.5" customHeight="1" outlineLevel="1">
      <c r="A49" s="186" t="s">
        <v>188</v>
      </c>
      <c r="B49" s="184">
        <v>0.086</v>
      </c>
      <c r="C49" s="184">
        <v>0.247</v>
      </c>
      <c r="D49" s="184">
        <v>0.045</v>
      </c>
      <c r="E49" s="184">
        <v>0.137</v>
      </c>
      <c r="F49" s="185">
        <f t="shared" ref="F49:F71" si="123">SUM(B49:E49)</f>
        <v>0.515</v>
      </c>
      <c r="G49" s="184">
        <v>0.02</v>
      </c>
      <c r="H49" s="184">
        <v>0.042</v>
      </c>
      <c r="I49" s="184">
        <v>0.029</v>
      </c>
      <c r="J49" s="184">
        <v>0.0</v>
      </c>
      <c r="K49" s="185">
        <f t="shared" ref="K49:K71" si="124">SUM(G49:J49)</f>
        <v>0.091</v>
      </c>
      <c r="L49" s="184">
        <v>0.0</v>
      </c>
      <c r="M49" s="184">
        <v>0.0</v>
      </c>
      <c r="N49" s="184">
        <v>0.0</v>
      </c>
      <c r="O49" s="184">
        <v>0.0</v>
      </c>
      <c r="P49" s="185">
        <f t="shared" si="117"/>
        <v>0</v>
      </c>
      <c r="Q49" s="184">
        <v>0.0</v>
      </c>
      <c r="R49" s="184">
        <v>0.0</v>
      </c>
      <c r="S49" s="184">
        <v>0.0</v>
      </c>
      <c r="T49" s="184">
        <v>0.0</v>
      </c>
      <c r="U49" s="185">
        <f t="shared" si="118"/>
        <v>0</v>
      </c>
      <c r="V49" s="184">
        <v>0.0</v>
      </c>
      <c r="W49" s="184">
        <v>0.0</v>
      </c>
      <c r="X49" s="184">
        <v>0.0</v>
      </c>
      <c r="Y49" s="184">
        <v>0.0</v>
      </c>
      <c r="Z49" s="185">
        <f t="shared" si="119"/>
        <v>0</v>
      </c>
      <c r="AA49" s="184">
        <v>0.0</v>
      </c>
      <c r="AB49" s="184">
        <v>0.0</v>
      </c>
      <c r="AC49" s="184">
        <v>0.0</v>
      </c>
      <c r="AD49" s="184">
        <v>0.0</v>
      </c>
      <c r="AE49" s="185">
        <f t="shared" si="120"/>
        <v>0</v>
      </c>
      <c r="AF49" s="184">
        <v>0.0</v>
      </c>
      <c r="AG49" s="184">
        <v>0.0</v>
      </c>
      <c r="AH49" s="184">
        <v>0.0</v>
      </c>
      <c r="AI49" s="184">
        <v>0.0</v>
      </c>
      <c r="AJ49" s="185">
        <f t="shared" si="121"/>
        <v>0</v>
      </c>
      <c r="AK49" s="184">
        <v>0.0</v>
      </c>
      <c r="AL49" s="184">
        <v>0.0</v>
      </c>
      <c r="AM49" s="184">
        <v>0.0</v>
      </c>
      <c r="AN49" s="184">
        <v>0.0</v>
      </c>
      <c r="AO49" s="185">
        <f t="shared" si="122"/>
        <v>0</v>
      </c>
      <c r="AP49" s="186"/>
      <c r="AQ49" s="186"/>
      <c r="AR49" s="188"/>
      <c r="AS49" s="188"/>
      <c r="AT49" s="188"/>
      <c r="AU49" s="186"/>
    </row>
    <row r="50" ht="10.5" customHeight="1" outlineLevel="1">
      <c r="A50" s="186" t="s">
        <v>189</v>
      </c>
      <c r="B50" s="184">
        <v>0.104</v>
      </c>
      <c r="C50" s="184">
        <v>0.184</v>
      </c>
      <c r="D50" s="184">
        <v>0.173</v>
      </c>
      <c r="E50" s="184">
        <v>0.177</v>
      </c>
      <c r="F50" s="185">
        <f t="shared" si="123"/>
        <v>0.638</v>
      </c>
      <c r="G50" s="184">
        <v>0.171</v>
      </c>
      <c r="H50" s="184">
        <v>0.171</v>
      </c>
      <c r="I50" s="184">
        <v>0.17</v>
      </c>
      <c r="J50" s="184">
        <v>0.0</v>
      </c>
      <c r="K50" s="185">
        <f t="shared" si="124"/>
        <v>0.512</v>
      </c>
      <c r="L50" s="184">
        <v>0.0</v>
      </c>
      <c r="M50" s="184">
        <v>0.0</v>
      </c>
      <c r="N50" s="184">
        <v>0.0</v>
      </c>
      <c r="O50" s="184">
        <v>0.0</v>
      </c>
      <c r="P50" s="185">
        <f t="shared" si="117"/>
        <v>0</v>
      </c>
      <c r="Q50" s="184">
        <v>0.0</v>
      </c>
      <c r="R50" s="184">
        <v>0.0</v>
      </c>
      <c r="S50" s="184">
        <v>0.0</v>
      </c>
      <c r="T50" s="184">
        <v>0.0</v>
      </c>
      <c r="U50" s="185">
        <f t="shared" si="118"/>
        <v>0</v>
      </c>
      <c r="V50" s="184">
        <v>0.0</v>
      </c>
      <c r="W50" s="184">
        <v>0.0</v>
      </c>
      <c r="X50" s="184">
        <v>0.0</v>
      </c>
      <c r="Y50" s="184">
        <v>0.0</v>
      </c>
      <c r="Z50" s="185">
        <f t="shared" si="119"/>
        <v>0</v>
      </c>
      <c r="AA50" s="184">
        <v>0.0</v>
      </c>
      <c r="AB50" s="184">
        <v>0.0</v>
      </c>
      <c r="AC50" s="184">
        <v>0.0</v>
      </c>
      <c r="AD50" s="184">
        <v>0.0</v>
      </c>
      <c r="AE50" s="185">
        <f t="shared" si="120"/>
        <v>0</v>
      </c>
      <c r="AF50" s="184">
        <v>0.0</v>
      </c>
      <c r="AG50" s="184">
        <v>0.0</v>
      </c>
      <c r="AH50" s="184">
        <v>0.0</v>
      </c>
      <c r="AI50" s="184">
        <v>0.0</v>
      </c>
      <c r="AJ50" s="185">
        <f t="shared" si="121"/>
        <v>0</v>
      </c>
      <c r="AK50" s="184">
        <v>0.0</v>
      </c>
      <c r="AL50" s="184">
        <v>0.0</v>
      </c>
      <c r="AM50" s="184">
        <v>0.0</v>
      </c>
      <c r="AN50" s="184">
        <v>0.0</v>
      </c>
      <c r="AO50" s="185">
        <f t="shared" si="122"/>
        <v>0</v>
      </c>
      <c r="AP50" s="186"/>
      <c r="AQ50" s="186"/>
      <c r="AR50" s="188"/>
      <c r="AS50" s="188"/>
      <c r="AT50" s="188"/>
      <c r="AU50" s="186"/>
    </row>
    <row r="51" ht="10.5" customHeight="1" outlineLevel="1">
      <c r="A51" s="186" t="s">
        <v>190</v>
      </c>
      <c r="B51" s="184">
        <v>0.0</v>
      </c>
      <c r="C51" s="184">
        <v>0.0</v>
      </c>
      <c r="D51" s="184">
        <v>0.0</v>
      </c>
      <c r="E51" s="184">
        <v>0.0</v>
      </c>
      <c r="F51" s="185">
        <f t="shared" si="123"/>
        <v>0</v>
      </c>
      <c r="G51" s="184">
        <v>0.0</v>
      </c>
      <c r="H51" s="184">
        <v>0.0</v>
      </c>
      <c r="I51" s="184">
        <v>0.0</v>
      </c>
      <c r="J51" s="184">
        <v>0.0</v>
      </c>
      <c r="K51" s="185">
        <f t="shared" si="124"/>
        <v>0</v>
      </c>
      <c r="L51" s="184">
        <v>0.0</v>
      </c>
      <c r="M51" s="184">
        <v>0.0</v>
      </c>
      <c r="N51" s="184">
        <v>0.0</v>
      </c>
      <c r="O51" s="184">
        <v>0.0</v>
      </c>
      <c r="P51" s="185">
        <f t="shared" si="117"/>
        <v>0</v>
      </c>
      <c r="Q51" s="184">
        <v>0.0</v>
      </c>
      <c r="R51" s="184">
        <v>0.0</v>
      </c>
      <c r="S51" s="184">
        <v>0.0</v>
      </c>
      <c r="T51" s="184">
        <v>0.0</v>
      </c>
      <c r="U51" s="185">
        <f t="shared" si="118"/>
        <v>0</v>
      </c>
      <c r="V51" s="184">
        <v>0.0</v>
      </c>
      <c r="W51" s="184">
        <v>0.0</v>
      </c>
      <c r="X51" s="184">
        <v>0.0</v>
      </c>
      <c r="Y51" s="184">
        <v>0.0</v>
      </c>
      <c r="Z51" s="185">
        <f t="shared" si="119"/>
        <v>0</v>
      </c>
      <c r="AA51" s="184">
        <v>0.0</v>
      </c>
      <c r="AB51" s="184">
        <v>0.0</v>
      </c>
      <c r="AC51" s="184">
        <v>0.0</v>
      </c>
      <c r="AD51" s="184">
        <v>0.0</v>
      </c>
      <c r="AE51" s="185">
        <f t="shared" si="120"/>
        <v>0</v>
      </c>
      <c r="AF51" s="184">
        <v>0.0</v>
      </c>
      <c r="AG51" s="184">
        <v>0.0</v>
      </c>
      <c r="AH51" s="184">
        <v>0.0</v>
      </c>
      <c r="AI51" s="184">
        <v>0.0</v>
      </c>
      <c r="AJ51" s="185">
        <f t="shared" si="121"/>
        <v>0</v>
      </c>
      <c r="AK51" s="184">
        <v>0.0</v>
      </c>
      <c r="AL51" s="184">
        <v>0.0</v>
      </c>
      <c r="AM51" s="184">
        <v>0.0</v>
      </c>
      <c r="AN51" s="184">
        <v>0.0</v>
      </c>
      <c r="AO51" s="185">
        <f t="shared" si="122"/>
        <v>0</v>
      </c>
      <c r="AP51" s="186"/>
      <c r="AQ51" s="186"/>
      <c r="AR51" s="188"/>
      <c r="AS51" s="188"/>
      <c r="AT51" s="188"/>
      <c r="AU51" s="186"/>
    </row>
    <row r="52" ht="10.5" customHeight="1" outlineLevel="1">
      <c r="A52" s="186" t="s">
        <v>191</v>
      </c>
      <c r="B52" s="184">
        <v>0.0</v>
      </c>
      <c r="C52" s="184">
        <v>0.0</v>
      </c>
      <c r="D52" s="184">
        <v>0.0</v>
      </c>
      <c r="E52" s="184">
        <v>0.0</v>
      </c>
      <c r="F52" s="185">
        <f t="shared" si="123"/>
        <v>0</v>
      </c>
      <c r="G52" s="184">
        <v>0.0</v>
      </c>
      <c r="H52" s="184">
        <v>0.0</v>
      </c>
      <c r="I52" s="184">
        <v>0.0</v>
      </c>
      <c r="J52" s="184">
        <v>0.0</v>
      </c>
      <c r="K52" s="185">
        <f t="shared" si="124"/>
        <v>0</v>
      </c>
      <c r="L52" s="184">
        <v>0.0</v>
      </c>
      <c r="M52" s="184">
        <v>0.0</v>
      </c>
      <c r="N52" s="184">
        <v>0.0</v>
      </c>
      <c r="O52" s="184">
        <v>0.0</v>
      </c>
      <c r="P52" s="185">
        <f t="shared" si="117"/>
        <v>0</v>
      </c>
      <c r="Q52" s="184">
        <v>0.0</v>
      </c>
      <c r="R52" s="184">
        <v>0.0</v>
      </c>
      <c r="S52" s="184">
        <v>0.0</v>
      </c>
      <c r="T52" s="184">
        <v>0.0</v>
      </c>
      <c r="U52" s="185">
        <f t="shared" si="118"/>
        <v>0</v>
      </c>
      <c r="V52" s="184">
        <v>0.0</v>
      </c>
      <c r="W52" s="184">
        <v>0.0</v>
      </c>
      <c r="X52" s="184">
        <v>0.0</v>
      </c>
      <c r="Y52" s="184">
        <v>0.0</v>
      </c>
      <c r="Z52" s="185">
        <f t="shared" si="119"/>
        <v>0</v>
      </c>
      <c r="AA52" s="184">
        <v>0.0</v>
      </c>
      <c r="AB52" s="184">
        <v>0.0</v>
      </c>
      <c r="AC52" s="184">
        <v>0.0</v>
      </c>
      <c r="AD52" s="184">
        <v>0.0</v>
      </c>
      <c r="AE52" s="185">
        <f t="shared" si="120"/>
        <v>0</v>
      </c>
      <c r="AF52" s="184">
        <v>0.0</v>
      </c>
      <c r="AG52" s="184">
        <v>0.0</v>
      </c>
      <c r="AH52" s="184">
        <v>0.0</v>
      </c>
      <c r="AI52" s="184">
        <v>0.0</v>
      </c>
      <c r="AJ52" s="185">
        <f t="shared" si="121"/>
        <v>0</v>
      </c>
      <c r="AK52" s="184">
        <v>0.0</v>
      </c>
      <c r="AL52" s="184">
        <v>0.0</v>
      </c>
      <c r="AM52" s="184">
        <v>0.0</v>
      </c>
      <c r="AN52" s="184">
        <v>0.0</v>
      </c>
      <c r="AO52" s="185">
        <f t="shared" si="122"/>
        <v>0</v>
      </c>
      <c r="AP52" s="186"/>
      <c r="AQ52" s="186"/>
      <c r="AR52" s="188"/>
      <c r="AS52" s="188"/>
      <c r="AT52" s="188"/>
      <c r="AU52" s="186"/>
    </row>
    <row r="53" ht="10.5" customHeight="1" outlineLevel="1">
      <c r="A53" s="186" t="s">
        <v>192</v>
      </c>
      <c r="B53" s="184">
        <v>0.0</v>
      </c>
      <c r="C53" s="184">
        <v>0.0</v>
      </c>
      <c r="D53" s="184">
        <v>0.0</v>
      </c>
      <c r="E53" s="184">
        <v>0.0</v>
      </c>
      <c r="F53" s="185">
        <f t="shared" si="123"/>
        <v>0</v>
      </c>
      <c r="G53" s="184">
        <v>0.0</v>
      </c>
      <c r="H53" s="184">
        <v>0.0</v>
      </c>
      <c r="I53" s="184">
        <v>0.0</v>
      </c>
      <c r="J53" s="184">
        <v>0.0</v>
      </c>
      <c r="K53" s="185">
        <f t="shared" si="124"/>
        <v>0</v>
      </c>
      <c r="L53" s="184">
        <v>0.0</v>
      </c>
      <c r="M53" s="184">
        <v>0.0</v>
      </c>
      <c r="N53" s="184">
        <v>0.0</v>
      </c>
      <c r="O53" s="184">
        <v>0.0</v>
      </c>
      <c r="P53" s="185">
        <f t="shared" si="117"/>
        <v>0</v>
      </c>
      <c r="Q53" s="184">
        <v>0.0</v>
      </c>
      <c r="R53" s="184">
        <v>0.0</v>
      </c>
      <c r="S53" s="184">
        <v>0.0</v>
      </c>
      <c r="T53" s="184">
        <v>0.0</v>
      </c>
      <c r="U53" s="185">
        <f t="shared" si="118"/>
        <v>0</v>
      </c>
      <c r="V53" s="184">
        <v>0.0</v>
      </c>
      <c r="W53" s="184">
        <v>0.0</v>
      </c>
      <c r="X53" s="184">
        <v>0.0</v>
      </c>
      <c r="Y53" s="184">
        <v>0.0</v>
      </c>
      <c r="Z53" s="185">
        <f t="shared" si="119"/>
        <v>0</v>
      </c>
      <c r="AA53" s="184">
        <v>0.0</v>
      </c>
      <c r="AB53" s="184">
        <v>0.0</v>
      </c>
      <c r="AC53" s="184">
        <v>0.0</v>
      </c>
      <c r="AD53" s="184">
        <v>0.0</v>
      </c>
      <c r="AE53" s="185">
        <f t="shared" si="120"/>
        <v>0</v>
      </c>
      <c r="AF53" s="184">
        <v>0.0</v>
      </c>
      <c r="AG53" s="184">
        <v>0.0</v>
      </c>
      <c r="AH53" s="184">
        <v>0.0</v>
      </c>
      <c r="AI53" s="184">
        <v>0.0</v>
      </c>
      <c r="AJ53" s="185">
        <f t="shared" si="121"/>
        <v>0</v>
      </c>
      <c r="AK53" s="184">
        <v>0.0</v>
      </c>
      <c r="AL53" s="184">
        <v>0.0</v>
      </c>
      <c r="AM53" s="184">
        <v>0.0</v>
      </c>
      <c r="AN53" s="184">
        <v>0.0</v>
      </c>
      <c r="AO53" s="185">
        <f t="shared" si="122"/>
        <v>0</v>
      </c>
      <c r="AP53" s="186"/>
      <c r="AQ53" s="186"/>
      <c r="AR53" s="188"/>
      <c r="AS53" s="188"/>
      <c r="AT53" s="188"/>
      <c r="AU53" s="186"/>
    </row>
    <row r="54" ht="10.5" customHeight="1" outlineLevel="1">
      <c r="A54" s="186" t="s">
        <v>193</v>
      </c>
      <c r="B54" s="184">
        <v>0.0</v>
      </c>
      <c r="C54" s="184">
        <v>0.11</v>
      </c>
      <c r="D54" s="184">
        <v>0.0</v>
      </c>
      <c r="E54" s="184">
        <v>0.0</v>
      </c>
      <c r="F54" s="185">
        <f t="shared" si="123"/>
        <v>0.11</v>
      </c>
      <c r="G54" s="184">
        <v>0.0</v>
      </c>
      <c r="H54" s="184">
        <v>0.0</v>
      </c>
      <c r="I54" s="184">
        <v>0.0</v>
      </c>
      <c r="J54" s="184">
        <v>0.0</v>
      </c>
      <c r="K54" s="185">
        <f t="shared" si="124"/>
        <v>0</v>
      </c>
      <c r="L54" s="184">
        <v>0.0</v>
      </c>
      <c r="M54" s="184">
        <v>0.0</v>
      </c>
      <c r="N54" s="184">
        <v>0.0</v>
      </c>
      <c r="O54" s="184">
        <v>0.0</v>
      </c>
      <c r="P54" s="185">
        <f t="shared" si="117"/>
        <v>0</v>
      </c>
      <c r="Q54" s="184">
        <v>0.0</v>
      </c>
      <c r="R54" s="184">
        <v>0.0</v>
      </c>
      <c r="S54" s="184">
        <v>0.0</v>
      </c>
      <c r="T54" s="184">
        <v>0.0</v>
      </c>
      <c r="U54" s="185">
        <f t="shared" si="118"/>
        <v>0</v>
      </c>
      <c r="V54" s="184">
        <v>0.0</v>
      </c>
      <c r="W54" s="184">
        <v>0.0</v>
      </c>
      <c r="X54" s="184">
        <v>0.0</v>
      </c>
      <c r="Y54" s="184">
        <v>0.0</v>
      </c>
      <c r="Z54" s="185">
        <f t="shared" si="119"/>
        <v>0</v>
      </c>
      <c r="AA54" s="184">
        <v>0.0</v>
      </c>
      <c r="AB54" s="184">
        <v>0.0</v>
      </c>
      <c r="AC54" s="184">
        <v>0.0</v>
      </c>
      <c r="AD54" s="184">
        <v>0.0</v>
      </c>
      <c r="AE54" s="185">
        <f t="shared" si="120"/>
        <v>0</v>
      </c>
      <c r="AF54" s="184">
        <v>0.0</v>
      </c>
      <c r="AG54" s="184">
        <v>0.0</v>
      </c>
      <c r="AH54" s="184">
        <v>0.0</v>
      </c>
      <c r="AI54" s="184">
        <v>0.0</v>
      </c>
      <c r="AJ54" s="185">
        <f t="shared" si="121"/>
        <v>0</v>
      </c>
      <c r="AK54" s="184">
        <v>0.0</v>
      </c>
      <c r="AL54" s="184">
        <v>0.0</v>
      </c>
      <c r="AM54" s="184">
        <v>0.0</v>
      </c>
      <c r="AN54" s="184">
        <v>0.0</v>
      </c>
      <c r="AO54" s="185">
        <f t="shared" si="122"/>
        <v>0</v>
      </c>
      <c r="AP54" s="186"/>
      <c r="AQ54" s="186"/>
      <c r="AR54" s="188"/>
      <c r="AS54" s="188"/>
      <c r="AT54" s="188"/>
      <c r="AU54" s="186"/>
    </row>
    <row r="55" ht="10.5" customHeight="1" outlineLevel="1">
      <c r="A55" s="186" t="s">
        <v>194</v>
      </c>
      <c r="B55" s="184">
        <v>0.0</v>
      </c>
      <c r="C55" s="184">
        <v>0.0</v>
      </c>
      <c r="D55" s="184">
        <v>0.0</v>
      </c>
      <c r="E55" s="184">
        <v>0.0</v>
      </c>
      <c r="F55" s="185">
        <f t="shared" si="123"/>
        <v>0</v>
      </c>
      <c r="G55" s="184">
        <v>0.0</v>
      </c>
      <c r="H55" s="184">
        <v>0.0</v>
      </c>
      <c r="I55" s="184">
        <v>0.0</v>
      </c>
      <c r="J55" s="184">
        <v>0.0</v>
      </c>
      <c r="K55" s="185">
        <f t="shared" si="124"/>
        <v>0</v>
      </c>
      <c r="L55" s="184">
        <v>0.0</v>
      </c>
      <c r="M55" s="184">
        <v>0.0</v>
      </c>
      <c r="N55" s="184">
        <v>0.0</v>
      </c>
      <c r="O55" s="184">
        <v>0.0</v>
      </c>
      <c r="P55" s="185">
        <f t="shared" si="117"/>
        <v>0</v>
      </c>
      <c r="Q55" s="184">
        <v>0.0</v>
      </c>
      <c r="R55" s="184">
        <v>0.0</v>
      </c>
      <c r="S55" s="184">
        <v>0.0</v>
      </c>
      <c r="T55" s="184">
        <v>0.0</v>
      </c>
      <c r="U55" s="185">
        <f t="shared" si="118"/>
        <v>0</v>
      </c>
      <c r="V55" s="184">
        <v>0.0</v>
      </c>
      <c r="W55" s="184">
        <v>0.0</v>
      </c>
      <c r="X55" s="184">
        <v>0.0</v>
      </c>
      <c r="Y55" s="184">
        <v>0.0</v>
      </c>
      <c r="Z55" s="185">
        <f t="shared" si="119"/>
        <v>0</v>
      </c>
      <c r="AA55" s="184">
        <v>0.0</v>
      </c>
      <c r="AB55" s="184">
        <v>0.0</v>
      </c>
      <c r="AC55" s="184">
        <v>0.0</v>
      </c>
      <c r="AD55" s="184">
        <v>0.0</v>
      </c>
      <c r="AE55" s="185">
        <f t="shared" si="120"/>
        <v>0</v>
      </c>
      <c r="AF55" s="184">
        <v>0.0</v>
      </c>
      <c r="AG55" s="184">
        <v>0.0</v>
      </c>
      <c r="AH55" s="184">
        <v>0.0</v>
      </c>
      <c r="AI55" s="184">
        <v>0.0</v>
      </c>
      <c r="AJ55" s="185">
        <f t="shared" si="121"/>
        <v>0</v>
      </c>
      <c r="AK55" s="184">
        <v>0.0</v>
      </c>
      <c r="AL55" s="184">
        <v>0.0</v>
      </c>
      <c r="AM55" s="184">
        <v>0.0</v>
      </c>
      <c r="AN55" s="184">
        <v>0.0</v>
      </c>
      <c r="AO55" s="185">
        <f t="shared" si="122"/>
        <v>0</v>
      </c>
      <c r="AP55" s="186"/>
      <c r="AQ55" s="186"/>
      <c r="AR55" s="188"/>
      <c r="AS55" s="188"/>
      <c r="AT55" s="188"/>
      <c r="AU55" s="186"/>
    </row>
    <row r="56" ht="10.5" customHeight="1" outlineLevel="1">
      <c r="A56" s="186" t="s">
        <v>195</v>
      </c>
      <c r="B56" s="184">
        <v>0.394</v>
      </c>
      <c r="C56" s="184">
        <v>0.0</v>
      </c>
      <c r="D56" s="184">
        <v>0.0</v>
      </c>
      <c r="E56" s="184">
        <v>0.0</v>
      </c>
      <c r="F56" s="185">
        <f t="shared" si="123"/>
        <v>0.394</v>
      </c>
      <c r="G56" s="184">
        <v>0.0</v>
      </c>
      <c r="H56" s="184">
        <v>0.0</v>
      </c>
      <c r="I56" s="184">
        <v>0.0</v>
      </c>
      <c r="J56" s="184">
        <v>0.0</v>
      </c>
      <c r="K56" s="185">
        <f t="shared" si="124"/>
        <v>0</v>
      </c>
      <c r="L56" s="184">
        <v>0.0</v>
      </c>
      <c r="M56" s="184">
        <v>0.0</v>
      </c>
      <c r="N56" s="184">
        <v>0.0</v>
      </c>
      <c r="O56" s="184">
        <v>0.0</v>
      </c>
      <c r="P56" s="185">
        <f t="shared" si="117"/>
        <v>0</v>
      </c>
      <c r="Q56" s="184">
        <v>0.0</v>
      </c>
      <c r="R56" s="184">
        <v>0.0</v>
      </c>
      <c r="S56" s="184">
        <v>0.0</v>
      </c>
      <c r="T56" s="184">
        <v>0.0</v>
      </c>
      <c r="U56" s="185">
        <f t="shared" si="118"/>
        <v>0</v>
      </c>
      <c r="V56" s="184">
        <v>0.0</v>
      </c>
      <c r="W56" s="184">
        <v>0.0</v>
      </c>
      <c r="X56" s="184">
        <v>0.0</v>
      </c>
      <c r="Y56" s="184">
        <v>0.0</v>
      </c>
      <c r="Z56" s="185">
        <f t="shared" si="119"/>
        <v>0</v>
      </c>
      <c r="AA56" s="184">
        <v>0.0</v>
      </c>
      <c r="AB56" s="184">
        <v>0.0</v>
      </c>
      <c r="AC56" s="184">
        <v>0.0</v>
      </c>
      <c r="AD56" s="184">
        <v>0.0</v>
      </c>
      <c r="AE56" s="185">
        <f t="shared" si="120"/>
        <v>0</v>
      </c>
      <c r="AF56" s="184">
        <v>0.0</v>
      </c>
      <c r="AG56" s="184">
        <v>0.0</v>
      </c>
      <c r="AH56" s="184">
        <v>0.0</v>
      </c>
      <c r="AI56" s="184">
        <v>0.0</v>
      </c>
      <c r="AJ56" s="185">
        <f t="shared" si="121"/>
        <v>0</v>
      </c>
      <c r="AK56" s="184">
        <v>0.0</v>
      </c>
      <c r="AL56" s="184">
        <v>0.0</v>
      </c>
      <c r="AM56" s="184">
        <v>0.0</v>
      </c>
      <c r="AN56" s="184">
        <v>0.0</v>
      </c>
      <c r="AO56" s="185">
        <f t="shared" si="122"/>
        <v>0</v>
      </c>
      <c r="AP56" s="186"/>
      <c r="AQ56" s="186"/>
      <c r="AR56" s="188"/>
      <c r="AS56" s="188"/>
      <c r="AT56" s="188"/>
      <c r="AU56" s="186"/>
    </row>
    <row r="57" ht="10.5" customHeight="1" outlineLevel="1">
      <c r="A57" s="186" t="s">
        <v>196</v>
      </c>
      <c r="B57" s="184">
        <v>0.0</v>
      </c>
      <c r="C57" s="184">
        <v>0.0</v>
      </c>
      <c r="D57" s="184">
        <v>0.0</v>
      </c>
      <c r="E57" s="184">
        <v>0.0</v>
      </c>
      <c r="F57" s="185">
        <f t="shared" si="123"/>
        <v>0</v>
      </c>
      <c r="G57" s="184">
        <v>0.0</v>
      </c>
      <c r="H57" s="184">
        <v>0.0</v>
      </c>
      <c r="I57" s="184">
        <v>0.0</v>
      </c>
      <c r="J57" s="184">
        <v>0.0</v>
      </c>
      <c r="K57" s="185">
        <f t="shared" si="124"/>
        <v>0</v>
      </c>
      <c r="L57" s="184">
        <v>0.0</v>
      </c>
      <c r="M57" s="184">
        <v>0.0</v>
      </c>
      <c r="N57" s="184">
        <v>0.0</v>
      </c>
      <c r="O57" s="184">
        <v>0.0</v>
      </c>
      <c r="P57" s="185">
        <f t="shared" si="117"/>
        <v>0</v>
      </c>
      <c r="Q57" s="184">
        <v>0.0</v>
      </c>
      <c r="R57" s="184">
        <v>0.0</v>
      </c>
      <c r="S57" s="184">
        <v>0.0</v>
      </c>
      <c r="T57" s="184">
        <v>0.0</v>
      </c>
      <c r="U57" s="185">
        <f t="shared" si="118"/>
        <v>0</v>
      </c>
      <c r="V57" s="184">
        <v>0.0</v>
      </c>
      <c r="W57" s="184">
        <v>0.0</v>
      </c>
      <c r="X57" s="184">
        <v>0.0</v>
      </c>
      <c r="Y57" s="184">
        <v>0.0</v>
      </c>
      <c r="Z57" s="185">
        <f t="shared" si="119"/>
        <v>0</v>
      </c>
      <c r="AA57" s="184">
        <v>0.0</v>
      </c>
      <c r="AB57" s="184">
        <v>0.0</v>
      </c>
      <c r="AC57" s="184">
        <v>0.0</v>
      </c>
      <c r="AD57" s="184">
        <v>0.0</v>
      </c>
      <c r="AE57" s="185">
        <f t="shared" si="120"/>
        <v>0</v>
      </c>
      <c r="AF57" s="184">
        <v>0.0</v>
      </c>
      <c r="AG57" s="184">
        <v>0.0</v>
      </c>
      <c r="AH57" s="184">
        <v>0.0</v>
      </c>
      <c r="AI57" s="184">
        <v>0.0</v>
      </c>
      <c r="AJ57" s="185">
        <f t="shared" si="121"/>
        <v>0</v>
      </c>
      <c r="AK57" s="184">
        <v>0.0</v>
      </c>
      <c r="AL57" s="184">
        <v>0.0</v>
      </c>
      <c r="AM57" s="184">
        <v>0.0</v>
      </c>
      <c r="AN57" s="184">
        <v>0.0</v>
      </c>
      <c r="AO57" s="185">
        <f t="shared" si="122"/>
        <v>0</v>
      </c>
      <c r="AP57" s="186"/>
      <c r="AQ57" s="186"/>
      <c r="AR57" s="188"/>
      <c r="AS57" s="188"/>
      <c r="AT57" s="188"/>
      <c r="AU57" s="186"/>
    </row>
    <row r="58" ht="10.5" customHeight="1" outlineLevel="1">
      <c r="A58" s="186" t="s">
        <v>197</v>
      </c>
      <c r="B58" s="184">
        <v>0.0</v>
      </c>
      <c r="C58" s="184">
        <v>1.22</v>
      </c>
      <c r="D58" s="184">
        <v>0.0</v>
      </c>
      <c r="E58" s="184">
        <v>0.0</v>
      </c>
      <c r="F58" s="185">
        <f t="shared" si="123"/>
        <v>1.22</v>
      </c>
      <c r="G58" s="184">
        <v>1.602</v>
      </c>
      <c r="H58" s="184">
        <v>0.0</v>
      </c>
      <c r="I58" s="184">
        <v>0.0</v>
      </c>
      <c r="J58" s="184">
        <v>0.0</v>
      </c>
      <c r="K58" s="185">
        <f t="shared" si="124"/>
        <v>1.602</v>
      </c>
      <c r="L58" s="184">
        <v>0.597</v>
      </c>
      <c r="M58" s="184">
        <v>0.052</v>
      </c>
      <c r="N58" s="184">
        <v>0.0</v>
      </c>
      <c r="O58" s="184">
        <v>0.0</v>
      </c>
      <c r="P58" s="185">
        <f t="shared" si="117"/>
        <v>0.649</v>
      </c>
      <c r="Q58" s="184">
        <v>0.0</v>
      </c>
      <c r="R58" s="184">
        <v>0.0</v>
      </c>
      <c r="S58" s="184">
        <v>0.0</v>
      </c>
      <c r="T58" s="184">
        <v>0.0</v>
      </c>
      <c r="U58" s="185">
        <f t="shared" si="118"/>
        <v>0</v>
      </c>
      <c r="V58" s="184">
        <v>0.0</v>
      </c>
      <c r="W58" s="184">
        <v>0.0</v>
      </c>
      <c r="X58" s="184">
        <v>0.0</v>
      </c>
      <c r="Y58" s="184">
        <v>0.0</v>
      </c>
      <c r="Z58" s="185">
        <f t="shared" si="119"/>
        <v>0</v>
      </c>
      <c r="AA58" s="184">
        <v>0.0</v>
      </c>
      <c r="AB58" s="184">
        <v>0.0</v>
      </c>
      <c r="AC58" s="184">
        <v>0.0</v>
      </c>
      <c r="AD58" s="184">
        <v>0.0</v>
      </c>
      <c r="AE58" s="185">
        <f t="shared" si="120"/>
        <v>0</v>
      </c>
      <c r="AF58" s="184">
        <v>0.0</v>
      </c>
      <c r="AG58" s="184">
        <v>0.0</v>
      </c>
      <c r="AH58" s="184">
        <v>0.0</v>
      </c>
      <c r="AI58" s="184">
        <v>0.0</v>
      </c>
      <c r="AJ58" s="185">
        <f t="shared" si="121"/>
        <v>0</v>
      </c>
      <c r="AK58" s="184">
        <v>0.0</v>
      </c>
      <c r="AL58" s="184">
        <v>0.0</v>
      </c>
      <c r="AM58" s="184">
        <v>0.0</v>
      </c>
      <c r="AN58" s="184">
        <v>0.0</v>
      </c>
      <c r="AO58" s="185">
        <f t="shared" si="122"/>
        <v>0</v>
      </c>
      <c r="AP58" s="186"/>
      <c r="AQ58" s="186"/>
      <c r="AR58" s="188"/>
      <c r="AS58" s="188"/>
      <c r="AT58" s="188"/>
      <c r="AU58" s="186"/>
    </row>
    <row r="59" ht="10.5" customHeight="1" outlineLevel="1">
      <c r="A59" s="186" t="s">
        <v>198</v>
      </c>
      <c r="B59" s="184">
        <v>0.0</v>
      </c>
      <c r="C59" s="184">
        <v>0.0</v>
      </c>
      <c r="D59" s="184">
        <v>2.502</v>
      </c>
      <c r="E59" s="184">
        <v>1.226</v>
      </c>
      <c r="F59" s="185">
        <f t="shared" si="123"/>
        <v>3.728</v>
      </c>
      <c r="G59" s="184">
        <v>0.283</v>
      </c>
      <c r="H59" s="184">
        <v>1.348</v>
      </c>
      <c r="I59" s="184">
        <v>1.342</v>
      </c>
      <c r="J59" s="184">
        <v>1.227</v>
      </c>
      <c r="K59" s="185">
        <f t="shared" si="124"/>
        <v>4.2</v>
      </c>
      <c r="L59" s="184">
        <v>1.041</v>
      </c>
      <c r="M59" s="184">
        <v>1.406</v>
      </c>
      <c r="N59" s="184">
        <v>0.408</v>
      </c>
      <c r="O59" s="184">
        <v>0.0</v>
      </c>
      <c r="P59" s="185">
        <f t="shared" si="117"/>
        <v>2.855</v>
      </c>
      <c r="Q59" s="184">
        <v>0.0</v>
      </c>
      <c r="R59" s="184">
        <v>0.0</v>
      </c>
      <c r="S59" s="184">
        <v>0.0</v>
      </c>
      <c r="T59" s="184">
        <v>0.0</v>
      </c>
      <c r="U59" s="185">
        <f t="shared" si="118"/>
        <v>0</v>
      </c>
      <c r="V59" s="184">
        <v>0.0</v>
      </c>
      <c r="W59" s="184">
        <v>0.0</v>
      </c>
      <c r="X59" s="184">
        <v>0.0</v>
      </c>
      <c r="Y59" s="184">
        <v>0.0</v>
      </c>
      <c r="Z59" s="185">
        <f t="shared" si="119"/>
        <v>0</v>
      </c>
      <c r="AA59" s="184">
        <v>0.0</v>
      </c>
      <c r="AB59" s="184">
        <v>0.0</v>
      </c>
      <c r="AC59" s="184">
        <v>0.0</v>
      </c>
      <c r="AD59" s="184">
        <v>0.0</v>
      </c>
      <c r="AE59" s="185">
        <f t="shared" si="120"/>
        <v>0</v>
      </c>
      <c r="AF59" s="184">
        <v>0.0</v>
      </c>
      <c r="AG59" s="184">
        <v>0.0</v>
      </c>
      <c r="AH59" s="184">
        <v>0.0</v>
      </c>
      <c r="AI59" s="184">
        <v>0.0</v>
      </c>
      <c r="AJ59" s="185">
        <f t="shared" si="121"/>
        <v>0</v>
      </c>
      <c r="AK59" s="184">
        <v>0.0</v>
      </c>
      <c r="AL59" s="184">
        <v>0.0</v>
      </c>
      <c r="AM59" s="184">
        <v>0.0</v>
      </c>
      <c r="AN59" s="184">
        <v>0.0</v>
      </c>
      <c r="AO59" s="185">
        <f t="shared" si="122"/>
        <v>0</v>
      </c>
      <c r="AP59" s="186"/>
      <c r="AQ59" s="186"/>
      <c r="AR59" s="188"/>
      <c r="AS59" s="188"/>
      <c r="AT59" s="188"/>
      <c r="AU59" s="186"/>
    </row>
    <row r="60" ht="10.5" customHeight="1" outlineLevel="1">
      <c r="A60" s="186" t="s">
        <v>199</v>
      </c>
      <c r="B60" s="184">
        <v>3.3</v>
      </c>
      <c r="C60" s="184">
        <v>2.95</v>
      </c>
      <c r="D60" s="184">
        <v>0.0</v>
      </c>
      <c r="E60" s="184">
        <v>0.0</v>
      </c>
      <c r="F60" s="185">
        <f t="shared" si="123"/>
        <v>6.25</v>
      </c>
      <c r="G60" s="184">
        <v>0.0</v>
      </c>
      <c r="H60" s="184">
        <v>0.0</v>
      </c>
      <c r="I60" s="184">
        <v>0.0</v>
      </c>
      <c r="J60" s="184">
        <v>0.0</v>
      </c>
      <c r="K60" s="185">
        <f t="shared" si="124"/>
        <v>0</v>
      </c>
      <c r="L60" s="184">
        <v>0.0</v>
      </c>
      <c r="M60" s="184">
        <v>0.0</v>
      </c>
      <c r="N60" s="184">
        <v>0.0</v>
      </c>
      <c r="O60" s="184">
        <v>0.0</v>
      </c>
      <c r="P60" s="185">
        <f t="shared" si="117"/>
        <v>0</v>
      </c>
      <c r="Q60" s="184">
        <v>0.0</v>
      </c>
      <c r="R60" s="184">
        <v>0.0</v>
      </c>
      <c r="S60" s="184">
        <v>0.0</v>
      </c>
      <c r="T60" s="184">
        <v>0.0</v>
      </c>
      <c r="U60" s="185">
        <f t="shared" si="118"/>
        <v>0</v>
      </c>
      <c r="V60" s="184">
        <v>0.0</v>
      </c>
      <c r="W60" s="184">
        <v>0.0</v>
      </c>
      <c r="X60" s="184">
        <v>0.0</v>
      </c>
      <c r="Y60" s="184">
        <v>0.0</v>
      </c>
      <c r="Z60" s="185">
        <f t="shared" si="119"/>
        <v>0</v>
      </c>
      <c r="AA60" s="184">
        <v>0.0</v>
      </c>
      <c r="AB60" s="184">
        <v>0.0</v>
      </c>
      <c r="AC60" s="184">
        <v>0.0</v>
      </c>
      <c r="AD60" s="184">
        <v>0.0</v>
      </c>
      <c r="AE60" s="185">
        <f t="shared" si="120"/>
        <v>0</v>
      </c>
      <c r="AF60" s="184">
        <v>0.0</v>
      </c>
      <c r="AG60" s="184">
        <v>0.0</v>
      </c>
      <c r="AH60" s="184">
        <v>0.0</v>
      </c>
      <c r="AI60" s="184">
        <v>0.0</v>
      </c>
      <c r="AJ60" s="185">
        <f t="shared" si="121"/>
        <v>0</v>
      </c>
      <c r="AK60" s="184">
        <v>0.0</v>
      </c>
      <c r="AL60" s="184">
        <v>0.0</v>
      </c>
      <c r="AM60" s="184">
        <v>0.0</v>
      </c>
      <c r="AN60" s="184">
        <v>0.0</v>
      </c>
      <c r="AO60" s="185">
        <f t="shared" si="122"/>
        <v>0</v>
      </c>
      <c r="AP60" s="186"/>
      <c r="AQ60" s="186"/>
      <c r="AR60" s="188"/>
      <c r="AS60" s="188"/>
      <c r="AT60" s="188"/>
      <c r="AU60" s="186"/>
    </row>
    <row r="61" ht="10.5" customHeight="1" outlineLevel="1">
      <c r="A61" s="186" t="s">
        <v>200</v>
      </c>
      <c r="B61" s="184">
        <v>0.255</v>
      </c>
      <c r="C61" s="184">
        <v>-0.16</v>
      </c>
      <c r="D61" s="184">
        <v>-0.101</v>
      </c>
      <c r="E61" s="184">
        <v>2.738</v>
      </c>
      <c r="F61" s="185">
        <f t="shared" si="123"/>
        <v>2.732</v>
      </c>
      <c r="G61" s="184">
        <v>0.475</v>
      </c>
      <c r="H61" s="184">
        <v>0.082</v>
      </c>
      <c r="I61" s="184">
        <v>0.292</v>
      </c>
      <c r="J61" s="184">
        <v>0.297</v>
      </c>
      <c r="K61" s="185">
        <f t="shared" si="124"/>
        <v>1.146</v>
      </c>
      <c r="L61" s="184">
        <v>0.292</v>
      </c>
      <c r="M61" s="184">
        <v>4.311</v>
      </c>
      <c r="N61" s="184">
        <v>0.486</v>
      </c>
      <c r="O61" s="184">
        <v>0.0</v>
      </c>
      <c r="P61" s="185">
        <f t="shared" si="117"/>
        <v>5.089</v>
      </c>
      <c r="Q61" s="184">
        <v>0.0</v>
      </c>
      <c r="R61" s="184">
        <v>0.0</v>
      </c>
      <c r="S61" s="184">
        <v>0.0</v>
      </c>
      <c r="T61" s="184">
        <v>0.0</v>
      </c>
      <c r="U61" s="185">
        <f t="shared" si="118"/>
        <v>0</v>
      </c>
      <c r="V61" s="184">
        <v>0.0</v>
      </c>
      <c r="W61" s="184">
        <v>0.0</v>
      </c>
      <c r="X61" s="184">
        <v>0.0</v>
      </c>
      <c r="Y61" s="184">
        <v>0.0</v>
      </c>
      <c r="Z61" s="185">
        <f t="shared" si="119"/>
        <v>0</v>
      </c>
      <c r="AA61" s="184">
        <v>0.0</v>
      </c>
      <c r="AB61" s="184">
        <v>0.0</v>
      </c>
      <c r="AC61" s="184">
        <v>0.0</v>
      </c>
      <c r="AD61" s="184">
        <v>0.0</v>
      </c>
      <c r="AE61" s="185">
        <f t="shared" si="120"/>
        <v>0</v>
      </c>
      <c r="AF61" s="184">
        <v>0.0</v>
      </c>
      <c r="AG61" s="184">
        <v>0.0</v>
      </c>
      <c r="AH61" s="184">
        <v>0.0</v>
      </c>
      <c r="AI61" s="184">
        <v>0.0</v>
      </c>
      <c r="AJ61" s="185">
        <f t="shared" si="121"/>
        <v>0</v>
      </c>
      <c r="AK61" s="184">
        <v>0.0</v>
      </c>
      <c r="AL61" s="184">
        <v>0.0</v>
      </c>
      <c r="AM61" s="184">
        <v>0.0</v>
      </c>
      <c r="AN61" s="184">
        <v>0.0</v>
      </c>
      <c r="AO61" s="185">
        <f t="shared" si="122"/>
        <v>0</v>
      </c>
      <c r="AP61" s="186"/>
      <c r="AQ61" s="186"/>
      <c r="AR61" s="188"/>
      <c r="AS61" s="188"/>
      <c r="AT61" s="188"/>
      <c r="AU61" s="186"/>
    </row>
    <row r="62" ht="10.5" customHeight="1" outlineLevel="1">
      <c r="A62" s="186" t="s">
        <v>201</v>
      </c>
      <c r="B62" s="184">
        <v>-0.483</v>
      </c>
      <c r="C62" s="184">
        <v>-0.496</v>
      </c>
      <c r="D62" s="184">
        <v>-0.511</v>
      </c>
      <c r="E62" s="184">
        <v>-0.576</v>
      </c>
      <c r="F62" s="185">
        <f t="shared" si="123"/>
        <v>-2.066</v>
      </c>
      <c r="G62" s="184">
        <v>-0.528</v>
      </c>
      <c r="H62" s="184">
        <v>-0.537</v>
      </c>
      <c r="I62" s="184">
        <v>-0.553</v>
      </c>
      <c r="J62" s="184">
        <v>-0.562</v>
      </c>
      <c r="K62" s="185">
        <f t="shared" si="124"/>
        <v>-2.18</v>
      </c>
      <c r="L62" s="184">
        <v>-0.561</v>
      </c>
      <c r="M62" s="184">
        <v>-0.578</v>
      </c>
      <c r="N62" s="184">
        <v>-0.594</v>
      </c>
      <c r="O62" s="184">
        <v>0.0</v>
      </c>
      <c r="P62" s="185">
        <f t="shared" si="117"/>
        <v>-1.733</v>
      </c>
      <c r="Q62" s="184">
        <v>0.0</v>
      </c>
      <c r="R62" s="184">
        <v>0.0</v>
      </c>
      <c r="S62" s="184">
        <v>0.0</v>
      </c>
      <c r="T62" s="184">
        <v>0.0</v>
      </c>
      <c r="U62" s="185">
        <f t="shared" si="118"/>
        <v>0</v>
      </c>
      <c r="V62" s="184">
        <v>0.0</v>
      </c>
      <c r="W62" s="184">
        <v>0.0</v>
      </c>
      <c r="X62" s="184">
        <v>0.0</v>
      </c>
      <c r="Y62" s="184">
        <v>0.0</v>
      </c>
      <c r="Z62" s="185">
        <f t="shared" si="119"/>
        <v>0</v>
      </c>
      <c r="AA62" s="184">
        <v>0.0</v>
      </c>
      <c r="AB62" s="184">
        <v>0.0</v>
      </c>
      <c r="AC62" s="184">
        <v>0.0</v>
      </c>
      <c r="AD62" s="184">
        <v>0.0</v>
      </c>
      <c r="AE62" s="185">
        <f t="shared" si="120"/>
        <v>0</v>
      </c>
      <c r="AF62" s="184">
        <v>0.0</v>
      </c>
      <c r="AG62" s="184">
        <v>0.0</v>
      </c>
      <c r="AH62" s="184">
        <v>0.0</v>
      </c>
      <c r="AI62" s="184">
        <v>0.0</v>
      </c>
      <c r="AJ62" s="185">
        <f t="shared" si="121"/>
        <v>0</v>
      </c>
      <c r="AK62" s="184">
        <v>0.0</v>
      </c>
      <c r="AL62" s="184">
        <v>0.0</v>
      </c>
      <c r="AM62" s="184">
        <v>0.0</v>
      </c>
      <c r="AN62" s="184">
        <v>0.0</v>
      </c>
      <c r="AO62" s="185">
        <f t="shared" si="122"/>
        <v>0</v>
      </c>
      <c r="AP62" s="186"/>
      <c r="AQ62" s="186"/>
      <c r="AR62" s="188"/>
      <c r="AS62" s="188"/>
      <c r="AT62" s="188"/>
      <c r="AU62" s="186"/>
    </row>
    <row r="63" ht="10.5" customHeight="1" outlineLevel="1">
      <c r="A63" s="186" t="s">
        <v>202</v>
      </c>
      <c r="B63" s="184">
        <v>0.0</v>
      </c>
      <c r="C63" s="184">
        <v>0.0</v>
      </c>
      <c r="D63" s="184">
        <v>0.0</v>
      </c>
      <c r="E63" s="184">
        <v>0.0</v>
      </c>
      <c r="F63" s="185">
        <f t="shared" si="123"/>
        <v>0</v>
      </c>
      <c r="G63" s="184">
        <v>0.0</v>
      </c>
      <c r="H63" s="184">
        <v>0.0</v>
      </c>
      <c r="I63" s="184">
        <v>0.0</v>
      </c>
      <c r="J63" s="184">
        <v>0.0</v>
      </c>
      <c r="K63" s="185">
        <f t="shared" si="124"/>
        <v>0</v>
      </c>
      <c r="L63" s="184">
        <v>0.0</v>
      </c>
      <c r="M63" s="184">
        <v>0.0</v>
      </c>
      <c r="N63" s="184">
        <v>0.0</v>
      </c>
      <c r="O63" s="184">
        <v>0.0</v>
      </c>
      <c r="P63" s="185">
        <f t="shared" si="117"/>
        <v>0</v>
      </c>
      <c r="Q63" s="184">
        <v>0.0</v>
      </c>
      <c r="R63" s="184">
        <v>0.0</v>
      </c>
      <c r="S63" s="184">
        <v>0.0</v>
      </c>
      <c r="T63" s="184">
        <v>0.0</v>
      </c>
      <c r="U63" s="185">
        <f t="shared" si="118"/>
        <v>0</v>
      </c>
      <c r="V63" s="184">
        <v>0.0</v>
      </c>
      <c r="W63" s="184">
        <v>0.0</v>
      </c>
      <c r="X63" s="184">
        <v>0.0</v>
      </c>
      <c r="Y63" s="184">
        <v>0.0</v>
      </c>
      <c r="Z63" s="185">
        <f t="shared" si="119"/>
        <v>0</v>
      </c>
      <c r="AA63" s="184">
        <v>0.0</v>
      </c>
      <c r="AB63" s="184">
        <v>0.0</v>
      </c>
      <c r="AC63" s="184">
        <v>0.0</v>
      </c>
      <c r="AD63" s="184">
        <v>0.0</v>
      </c>
      <c r="AE63" s="185">
        <f t="shared" si="120"/>
        <v>0</v>
      </c>
      <c r="AF63" s="184">
        <v>0.0</v>
      </c>
      <c r="AG63" s="184">
        <v>0.0</v>
      </c>
      <c r="AH63" s="184">
        <v>0.0</v>
      </c>
      <c r="AI63" s="184">
        <v>0.0</v>
      </c>
      <c r="AJ63" s="185">
        <f t="shared" si="121"/>
        <v>0</v>
      </c>
      <c r="AK63" s="184">
        <v>0.0</v>
      </c>
      <c r="AL63" s="184">
        <v>0.0</v>
      </c>
      <c r="AM63" s="184">
        <v>0.0</v>
      </c>
      <c r="AN63" s="184">
        <v>0.0</v>
      </c>
      <c r="AO63" s="185">
        <f t="shared" si="122"/>
        <v>0</v>
      </c>
      <c r="AP63" s="186"/>
      <c r="AQ63" s="186"/>
      <c r="AR63" s="188"/>
      <c r="AS63" s="188"/>
      <c r="AT63" s="188"/>
      <c r="AU63" s="186"/>
    </row>
    <row r="64" ht="10.5" customHeight="1" outlineLevel="1">
      <c r="A64" s="186" t="s">
        <v>203</v>
      </c>
      <c r="B64" s="184">
        <v>0.0</v>
      </c>
      <c r="C64" s="184">
        <v>0.0</v>
      </c>
      <c r="D64" s="184">
        <v>0.0</v>
      </c>
      <c r="E64" s="184">
        <v>0.0</v>
      </c>
      <c r="F64" s="185">
        <f t="shared" si="123"/>
        <v>0</v>
      </c>
      <c r="G64" s="184">
        <v>0.0</v>
      </c>
      <c r="H64" s="184">
        <v>0.0</v>
      </c>
      <c r="I64" s="184">
        <v>0.0</v>
      </c>
      <c r="J64" s="184">
        <v>0.0</v>
      </c>
      <c r="K64" s="185">
        <f t="shared" si="124"/>
        <v>0</v>
      </c>
      <c r="L64" s="184">
        <v>0.0</v>
      </c>
      <c r="M64" s="184">
        <v>0.0</v>
      </c>
      <c r="N64" s="184">
        <v>0.0</v>
      </c>
      <c r="O64" s="184">
        <v>0.0</v>
      </c>
      <c r="P64" s="185">
        <f t="shared" si="117"/>
        <v>0</v>
      </c>
      <c r="Q64" s="184">
        <v>0.0</v>
      </c>
      <c r="R64" s="184">
        <v>0.0</v>
      </c>
      <c r="S64" s="184">
        <v>0.0</v>
      </c>
      <c r="T64" s="184">
        <v>0.0</v>
      </c>
      <c r="U64" s="185">
        <f t="shared" si="118"/>
        <v>0</v>
      </c>
      <c r="V64" s="184">
        <v>0.0</v>
      </c>
      <c r="W64" s="184">
        <v>0.0</v>
      </c>
      <c r="X64" s="184">
        <v>0.0</v>
      </c>
      <c r="Y64" s="184">
        <v>0.0</v>
      </c>
      <c r="Z64" s="185">
        <f t="shared" si="119"/>
        <v>0</v>
      </c>
      <c r="AA64" s="184">
        <v>0.0</v>
      </c>
      <c r="AB64" s="184">
        <v>0.0</v>
      </c>
      <c r="AC64" s="184">
        <v>0.0</v>
      </c>
      <c r="AD64" s="184">
        <v>0.0</v>
      </c>
      <c r="AE64" s="185">
        <f t="shared" si="120"/>
        <v>0</v>
      </c>
      <c r="AF64" s="184">
        <v>0.0</v>
      </c>
      <c r="AG64" s="184">
        <v>0.0</v>
      </c>
      <c r="AH64" s="184">
        <v>0.0</v>
      </c>
      <c r="AI64" s="184">
        <v>0.0</v>
      </c>
      <c r="AJ64" s="185">
        <f t="shared" si="121"/>
        <v>0</v>
      </c>
      <c r="AK64" s="184">
        <v>0.0</v>
      </c>
      <c r="AL64" s="184">
        <v>0.0</v>
      </c>
      <c r="AM64" s="184">
        <v>0.0</v>
      </c>
      <c r="AN64" s="184">
        <v>0.0</v>
      </c>
      <c r="AO64" s="185">
        <f t="shared" si="122"/>
        <v>0</v>
      </c>
      <c r="AP64" s="186"/>
      <c r="AQ64" s="186"/>
      <c r="AR64" s="188"/>
      <c r="AS64" s="188"/>
      <c r="AT64" s="188"/>
      <c r="AU64" s="186"/>
    </row>
    <row r="65" ht="10.5" customHeight="1" outlineLevel="1">
      <c r="A65" s="186" t="s">
        <v>204</v>
      </c>
      <c r="B65" s="184">
        <v>0.0</v>
      </c>
      <c r="C65" s="184">
        <v>0.0</v>
      </c>
      <c r="D65" s="184">
        <v>0.0</v>
      </c>
      <c r="E65" s="184">
        <v>0.0</v>
      </c>
      <c r="F65" s="185">
        <f t="shared" si="123"/>
        <v>0</v>
      </c>
      <c r="G65" s="184">
        <v>0.0</v>
      </c>
      <c r="H65" s="184">
        <v>0.0</v>
      </c>
      <c r="I65" s="184">
        <v>0.0</v>
      </c>
      <c r="J65" s="184">
        <v>0.0</v>
      </c>
      <c r="K65" s="185">
        <f t="shared" si="124"/>
        <v>0</v>
      </c>
      <c r="L65" s="184">
        <v>0.0</v>
      </c>
      <c r="M65" s="184">
        <v>1.067</v>
      </c>
      <c r="N65" s="184">
        <v>0.261</v>
      </c>
      <c r="O65" s="184">
        <v>0.0</v>
      </c>
      <c r="P65" s="185">
        <f t="shared" si="117"/>
        <v>1.328</v>
      </c>
      <c r="Q65" s="184">
        <v>0.0</v>
      </c>
      <c r="R65" s="184">
        <v>0.0</v>
      </c>
      <c r="S65" s="184">
        <v>0.0</v>
      </c>
      <c r="T65" s="184">
        <v>0.0</v>
      </c>
      <c r="U65" s="185">
        <f t="shared" si="118"/>
        <v>0</v>
      </c>
      <c r="V65" s="184">
        <v>0.0</v>
      </c>
      <c r="W65" s="184">
        <v>0.0</v>
      </c>
      <c r="X65" s="184">
        <v>0.0</v>
      </c>
      <c r="Y65" s="184">
        <v>0.0</v>
      </c>
      <c r="Z65" s="185">
        <f t="shared" si="119"/>
        <v>0</v>
      </c>
      <c r="AA65" s="184">
        <v>0.0</v>
      </c>
      <c r="AB65" s="184">
        <v>0.0</v>
      </c>
      <c r="AC65" s="184">
        <v>0.0</v>
      </c>
      <c r="AD65" s="184">
        <v>0.0</v>
      </c>
      <c r="AE65" s="185">
        <f t="shared" si="120"/>
        <v>0</v>
      </c>
      <c r="AF65" s="184">
        <v>0.0</v>
      </c>
      <c r="AG65" s="184">
        <v>0.0</v>
      </c>
      <c r="AH65" s="184">
        <v>0.0</v>
      </c>
      <c r="AI65" s="184">
        <v>0.0</v>
      </c>
      <c r="AJ65" s="185">
        <f t="shared" si="121"/>
        <v>0</v>
      </c>
      <c r="AK65" s="184">
        <v>0.0</v>
      </c>
      <c r="AL65" s="184">
        <v>0.0</v>
      </c>
      <c r="AM65" s="184">
        <v>0.0</v>
      </c>
      <c r="AN65" s="184">
        <v>0.0</v>
      </c>
      <c r="AO65" s="185">
        <f t="shared" si="122"/>
        <v>0</v>
      </c>
      <c r="AP65" s="186"/>
      <c r="AQ65" s="186"/>
      <c r="AR65" s="188"/>
      <c r="AS65" s="188"/>
      <c r="AT65" s="188"/>
      <c r="AU65" s="186"/>
    </row>
    <row r="66" ht="10.5" customHeight="1" outlineLevel="1">
      <c r="A66" s="186" t="s">
        <v>205</v>
      </c>
      <c r="B66" s="184">
        <v>0.0</v>
      </c>
      <c r="C66" s="184">
        <v>0.0</v>
      </c>
      <c r="D66" s="184">
        <v>0.0</v>
      </c>
      <c r="E66" s="184">
        <v>0.0</v>
      </c>
      <c r="F66" s="185">
        <f t="shared" si="123"/>
        <v>0</v>
      </c>
      <c r="G66" s="184">
        <v>0.0</v>
      </c>
      <c r="H66" s="184">
        <v>0.0</v>
      </c>
      <c r="I66" s="184">
        <v>0.0</v>
      </c>
      <c r="J66" s="184">
        <v>0.0</v>
      </c>
      <c r="K66" s="185">
        <f t="shared" si="124"/>
        <v>0</v>
      </c>
      <c r="L66" s="184">
        <v>0.0</v>
      </c>
      <c r="M66" s="184">
        <v>0.0</v>
      </c>
      <c r="N66" s="184">
        <v>0.0</v>
      </c>
      <c r="O66" s="184">
        <v>0.0</v>
      </c>
      <c r="P66" s="185">
        <f t="shared" si="117"/>
        <v>0</v>
      </c>
      <c r="Q66" s="184">
        <v>0.0</v>
      </c>
      <c r="R66" s="184">
        <v>0.0</v>
      </c>
      <c r="S66" s="184">
        <v>0.0</v>
      </c>
      <c r="T66" s="184">
        <v>0.0</v>
      </c>
      <c r="U66" s="185">
        <f t="shared" si="118"/>
        <v>0</v>
      </c>
      <c r="V66" s="184">
        <v>0.0</v>
      </c>
      <c r="W66" s="184">
        <v>0.0</v>
      </c>
      <c r="X66" s="184">
        <v>0.0</v>
      </c>
      <c r="Y66" s="184">
        <v>0.0</v>
      </c>
      <c r="Z66" s="185">
        <f t="shared" si="119"/>
        <v>0</v>
      </c>
      <c r="AA66" s="184">
        <v>0.0</v>
      </c>
      <c r="AB66" s="184">
        <v>0.0</v>
      </c>
      <c r="AC66" s="184">
        <v>0.0</v>
      </c>
      <c r="AD66" s="184">
        <v>0.0</v>
      </c>
      <c r="AE66" s="185">
        <f t="shared" si="120"/>
        <v>0</v>
      </c>
      <c r="AF66" s="184">
        <v>0.0</v>
      </c>
      <c r="AG66" s="184">
        <v>0.0</v>
      </c>
      <c r="AH66" s="184">
        <v>0.0</v>
      </c>
      <c r="AI66" s="184">
        <v>0.0</v>
      </c>
      <c r="AJ66" s="185">
        <f t="shared" si="121"/>
        <v>0</v>
      </c>
      <c r="AK66" s="184">
        <v>0.0</v>
      </c>
      <c r="AL66" s="184">
        <v>0.0</v>
      </c>
      <c r="AM66" s="184">
        <v>0.0</v>
      </c>
      <c r="AN66" s="184">
        <v>0.0</v>
      </c>
      <c r="AO66" s="185">
        <f t="shared" si="122"/>
        <v>0</v>
      </c>
      <c r="AP66" s="186"/>
      <c r="AQ66" s="186"/>
      <c r="AR66" s="188"/>
      <c r="AS66" s="188"/>
      <c r="AT66" s="188"/>
      <c r="AU66" s="186"/>
    </row>
    <row r="67" ht="10.5" customHeight="1" outlineLevel="1">
      <c r="A67" s="186" t="s">
        <v>206</v>
      </c>
      <c r="B67" s="184">
        <v>0.0</v>
      </c>
      <c r="C67" s="184">
        <v>0.0</v>
      </c>
      <c r="D67" s="184">
        <v>0.0</v>
      </c>
      <c r="E67" s="184">
        <v>0.0</v>
      </c>
      <c r="F67" s="185">
        <f t="shared" si="123"/>
        <v>0</v>
      </c>
      <c r="G67" s="184">
        <v>0.0</v>
      </c>
      <c r="H67" s="184">
        <v>0.0</v>
      </c>
      <c r="I67" s="184">
        <v>0.0</v>
      </c>
      <c r="J67" s="184">
        <v>0.0</v>
      </c>
      <c r="K67" s="185">
        <f t="shared" si="124"/>
        <v>0</v>
      </c>
      <c r="L67" s="184">
        <v>-1.636</v>
      </c>
      <c r="M67" s="184">
        <v>0.0</v>
      </c>
      <c r="N67" s="184">
        <v>0.0</v>
      </c>
      <c r="O67" s="184">
        <v>0.0</v>
      </c>
      <c r="P67" s="185">
        <f t="shared" si="117"/>
        <v>-1.636</v>
      </c>
      <c r="Q67" s="184">
        <v>0.0</v>
      </c>
      <c r="R67" s="184">
        <v>0.0</v>
      </c>
      <c r="S67" s="184">
        <v>0.0</v>
      </c>
      <c r="T67" s="184">
        <v>0.0</v>
      </c>
      <c r="U67" s="185">
        <f t="shared" si="118"/>
        <v>0</v>
      </c>
      <c r="V67" s="184">
        <v>0.0</v>
      </c>
      <c r="W67" s="184">
        <v>0.0</v>
      </c>
      <c r="X67" s="184">
        <v>0.0</v>
      </c>
      <c r="Y67" s="184">
        <v>0.0</v>
      </c>
      <c r="Z67" s="185">
        <f t="shared" si="119"/>
        <v>0</v>
      </c>
      <c r="AA67" s="184">
        <v>0.0</v>
      </c>
      <c r="AB67" s="184">
        <v>0.0</v>
      </c>
      <c r="AC67" s="184">
        <v>0.0</v>
      </c>
      <c r="AD67" s="184">
        <v>0.0</v>
      </c>
      <c r="AE67" s="185">
        <f t="shared" si="120"/>
        <v>0</v>
      </c>
      <c r="AF67" s="184">
        <v>0.0</v>
      </c>
      <c r="AG67" s="184">
        <v>0.0</v>
      </c>
      <c r="AH67" s="184">
        <v>0.0</v>
      </c>
      <c r="AI67" s="184">
        <v>0.0</v>
      </c>
      <c r="AJ67" s="185">
        <f t="shared" si="121"/>
        <v>0</v>
      </c>
      <c r="AK67" s="184">
        <v>0.0</v>
      </c>
      <c r="AL67" s="184">
        <v>0.0</v>
      </c>
      <c r="AM67" s="184">
        <v>0.0</v>
      </c>
      <c r="AN67" s="184">
        <v>0.0</v>
      </c>
      <c r="AO67" s="185">
        <f t="shared" si="122"/>
        <v>0</v>
      </c>
      <c r="AP67" s="186"/>
      <c r="AQ67" s="186"/>
      <c r="AR67" s="188"/>
      <c r="AS67" s="188"/>
      <c r="AT67" s="188"/>
      <c r="AU67" s="186"/>
    </row>
    <row r="68" ht="10.5" customHeight="1" outlineLevel="1">
      <c r="A68" s="186" t="s">
        <v>207</v>
      </c>
      <c r="B68" s="184">
        <v>0.0</v>
      </c>
      <c r="C68" s="184">
        <v>0.0</v>
      </c>
      <c r="D68" s="184">
        <v>0.0</v>
      </c>
      <c r="E68" s="184">
        <v>-1.964</v>
      </c>
      <c r="F68" s="185">
        <f t="shared" si="123"/>
        <v>-1.964</v>
      </c>
      <c r="G68" s="184">
        <v>-0.362</v>
      </c>
      <c r="H68" s="184">
        <v>-0.987</v>
      </c>
      <c r="I68" s="184">
        <v>0.575</v>
      </c>
      <c r="J68" s="184">
        <v>2.074</v>
      </c>
      <c r="K68" s="185">
        <f t="shared" si="124"/>
        <v>1.3</v>
      </c>
      <c r="L68" s="184">
        <v>-0.084</v>
      </c>
      <c r="M68" s="184">
        <v>-1.21</v>
      </c>
      <c r="N68" s="184">
        <v>-0.475</v>
      </c>
      <c r="O68" s="184">
        <v>0.0</v>
      </c>
      <c r="P68" s="185">
        <f t="shared" si="117"/>
        <v>-1.769</v>
      </c>
      <c r="Q68" s="184">
        <v>0.0</v>
      </c>
      <c r="R68" s="184">
        <v>0.0</v>
      </c>
      <c r="S68" s="184">
        <v>0.0</v>
      </c>
      <c r="T68" s="184">
        <v>0.0</v>
      </c>
      <c r="U68" s="185">
        <f t="shared" si="118"/>
        <v>0</v>
      </c>
      <c r="V68" s="184">
        <v>0.0</v>
      </c>
      <c r="W68" s="184">
        <v>0.0</v>
      </c>
      <c r="X68" s="184">
        <v>0.0</v>
      </c>
      <c r="Y68" s="184">
        <v>0.0</v>
      </c>
      <c r="Z68" s="185">
        <f t="shared" si="119"/>
        <v>0</v>
      </c>
      <c r="AA68" s="184">
        <v>0.0</v>
      </c>
      <c r="AB68" s="184">
        <v>0.0</v>
      </c>
      <c r="AC68" s="184">
        <v>0.0</v>
      </c>
      <c r="AD68" s="184">
        <v>0.0</v>
      </c>
      <c r="AE68" s="185">
        <f t="shared" si="120"/>
        <v>0</v>
      </c>
      <c r="AF68" s="184">
        <v>0.0</v>
      </c>
      <c r="AG68" s="184">
        <v>0.0</v>
      </c>
      <c r="AH68" s="184">
        <v>0.0</v>
      </c>
      <c r="AI68" s="184">
        <v>0.0</v>
      </c>
      <c r="AJ68" s="185">
        <f t="shared" si="121"/>
        <v>0</v>
      </c>
      <c r="AK68" s="184">
        <v>0.0</v>
      </c>
      <c r="AL68" s="184">
        <v>0.0</v>
      </c>
      <c r="AM68" s="184">
        <v>0.0</v>
      </c>
      <c r="AN68" s="184">
        <v>0.0</v>
      </c>
      <c r="AO68" s="185">
        <f t="shared" si="122"/>
        <v>0</v>
      </c>
      <c r="AP68" s="186"/>
      <c r="AQ68" s="186"/>
      <c r="AR68" s="188"/>
      <c r="AS68" s="188"/>
      <c r="AT68" s="188"/>
      <c r="AU68" s="186"/>
    </row>
    <row r="69" ht="10.5" customHeight="1" outlineLevel="1">
      <c r="A69" s="186" t="s">
        <v>208</v>
      </c>
      <c r="B69" s="184">
        <v>0.0</v>
      </c>
      <c r="C69" s="184">
        <v>0.0</v>
      </c>
      <c r="D69" s="184">
        <v>0.0</v>
      </c>
      <c r="E69" s="184">
        <v>0.0</v>
      </c>
      <c r="F69" s="185">
        <f t="shared" si="123"/>
        <v>0</v>
      </c>
      <c r="G69" s="184">
        <v>0.0</v>
      </c>
      <c r="H69" s="184">
        <v>0.0</v>
      </c>
      <c r="I69" s="184">
        <v>0.0</v>
      </c>
      <c r="J69" s="184">
        <v>0.0</v>
      </c>
      <c r="K69" s="185">
        <f t="shared" si="124"/>
        <v>0</v>
      </c>
      <c r="L69" s="184">
        <v>0.0</v>
      </c>
      <c r="M69" s="184">
        <v>0.0</v>
      </c>
      <c r="N69" s="184">
        <v>-6.443</v>
      </c>
      <c r="O69" s="184">
        <v>0.0</v>
      </c>
      <c r="P69" s="185">
        <f t="shared" si="117"/>
        <v>-6.443</v>
      </c>
      <c r="Q69" s="184">
        <v>0.0</v>
      </c>
      <c r="R69" s="184">
        <v>0.0</v>
      </c>
      <c r="S69" s="184">
        <v>0.0</v>
      </c>
      <c r="T69" s="184">
        <v>0.0</v>
      </c>
      <c r="U69" s="185">
        <f t="shared" si="118"/>
        <v>0</v>
      </c>
      <c r="V69" s="184">
        <v>0.0</v>
      </c>
      <c r="W69" s="184">
        <v>0.0</v>
      </c>
      <c r="X69" s="184">
        <v>0.0</v>
      </c>
      <c r="Y69" s="184">
        <v>0.0</v>
      </c>
      <c r="Z69" s="185">
        <f t="shared" si="119"/>
        <v>0</v>
      </c>
      <c r="AA69" s="184">
        <v>0.0</v>
      </c>
      <c r="AB69" s="184">
        <v>0.0</v>
      </c>
      <c r="AC69" s="184">
        <v>0.0</v>
      </c>
      <c r="AD69" s="184">
        <v>0.0</v>
      </c>
      <c r="AE69" s="185">
        <f t="shared" si="120"/>
        <v>0</v>
      </c>
      <c r="AF69" s="184">
        <v>0.0</v>
      </c>
      <c r="AG69" s="184">
        <v>0.0</v>
      </c>
      <c r="AH69" s="184">
        <v>0.0</v>
      </c>
      <c r="AI69" s="184">
        <v>0.0</v>
      </c>
      <c r="AJ69" s="185">
        <f t="shared" si="121"/>
        <v>0</v>
      </c>
      <c r="AK69" s="184">
        <v>0.0</v>
      </c>
      <c r="AL69" s="184">
        <v>0.0</v>
      </c>
      <c r="AM69" s="184">
        <v>0.0</v>
      </c>
      <c r="AN69" s="184">
        <v>0.0</v>
      </c>
      <c r="AO69" s="185">
        <f t="shared" si="122"/>
        <v>0</v>
      </c>
      <c r="AP69" s="186"/>
      <c r="AQ69" s="186"/>
      <c r="AR69" s="188"/>
      <c r="AS69" s="188"/>
      <c r="AT69" s="188"/>
      <c r="AU69" s="186"/>
    </row>
    <row r="70" ht="10.5" customHeight="1" outlineLevel="1">
      <c r="A70" s="186" t="s">
        <v>209</v>
      </c>
      <c r="B70" s="184">
        <v>0.0</v>
      </c>
      <c r="C70" s="184">
        <v>0.0</v>
      </c>
      <c r="D70" s="184">
        <v>0.0</v>
      </c>
      <c r="E70" s="184">
        <v>0.438</v>
      </c>
      <c r="F70" s="185">
        <f t="shared" si="123"/>
        <v>0.438</v>
      </c>
      <c r="G70" s="184">
        <v>0.229</v>
      </c>
      <c r="H70" s="184">
        <v>0.24</v>
      </c>
      <c r="I70" s="184">
        <v>0.24</v>
      </c>
      <c r="J70" s="184">
        <v>0.24</v>
      </c>
      <c r="K70" s="185">
        <f t="shared" si="124"/>
        <v>0.949</v>
      </c>
      <c r="L70" s="184">
        <v>0.24</v>
      </c>
      <c r="M70" s="184">
        <v>0.24</v>
      </c>
      <c r="N70" s="184">
        <v>0.24</v>
      </c>
      <c r="O70" s="184">
        <v>0.0</v>
      </c>
      <c r="P70" s="185">
        <f t="shared" si="117"/>
        <v>0.72</v>
      </c>
      <c r="Q70" s="184">
        <v>0.0</v>
      </c>
      <c r="R70" s="184">
        <v>0.0</v>
      </c>
      <c r="S70" s="184">
        <v>0.0</v>
      </c>
      <c r="T70" s="184">
        <v>0.0</v>
      </c>
      <c r="U70" s="185">
        <f t="shared" si="118"/>
        <v>0</v>
      </c>
      <c r="V70" s="184">
        <v>0.0</v>
      </c>
      <c r="W70" s="184">
        <v>0.0</v>
      </c>
      <c r="X70" s="184">
        <v>0.0</v>
      </c>
      <c r="Y70" s="184">
        <v>0.0</v>
      </c>
      <c r="Z70" s="185">
        <f t="shared" si="119"/>
        <v>0</v>
      </c>
      <c r="AA70" s="184">
        <v>0.0</v>
      </c>
      <c r="AB70" s="184">
        <v>0.0</v>
      </c>
      <c r="AC70" s="184">
        <v>0.0</v>
      </c>
      <c r="AD70" s="184">
        <v>0.0</v>
      </c>
      <c r="AE70" s="185">
        <f t="shared" si="120"/>
        <v>0</v>
      </c>
      <c r="AF70" s="184">
        <v>0.0</v>
      </c>
      <c r="AG70" s="184">
        <v>0.0</v>
      </c>
      <c r="AH70" s="184">
        <v>0.0</v>
      </c>
      <c r="AI70" s="184">
        <v>0.0</v>
      </c>
      <c r="AJ70" s="185">
        <f t="shared" si="121"/>
        <v>0</v>
      </c>
      <c r="AK70" s="184">
        <v>0.0</v>
      </c>
      <c r="AL70" s="184">
        <v>0.0</v>
      </c>
      <c r="AM70" s="184">
        <v>0.0</v>
      </c>
      <c r="AN70" s="184">
        <v>0.0</v>
      </c>
      <c r="AO70" s="185">
        <f t="shared" si="122"/>
        <v>0</v>
      </c>
      <c r="AP70" s="186"/>
      <c r="AQ70" s="186"/>
      <c r="AR70" s="188"/>
      <c r="AS70" s="188"/>
      <c r="AT70" s="188"/>
      <c r="AU70" s="186"/>
    </row>
    <row r="71" ht="10.5" customHeight="1" outlineLevel="1">
      <c r="A71" s="186" t="s">
        <v>210</v>
      </c>
      <c r="B71" s="184">
        <v>-1.459</v>
      </c>
      <c r="C71" s="184">
        <v>0.818</v>
      </c>
      <c r="D71" s="184">
        <v>0.05</v>
      </c>
      <c r="E71" s="184">
        <v>0.176</v>
      </c>
      <c r="F71" s="185">
        <f t="shared" si="123"/>
        <v>-0.415</v>
      </c>
      <c r="G71" s="184">
        <v>-0.228</v>
      </c>
      <c r="H71" s="184">
        <v>0.121</v>
      </c>
      <c r="I71" s="184">
        <v>0.032</v>
      </c>
      <c r="J71" s="184">
        <v>0.211</v>
      </c>
      <c r="K71" s="185">
        <f t="shared" si="124"/>
        <v>0.136</v>
      </c>
      <c r="L71" s="184">
        <v>0.155</v>
      </c>
      <c r="M71" s="184">
        <v>0.176</v>
      </c>
      <c r="N71" s="184">
        <v>0.212</v>
      </c>
      <c r="O71" s="184">
        <v>0.0</v>
      </c>
      <c r="P71" s="185">
        <f t="shared" si="117"/>
        <v>0.543</v>
      </c>
      <c r="Q71" s="184">
        <v>0.0</v>
      </c>
      <c r="R71" s="184">
        <v>0.0</v>
      </c>
      <c r="S71" s="184">
        <v>0.0</v>
      </c>
      <c r="T71" s="184">
        <v>0.0</v>
      </c>
      <c r="U71" s="185">
        <f t="shared" si="118"/>
        <v>0</v>
      </c>
      <c r="V71" s="184">
        <v>0.0</v>
      </c>
      <c r="W71" s="184">
        <v>0.0</v>
      </c>
      <c r="X71" s="184">
        <v>0.0</v>
      </c>
      <c r="Y71" s="184">
        <v>0.0</v>
      </c>
      <c r="Z71" s="185">
        <f t="shared" si="119"/>
        <v>0</v>
      </c>
      <c r="AA71" s="184">
        <v>0.0</v>
      </c>
      <c r="AB71" s="184">
        <v>0.0</v>
      </c>
      <c r="AC71" s="184">
        <v>0.0</v>
      </c>
      <c r="AD71" s="184">
        <v>0.0</v>
      </c>
      <c r="AE71" s="185">
        <f t="shared" si="120"/>
        <v>0</v>
      </c>
      <c r="AF71" s="184">
        <v>0.0</v>
      </c>
      <c r="AG71" s="184">
        <v>0.0</v>
      </c>
      <c r="AH71" s="184">
        <v>0.0</v>
      </c>
      <c r="AI71" s="184">
        <v>0.0</v>
      </c>
      <c r="AJ71" s="185">
        <f t="shared" si="121"/>
        <v>0</v>
      </c>
      <c r="AK71" s="184">
        <v>0.0</v>
      </c>
      <c r="AL71" s="184">
        <v>0.0</v>
      </c>
      <c r="AM71" s="184">
        <v>0.0</v>
      </c>
      <c r="AN71" s="184">
        <v>0.0</v>
      </c>
      <c r="AO71" s="185">
        <f t="shared" si="122"/>
        <v>0</v>
      </c>
      <c r="AP71" s="186"/>
      <c r="AQ71" s="186"/>
      <c r="AR71" s="188"/>
      <c r="AS71" s="188"/>
      <c r="AT71" s="188"/>
      <c r="AU71" s="186"/>
    </row>
    <row r="72" ht="10.5" customHeight="1">
      <c r="A72" s="193" t="s">
        <v>211</v>
      </c>
      <c r="B72" s="193">
        <f t="shared" ref="B72:AO72" si="125">B47+B48</f>
        <v>73.407</v>
      </c>
      <c r="C72" s="193">
        <f t="shared" si="125"/>
        <v>100.943</v>
      </c>
      <c r="D72" s="193">
        <f t="shared" si="125"/>
        <v>94.314</v>
      </c>
      <c r="E72" s="193">
        <f t="shared" si="125"/>
        <v>96.7</v>
      </c>
      <c r="F72" s="194">
        <f t="shared" si="125"/>
        <v>435.376</v>
      </c>
      <c r="G72" s="193">
        <f t="shared" si="125"/>
        <v>106.311</v>
      </c>
      <c r="H72" s="193">
        <f t="shared" si="125"/>
        <v>127.503</v>
      </c>
      <c r="I72" s="193">
        <f t="shared" si="125"/>
        <v>123.071</v>
      </c>
      <c r="J72" s="193">
        <f t="shared" si="125"/>
        <v>130.825</v>
      </c>
      <c r="K72" s="194">
        <f t="shared" si="125"/>
        <v>487.71</v>
      </c>
      <c r="L72" s="193">
        <f t="shared" si="125"/>
        <v>117.005</v>
      </c>
      <c r="M72" s="193">
        <f t="shared" si="125"/>
        <v>147.609</v>
      </c>
      <c r="N72" s="193">
        <f t="shared" si="125"/>
        <v>140.766</v>
      </c>
      <c r="O72" s="193">
        <f t="shared" si="125"/>
        <v>143.425375</v>
      </c>
      <c r="P72" s="194">
        <f t="shared" si="125"/>
        <v>548.805375</v>
      </c>
      <c r="Q72" s="193">
        <f t="shared" si="125"/>
        <v>136.1026799</v>
      </c>
      <c r="R72" s="193">
        <f t="shared" si="125"/>
        <v>168.8534726</v>
      </c>
      <c r="S72" s="193">
        <f t="shared" si="125"/>
        <v>163.0838218</v>
      </c>
      <c r="T72" s="193">
        <f t="shared" si="125"/>
        <v>165.5441399</v>
      </c>
      <c r="U72" s="194">
        <f t="shared" si="125"/>
        <v>633.5841142</v>
      </c>
      <c r="V72" s="193">
        <f t="shared" si="125"/>
        <v>155.820987</v>
      </c>
      <c r="W72" s="193">
        <f t="shared" si="125"/>
        <v>190.135924</v>
      </c>
      <c r="X72" s="193">
        <f t="shared" si="125"/>
        <v>183.2168685</v>
      </c>
      <c r="Y72" s="193">
        <f t="shared" si="125"/>
        <v>185.6397964</v>
      </c>
      <c r="Z72" s="194">
        <f t="shared" si="125"/>
        <v>714.8135759</v>
      </c>
      <c r="AA72" s="193">
        <f t="shared" si="125"/>
        <v>173.16335</v>
      </c>
      <c r="AB72" s="193">
        <f t="shared" si="125"/>
        <v>208.9547901</v>
      </c>
      <c r="AC72" s="193">
        <f t="shared" si="125"/>
        <v>201.206233</v>
      </c>
      <c r="AD72" s="193">
        <f t="shared" si="125"/>
        <v>202.9029746</v>
      </c>
      <c r="AE72" s="194">
        <f t="shared" si="125"/>
        <v>786.2273478</v>
      </c>
      <c r="AF72" s="193">
        <f t="shared" si="125"/>
        <v>198.8742313</v>
      </c>
      <c r="AG72" s="193">
        <f t="shared" si="125"/>
        <v>227.0425108</v>
      </c>
      <c r="AH72" s="193">
        <f t="shared" si="125"/>
        <v>212.356771</v>
      </c>
      <c r="AI72" s="193">
        <f t="shared" si="125"/>
        <v>215.2274879</v>
      </c>
      <c r="AJ72" s="194">
        <f t="shared" si="125"/>
        <v>853.501001</v>
      </c>
      <c r="AK72" s="193">
        <f t="shared" si="125"/>
        <v>215.0892962</v>
      </c>
      <c r="AL72" s="193">
        <f t="shared" si="125"/>
        <v>243.6159155</v>
      </c>
      <c r="AM72" s="193">
        <f t="shared" si="125"/>
        <v>227.7517028</v>
      </c>
      <c r="AN72" s="193">
        <f t="shared" si="125"/>
        <v>230.0462195</v>
      </c>
      <c r="AO72" s="194">
        <f t="shared" si="125"/>
        <v>916.503134</v>
      </c>
      <c r="AP72" s="186"/>
      <c r="AQ72" s="186"/>
      <c r="AR72" s="188"/>
      <c r="AS72" s="188"/>
      <c r="AT72" s="188"/>
      <c r="AU72" s="186"/>
    </row>
    <row r="73" ht="10.5" customHeight="1">
      <c r="A73" s="183" t="s">
        <v>212</v>
      </c>
      <c r="B73" s="220" t="str">
        <f t="shared" ref="B73:F73" si="126">IFERROR(B72/#REF!-1,"na")</f>
        <v>na</v>
      </c>
      <c r="C73" s="220" t="str">
        <f t="shared" si="126"/>
        <v>na</v>
      </c>
      <c r="D73" s="220" t="str">
        <f t="shared" si="126"/>
        <v>na</v>
      </c>
      <c r="E73" s="220" t="str">
        <f t="shared" si="126"/>
        <v>na</v>
      </c>
      <c r="F73" s="221" t="str">
        <f t="shared" si="126"/>
        <v>na</v>
      </c>
      <c r="G73" s="220">
        <f t="shared" ref="G73:AO73" si="127">IFERROR(G72/B72-1,"na")</f>
        <v>0.448240631</v>
      </c>
      <c r="H73" s="220">
        <f t="shared" si="127"/>
        <v>0.2631187898</v>
      </c>
      <c r="I73" s="220">
        <f t="shared" si="127"/>
        <v>0.3049070127</v>
      </c>
      <c r="J73" s="220">
        <f t="shared" si="127"/>
        <v>0.3528955533</v>
      </c>
      <c r="K73" s="221">
        <f t="shared" si="127"/>
        <v>0.1202041454</v>
      </c>
      <c r="L73" s="220">
        <f t="shared" si="127"/>
        <v>0.1005916603</v>
      </c>
      <c r="M73" s="220">
        <f t="shared" si="127"/>
        <v>0.1576904073</v>
      </c>
      <c r="N73" s="220">
        <f t="shared" si="127"/>
        <v>0.1437787944</v>
      </c>
      <c r="O73" s="220">
        <f t="shared" si="127"/>
        <v>0.09631473328</v>
      </c>
      <c r="P73" s="221">
        <f t="shared" si="127"/>
        <v>0.1252698837</v>
      </c>
      <c r="Q73" s="220">
        <f t="shared" si="127"/>
        <v>0.1632210582</v>
      </c>
      <c r="R73" s="220">
        <f t="shared" si="127"/>
        <v>0.1439239652</v>
      </c>
      <c r="S73" s="220">
        <f t="shared" si="127"/>
        <v>0.1585455422</v>
      </c>
      <c r="T73" s="220">
        <f t="shared" si="127"/>
        <v>0.1542179333</v>
      </c>
      <c r="U73" s="221">
        <f t="shared" si="127"/>
        <v>0.154478697</v>
      </c>
      <c r="V73" s="220">
        <f t="shared" si="127"/>
        <v>0.1448781693</v>
      </c>
      <c r="W73" s="220">
        <f t="shared" si="127"/>
        <v>0.1260409461</v>
      </c>
      <c r="X73" s="220">
        <f t="shared" si="127"/>
        <v>0.1234521396</v>
      </c>
      <c r="Y73" s="220">
        <f t="shared" si="127"/>
        <v>0.1213915302</v>
      </c>
      <c r="Z73" s="221">
        <f t="shared" si="127"/>
        <v>0.128206279</v>
      </c>
      <c r="AA73" s="220">
        <f t="shared" si="127"/>
        <v>0.1112967088</v>
      </c>
      <c r="AB73" s="220">
        <f t="shared" si="127"/>
        <v>0.09897585735</v>
      </c>
      <c r="AC73" s="220">
        <f t="shared" si="127"/>
        <v>0.09818618039</v>
      </c>
      <c r="AD73" s="220">
        <f t="shared" si="127"/>
        <v>0.09299287402</v>
      </c>
      <c r="AE73" s="221">
        <f t="shared" si="127"/>
        <v>0.09990544978</v>
      </c>
      <c r="AF73" s="220">
        <f t="shared" si="127"/>
        <v>0.1484776152</v>
      </c>
      <c r="AG73" s="220">
        <f t="shared" si="127"/>
        <v>0.08656284297</v>
      </c>
      <c r="AH73" s="220">
        <f t="shared" si="127"/>
        <v>0.05541845187</v>
      </c>
      <c r="AI73" s="220">
        <f t="shared" si="127"/>
        <v>0.06074092022</v>
      </c>
      <c r="AJ73" s="221">
        <f t="shared" si="127"/>
        <v>0.08556514024</v>
      </c>
      <c r="AK73" s="220">
        <f t="shared" si="127"/>
        <v>0.08153426816</v>
      </c>
      <c r="AL73" s="220">
        <f t="shared" si="127"/>
        <v>0.07299692329</v>
      </c>
      <c r="AM73" s="220">
        <f t="shared" si="127"/>
        <v>0.0724956015</v>
      </c>
      <c r="AN73" s="220">
        <f t="shared" si="127"/>
        <v>0.06885148208</v>
      </c>
      <c r="AO73" s="221">
        <f t="shared" si="127"/>
        <v>0.07381612083</v>
      </c>
      <c r="AP73" s="165"/>
      <c r="AQ73" s="187"/>
      <c r="AR73" s="188"/>
      <c r="AS73" s="188"/>
      <c r="AT73" s="188"/>
      <c r="AU73" s="164"/>
    </row>
    <row r="74" ht="10.5" customHeight="1">
      <c r="A74" s="183" t="s">
        <v>213</v>
      </c>
      <c r="B74" s="165"/>
      <c r="C74" s="165"/>
      <c r="D74" s="165"/>
      <c r="E74" s="165"/>
      <c r="F74" s="221">
        <f>IFERROR(F72/F11,"na")</f>
        <v>0.4063902177</v>
      </c>
      <c r="G74" s="165"/>
      <c r="H74" s="165"/>
      <c r="I74" s="165"/>
      <c r="J74" s="165"/>
      <c r="K74" s="221">
        <f t="shared" ref="K74:U74" si="128">IFERROR(K72/K11,"na")</f>
        <v>0.4127350307</v>
      </c>
      <c r="L74" s="222">
        <f t="shared" si="128"/>
        <v>0.4229167721</v>
      </c>
      <c r="M74" s="222">
        <f t="shared" si="128"/>
        <v>0.4330246216</v>
      </c>
      <c r="N74" s="222">
        <f t="shared" si="128"/>
        <v>0.4261181492</v>
      </c>
      <c r="O74" s="222">
        <f t="shared" si="128"/>
        <v>0.3971577416</v>
      </c>
      <c r="P74" s="221">
        <f t="shared" si="128"/>
        <v>0.41925048</v>
      </c>
      <c r="Q74" s="222">
        <f t="shared" si="128"/>
        <v>0.4284917763</v>
      </c>
      <c r="R74" s="222">
        <f t="shared" si="128"/>
        <v>0.4356323595</v>
      </c>
      <c r="S74" s="222">
        <f t="shared" si="128"/>
        <v>0.4336265707</v>
      </c>
      <c r="T74" s="222">
        <f t="shared" si="128"/>
        <v>0.4031965463</v>
      </c>
      <c r="U74" s="221">
        <f t="shared" si="128"/>
        <v>0.4246800109</v>
      </c>
      <c r="V74" s="165"/>
      <c r="W74" s="165"/>
      <c r="X74" s="165"/>
      <c r="Y74" s="165"/>
      <c r="Z74" s="221">
        <f>IFERROR(Z72/Z11,"na")</f>
        <v>0.4329219714</v>
      </c>
      <c r="AA74" s="165"/>
      <c r="AB74" s="165"/>
      <c r="AC74" s="165"/>
      <c r="AD74" s="165"/>
      <c r="AE74" s="221">
        <f>IFERROR(AE72/AE11,"na")</f>
        <v>0.4355518207</v>
      </c>
      <c r="AF74" s="165"/>
      <c r="AG74" s="165"/>
      <c r="AH74" s="165"/>
      <c r="AI74" s="165"/>
      <c r="AJ74" s="221">
        <f>IFERROR(AJ72/AJ11,"na")</f>
        <v>0.4372916721</v>
      </c>
      <c r="AK74" s="165"/>
      <c r="AL74" s="165"/>
      <c r="AM74" s="165"/>
      <c r="AN74" s="165"/>
      <c r="AO74" s="221">
        <f>IFERROR(AO72/AO11,"na")</f>
        <v>0.4385126693</v>
      </c>
      <c r="AP74" s="165"/>
      <c r="AQ74" s="187"/>
      <c r="AR74" s="188"/>
      <c r="AS74" s="188"/>
      <c r="AT74" s="188"/>
      <c r="AU74" s="164"/>
    </row>
    <row r="75" ht="10.5" customHeight="1">
      <c r="A75" s="193" t="s">
        <v>187</v>
      </c>
      <c r="B75" s="193">
        <f t="shared" ref="B75:J75" si="129">B30</f>
        <v>7.965</v>
      </c>
      <c r="C75" s="193">
        <f t="shared" si="129"/>
        <v>26.184</v>
      </c>
      <c r="D75" s="193">
        <f t="shared" si="129"/>
        <v>23.746</v>
      </c>
      <c r="E75" s="193">
        <f t="shared" si="129"/>
        <v>19.129</v>
      </c>
      <c r="F75" s="194">
        <f t="shared" si="129"/>
        <v>147.036</v>
      </c>
      <c r="G75" s="193">
        <f t="shared" si="129"/>
        <v>34.973</v>
      </c>
      <c r="H75" s="193">
        <f t="shared" si="129"/>
        <v>49.312</v>
      </c>
      <c r="I75" s="193">
        <f t="shared" si="129"/>
        <v>42.395</v>
      </c>
      <c r="J75" s="193">
        <f t="shared" si="129"/>
        <v>47.563</v>
      </c>
      <c r="K75" s="194">
        <f t="shared" ref="K75:K97" si="137">SUM(G75:J75)</f>
        <v>174.243</v>
      </c>
      <c r="L75" s="193">
        <f t="shared" ref="L75:O75" si="130">L30</f>
        <v>42.079</v>
      </c>
      <c r="M75" s="193">
        <f t="shared" si="130"/>
        <v>58.295</v>
      </c>
      <c r="N75" s="193">
        <f t="shared" si="130"/>
        <v>59.183</v>
      </c>
      <c r="O75" s="193">
        <f t="shared" si="130"/>
        <v>58.51335017</v>
      </c>
      <c r="P75" s="194">
        <f t="shared" ref="P75:P102" si="139">SUM(L75:O75)</f>
        <v>218.0703502</v>
      </c>
      <c r="Q75" s="193">
        <f t="shared" ref="Q75:T75" si="131">Q30</f>
        <v>56.44657112</v>
      </c>
      <c r="R75" s="193">
        <f t="shared" si="131"/>
        <v>80.58400809</v>
      </c>
      <c r="S75" s="193">
        <f t="shared" si="131"/>
        <v>76.1106118</v>
      </c>
      <c r="T75" s="193">
        <f t="shared" si="131"/>
        <v>77.23647891</v>
      </c>
      <c r="U75" s="194">
        <f t="shared" ref="U75:U102" si="141">SUM(Q75:T75)</f>
        <v>290.3776699</v>
      </c>
      <c r="V75" s="193">
        <f t="shared" ref="V75:Y75" si="132">V30</f>
        <v>70.82519003</v>
      </c>
      <c r="W75" s="193">
        <f t="shared" si="132"/>
        <v>96.15066981</v>
      </c>
      <c r="X75" s="193">
        <f t="shared" si="132"/>
        <v>93.2770807</v>
      </c>
      <c r="Y75" s="193">
        <f t="shared" si="132"/>
        <v>92.76161846</v>
      </c>
      <c r="Z75" s="194">
        <f t="shared" ref="Z75:Z102" si="143">SUM(V75:Y75)</f>
        <v>353.014559</v>
      </c>
      <c r="AA75" s="193">
        <f t="shared" ref="AA75:AD75" si="133">AA30</f>
        <v>83.95482906</v>
      </c>
      <c r="AB75" s="193">
        <f t="shared" si="133"/>
        <v>110.4238881</v>
      </c>
      <c r="AC75" s="193">
        <f t="shared" si="133"/>
        <v>107.1251394</v>
      </c>
      <c r="AD75" s="193">
        <f t="shared" si="133"/>
        <v>105.9223516</v>
      </c>
      <c r="AE75" s="194">
        <f t="shared" ref="AE75:AE102" si="145">SUM(AA75:AD75)</f>
        <v>407.4262081</v>
      </c>
      <c r="AF75" s="193">
        <f t="shared" ref="AF75:AI75" si="134">AF30</f>
        <v>103.7099885</v>
      </c>
      <c r="AG75" s="193">
        <f t="shared" si="134"/>
        <v>124.8153885</v>
      </c>
      <c r="AH75" s="193">
        <f t="shared" si="134"/>
        <v>116.7244859</v>
      </c>
      <c r="AI75" s="193">
        <f t="shared" si="134"/>
        <v>116.1643775</v>
      </c>
      <c r="AJ75" s="194">
        <f t="shared" ref="AJ75:AJ102" si="147">SUM(AF75:AI75)</f>
        <v>461.4142404</v>
      </c>
      <c r="AK75" s="193">
        <f t="shared" ref="AK75:AN75" si="135">AK30</f>
        <v>115.1671718</v>
      </c>
      <c r="AL75" s="193">
        <f t="shared" si="135"/>
        <v>136.6377144</v>
      </c>
      <c r="AM75" s="193">
        <f t="shared" si="135"/>
        <v>127.9341777</v>
      </c>
      <c r="AN75" s="193">
        <f t="shared" si="135"/>
        <v>126.7950532</v>
      </c>
      <c r="AO75" s="194">
        <f t="shared" ref="AO75:AO102" si="149">SUM(AK75:AN75)</f>
        <v>506.5341171</v>
      </c>
      <c r="AP75" s="193"/>
      <c r="AQ75" s="193"/>
      <c r="AR75" s="188"/>
      <c r="AS75" s="188"/>
      <c r="AT75" s="188"/>
      <c r="AU75" s="193"/>
    </row>
    <row r="76" ht="10.5" customHeight="1">
      <c r="A76" s="186" t="s">
        <v>177</v>
      </c>
      <c r="B76" s="186">
        <f t="shared" ref="B76:J76" si="136">B28</f>
        <v>9.567</v>
      </c>
      <c r="C76" s="186">
        <f t="shared" si="136"/>
        <v>15.814</v>
      </c>
      <c r="D76" s="186">
        <f t="shared" si="136"/>
        <v>13.474</v>
      </c>
      <c r="E76" s="186">
        <f t="shared" si="136"/>
        <v>19.657</v>
      </c>
      <c r="F76" s="185">
        <f t="shared" si="136"/>
        <v>58.512</v>
      </c>
      <c r="G76" s="186">
        <f t="shared" si="136"/>
        <v>14.324</v>
      </c>
      <c r="H76" s="186">
        <f t="shared" si="136"/>
        <v>18.977</v>
      </c>
      <c r="I76" s="186">
        <f t="shared" si="136"/>
        <v>16.523</v>
      </c>
      <c r="J76" s="186">
        <f t="shared" si="136"/>
        <v>18.619</v>
      </c>
      <c r="K76" s="185">
        <f t="shared" si="137"/>
        <v>68.443</v>
      </c>
      <c r="L76" s="186">
        <f t="shared" ref="L76:O76" si="138">L28</f>
        <v>16.216</v>
      </c>
      <c r="M76" s="186">
        <f t="shared" si="138"/>
        <v>24.93</v>
      </c>
      <c r="N76" s="186">
        <f t="shared" si="138"/>
        <v>27.974</v>
      </c>
      <c r="O76" s="186">
        <f t="shared" si="138"/>
        <v>22.41797787</v>
      </c>
      <c r="P76" s="185">
        <f t="shared" si="139"/>
        <v>91.53797787</v>
      </c>
      <c r="Q76" s="186">
        <f t="shared" ref="Q76:T76" si="140">Q28</f>
        <v>22.0604819</v>
      </c>
      <c r="R76" s="186">
        <f t="shared" si="140"/>
        <v>31.49388912</v>
      </c>
      <c r="S76" s="186">
        <f t="shared" si="140"/>
        <v>29.74559376</v>
      </c>
      <c r="T76" s="186">
        <f t="shared" si="140"/>
        <v>30.1856058</v>
      </c>
      <c r="U76" s="185">
        <f t="shared" si="141"/>
        <v>113.4855706</v>
      </c>
      <c r="V76" s="186">
        <f t="shared" ref="V76:Y76" si="142">V28</f>
        <v>27.67994214</v>
      </c>
      <c r="W76" s="186">
        <f t="shared" si="142"/>
        <v>37.57766094</v>
      </c>
      <c r="X76" s="186">
        <f t="shared" si="142"/>
        <v>36.45460317</v>
      </c>
      <c r="Y76" s="186">
        <f t="shared" si="142"/>
        <v>36.25314991</v>
      </c>
      <c r="Z76" s="185">
        <f t="shared" si="143"/>
        <v>137.9653562</v>
      </c>
      <c r="AA76" s="186">
        <f t="shared" ref="AA76:AD76" si="144">AA28</f>
        <v>32.81127534</v>
      </c>
      <c r="AB76" s="186">
        <f t="shared" si="144"/>
        <v>43.15592844</v>
      </c>
      <c r="AC76" s="186">
        <f t="shared" si="144"/>
        <v>41.86670956</v>
      </c>
      <c r="AD76" s="186">
        <f t="shared" si="144"/>
        <v>41.39663531</v>
      </c>
      <c r="AE76" s="185">
        <f t="shared" si="145"/>
        <v>159.2305486</v>
      </c>
      <c r="AF76" s="186">
        <f t="shared" ref="AF76:AI76" si="146">AF28</f>
        <v>40.5319983</v>
      </c>
      <c r="AG76" s="186">
        <f t="shared" si="146"/>
        <v>48.78042305</v>
      </c>
      <c r="AH76" s="186">
        <f t="shared" si="146"/>
        <v>45.61833178</v>
      </c>
      <c r="AI76" s="186">
        <f t="shared" si="146"/>
        <v>45.39942986</v>
      </c>
      <c r="AJ76" s="185">
        <f t="shared" si="147"/>
        <v>180.330183</v>
      </c>
      <c r="AK76" s="186">
        <f t="shared" ref="AK76:AN76" si="148">AK28</f>
        <v>45.00970135</v>
      </c>
      <c r="AL76" s="186">
        <f t="shared" si="148"/>
        <v>53.40083136</v>
      </c>
      <c r="AM76" s="186">
        <f t="shared" si="148"/>
        <v>49.99931007</v>
      </c>
      <c r="AN76" s="186">
        <f t="shared" si="148"/>
        <v>49.55411676</v>
      </c>
      <c r="AO76" s="185">
        <f t="shared" si="149"/>
        <v>197.9639596</v>
      </c>
      <c r="AP76" s="186"/>
      <c r="AQ76" s="186"/>
      <c r="AR76" s="188"/>
      <c r="AS76" s="188"/>
      <c r="AT76" s="188"/>
      <c r="AU76" s="186"/>
    </row>
    <row r="77" ht="10.5" customHeight="1">
      <c r="A77" s="193" t="s">
        <v>69</v>
      </c>
      <c r="B77" s="193">
        <f t="shared" ref="B77:J77" si="150">SUM(B78:B102)</f>
        <v>14.774</v>
      </c>
      <c r="C77" s="193">
        <f t="shared" si="150"/>
        <v>17.827</v>
      </c>
      <c r="D77" s="193">
        <f t="shared" si="150"/>
        <v>15.112</v>
      </c>
      <c r="E77" s="193">
        <f t="shared" si="150"/>
        <v>15.307</v>
      </c>
      <c r="F77" s="194">
        <f t="shared" si="150"/>
        <v>63.02</v>
      </c>
      <c r="G77" s="193">
        <f t="shared" si="150"/>
        <v>14.419</v>
      </c>
      <c r="H77" s="193">
        <f t="shared" si="150"/>
        <v>15.523</v>
      </c>
      <c r="I77" s="193">
        <f t="shared" si="150"/>
        <v>14.884</v>
      </c>
      <c r="J77" s="193">
        <f t="shared" si="150"/>
        <v>14.405</v>
      </c>
      <c r="K77" s="194">
        <f t="shared" si="137"/>
        <v>59.231</v>
      </c>
      <c r="L77" s="193">
        <f t="shared" ref="L77:O77" si="151">SUM(L78:L102)</f>
        <v>9.222</v>
      </c>
      <c r="M77" s="193">
        <f t="shared" si="151"/>
        <v>14.642</v>
      </c>
      <c r="N77" s="193">
        <f t="shared" si="151"/>
        <v>3.273</v>
      </c>
      <c r="O77" s="193">
        <f t="shared" si="151"/>
        <v>10.918</v>
      </c>
      <c r="P77" s="194">
        <f t="shared" si="139"/>
        <v>38.055</v>
      </c>
      <c r="Q77" s="193">
        <f t="shared" ref="Q77:T77" si="152">SUM(Q78:Q102)</f>
        <v>9.178</v>
      </c>
      <c r="R77" s="193">
        <f t="shared" si="152"/>
        <v>9.178</v>
      </c>
      <c r="S77" s="193">
        <f t="shared" si="152"/>
        <v>9.178</v>
      </c>
      <c r="T77" s="193">
        <f t="shared" si="152"/>
        <v>10.918</v>
      </c>
      <c r="U77" s="194">
        <f t="shared" si="141"/>
        <v>38.452</v>
      </c>
      <c r="V77" s="193">
        <f t="shared" ref="V77:Y77" si="153">SUM(V78:V102)</f>
        <v>10</v>
      </c>
      <c r="W77" s="193">
        <f t="shared" si="153"/>
        <v>11</v>
      </c>
      <c r="X77" s="193">
        <f t="shared" si="153"/>
        <v>10</v>
      </c>
      <c r="Y77" s="193">
        <f t="shared" si="153"/>
        <v>10.918</v>
      </c>
      <c r="Z77" s="194">
        <f t="shared" si="143"/>
        <v>41.918</v>
      </c>
      <c r="AA77" s="193">
        <f t="shared" ref="AA77:AD77" si="154">SUM(AA78:AA102)</f>
        <v>10</v>
      </c>
      <c r="AB77" s="193">
        <f t="shared" si="154"/>
        <v>11</v>
      </c>
      <c r="AC77" s="193">
        <f t="shared" si="154"/>
        <v>10</v>
      </c>
      <c r="AD77" s="193">
        <f t="shared" si="154"/>
        <v>10.918</v>
      </c>
      <c r="AE77" s="194">
        <f t="shared" si="145"/>
        <v>41.918</v>
      </c>
      <c r="AF77" s="193">
        <f t="shared" ref="AF77:AI77" si="155">SUM(AF78:AF102)</f>
        <v>10</v>
      </c>
      <c r="AG77" s="193">
        <f t="shared" si="155"/>
        <v>11</v>
      </c>
      <c r="AH77" s="193">
        <f t="shared" si="155"/>
        <v>10</v>
      </c>
      <c r="AI77" s="193">
        <f t="shared" si="155"/>
        <v>10.918</v>
      </c>
      <c r="AJ77" s="194">
        <f t="shared" si="147"/>
        <v>41.918</v>
      </c>
      <c r="AK77" s="193">
        <f t="shared" ref="AK77:AN77" si="156">SUM(AK78:AK102)</f>
        <v>10</v>
      </c>
      <c r="AL77" s="193">
        <f t="shared" si="156"/>
        <v>11</v>
      </c>
      <c r="AM77" s="193">
        <f t="shared" si="156"/>
        <v>10</v>
      </c>
      <c r="AN77" s="193">
        <f t="shared" si="156"/>
        <v>10.918</v>
      </c>
      <c r="AO77" s="194">
        <f t="shared" si="149"/>
        <v>41.918</v>
      </c>
      <c r="AP77" s="193"/>
      <c r="AQ77" s="193"/>
      <c r="AR77" s="188"/>
      <c r="AS77" s="188"/>
      <c r="AT77" s="188"/>
      <c r="AU77" s="193"/>
    </row>
    <row r="78" ht="10.5" customHeight="1" outlineLevel="1">
      <c r="A78" s="186" t="s">
        <v>188</v>
      </c>
      <c r="B78" s="186">
        <f t="shared" ref="B78:E78" si="157">B49</f>
        <v>0.086</v>
      </c>
      <c r="C78" s="186">
        <f t="shared" si="157"/>
        <v>0.247</v>
      </c>
      <c r="D78" s="186">
        <f t="shared" si="157"/>
        <v>0.045</v>
      </c>
      <c r="E78" s="186">
        <f t="shared" si="157"/>
        <v>0.137</v>
      </c>
      <c r="F78" s="185">
        <f t="shared" ref="F78:F91" si="166">SUM(B78:E78)</f>
        <v>0.515</v>
      </c>
      <c r="G78" s="186">
        <f t="shared" ref="G78:J78" si="158">G49</f>
        <v>0.02</v>
      </c>
      <c r="H78" s="186">
        <f t="shared" si="158"/>
        <v>0.042</v>
      </c>
      <c r="I78" s="186">
        <f t="shared" si="158"/>
        <v>0.029</v>
      </c>
      <c r="J78" s="186">
        <f t="shared" si="158"/>
        <v>0</v>
      </c>
      <c r="K78" s="185">
        <f t="shared" si="137"/>
        <v>0.091</v>
      </c>
      <c r="L78" s="186">
        <f t="shared" ref="L78:O78" si="159">L49</f>
        <v>0</v>
      </c>
      <c r="M78" s="186">
        <f t="shared" si="159"/>
        <v>0</v>
      </c>
      <c r="N78" s="186">
        <f t="shared" si="159"/>
        <v>0</v>
      </c>
      <c r="O78" s="186">
        <f t="shared" si="159"/>
        <v>0</v>
      </c>
      <c r="P78" s="185">
        <f t="shared" si="139"/>
        <v>0</v>
      </c>
      <c r="Q78" s="186">
        <f t="shared" ref="Q78:T78" si="160">Q49</f>
        <v>0</v>
      </c>
      <c r="R78" s="186">
        <f t="shared" si="160"/>
        <v>0</v>
      </c>
      <c r="S78" s="186">
        <f t="shared" si="160"/>
        <v>0</v>
      </c>
      <c r="T78" s="186">
        <f t="shared" si="160"/>
        <v>0</v>
      </c>
      <c r="U78" s="185">
        <f t="shared" si="141"/>
        <v>0</v>
      </c>
      <c r="V78" s="186">
        <f t="shared" ref="V78:Y78" si="161">V49</f>
        <v>0</v>
      </c>
      <c r="W78" s="186">
        <f t="shared" si="161"/>
        <v>0</v>
      </c>
      <c r="X78" s="186">
        <f t="shared" si="161"/>
        <v>0</v>
      </c>
      <c r="Y78" s="186">
        <f t="shared" si="161"/>
        <v>0</v>
      </c>
      <c r="Z78" s="185">
        <f t="shared" si="143"/>
        <v>0</v>
      </c>
      <c r="AA78" s="186">
        <f t="shared" ref="AA78:AD78" si="162">AA49</f>
        <v>0</v>
      </c>
      <c r="AB78" s="186">
        <f t="shared" si="162"/>
        <v>0</v>
      </c>
      <c r="AC78" s="186">
        <f t="shared" si="162"/>
        <v>0</v>
      </c>
      <c r="AD78" s="186">
        <f t="shared" si="162"/>
        <v>0</v>
      </c>
      <c r="AE78" s="185">
        <f t="shared" si="145"/>
        <v>0</v>
      </c>
      <c r="AF78" s="186">
        <f t="shared" ref="AF78:AI78" si="163">AF49</f>
        <v>0</v>
      </c>
      <c r="AG78" s="186">
        <f t="shared" si="163"/>
        <v>0</v>
      </c>
      <c r="AH78" s="186">
        <f t="shared" si="163"/>
        <v>0</v>
      </c>
      <c r="AI78" s="186">
        <f t="shared" si="163"/>
        <v>0</v>
      </c>
      <c r="AJ78" s="185">
        <f t="shared" si="147"/>
        <v>0</v>
      </c>
      <c r="AK78" s="186">
        <f t="shared" ref="AK78:AN78" si="164">AK49</f>
        <v>0</v>
      </c>
      <c r="AL78" s="186">
        <f t="shared" si="164"/>
        <v>0</v>
      </c>
      <c r="AM78" s="186">
        <f t="shared" si="164"/>
        <v>0</v>
      </c>
      <c r="AN78" s="186">
        <f t="shared" si="164"/>
        <v>0</v>
      </c>
      <c r="AO78" s="185">
        <f t="shared" si="149"/>
        <v>0</v>
      </c>
      <c r="AP78" s="186"/>
      <c r="AQ78" s="186"/>
      <c r="AR78" s="188"/>
      <c r="AS78" s="188"/>
      <c r="AT78" s="188"/>
      <c r="AU78" s="186"/>
    </row>
    <row r="79" ht="10.5" customHeight="1" outlineLevel="1">
      <c r="A79" s="186" t="s">
        <v>189</v>
      </c>
      <c r="B79" s="186">
        <f t="shared" ref="B79:E79" si="165">B50</f>
        <v>0.104</v>
      </c>
      <c r="C79" s="186">
        <f t="shared" si="165"/>
        <v>0.184</v>
      </c>
      <c r="D79" s="186">
        <f t="shared" si="165"/>
        <v>0.173</v>
      </c>
      <c r="E79" s="186">
        <f t="shared" si="165"/>
        <v>0.177</v>
      </c>
      <c r="F79" s="185">
        <f t="shared" si="166"/>
        <v>0.638</v>
      </c>
      <c r="G79" s="186">
        <f t="shared" ref="G79:J79" si="167">G50</f>
        <v>0.171</v>
      </c>
      <c r="H79" s="186">
        <f t="shared" si="167"/>
        <v>0.171</v>
      </c>
      <c r="I79" s="186">
        <f t="shared" si="167"/>
        <v>0.17</v>
      </c>
      <c r="J79" s="186">
        <f t="shared" si="167"/>
        <v>0</v>
      </c>
      <c r="K79" s="185">
        <f t="shared" si="137"/>
        <v>0.512</v>
      </c>
      <c r="L79" s="186">
        <f t="shared" ref="L79:O79" si="168">L50</f>
        <v>0</v>
      </c>
      <c r="M79" s="186">
        <f t="shared" si="168"/>
        <v>0</v>
      </c>
      <c r="N79" s="186">
        <f t="shared" si="168"/>
        <v>0</v>
      </c>
      <c r="O79" s="186">
        <f t="shared" si="168"/>
        <v>0</v>
      </c>
      <c r="P79" s="185">
        <f t="shared" si="139"/>
        <v>0</v>
      </c>
      <c r="Q79" s="186">
        <f t="shared" ref="Q79:T79" si="169">Q50</f>
        <v>0</v>
      </c>
      <c r="R79" s="186">
        <f t="shared" si="169"/>
        <v>0</v>
      </c>
      <c r="S79" s="186">
        <f t="shared" si="169"/>
        <v>0</v>
      </c>
      <c r="T79" s="186">
        <f t="shared" si="169"/>
        <v>0</v>
      </c>
      <c r="U79" s="185">
        <f t="shared" si="141"/>
        <v>0</v>
      </c>
      <c r="V79" s="186">
        <f t="shared" ref="V79:Y79" si="170">V50</f>
        <v>0</v>
      </c>
      <c r="W79" s="186">
        <f t="shared" si="170"/>
        <v>0</v>
      </c>
      <c r="X79" s="186">
        <f t="shared" si="170"/>
        <v>0</v>
      </c>
      <c r="Y79" s="186">
        <f t="shared" si="170"/>
        <v>0</v>
      </c>
      <c r="Z79" s="185">
        <f t="shared" si="143"/>
        <v>0</v>
      </c>
      <c r="AA79" s="186">
        <f t="shared" ref="AA79:AD79" si="171">AA50</f>
        <v>0</v>
      </c>
      <c r="AB79" s="186">
        <f t="shared" si="171"/>
        <v>0</v>
      </c>
      <c r="AC79" s="186">
        <f t="shared" si="171"/>
        <v>0</v>
      </c>
      <c r="AD79" s="186">
        <f t="shared" si="171"/>
        <v>0</v>
      </c>
      <c r="AE79" s="185">
        <f t="shared" si="145"/>
        <v>0</v>
      </c>
      <c r="AF79" s="186">
        <f t="shared" ref="AF79:AI79" si="172">AF50</f>
        <v>0</v>
      </c>
      <c r="AG79" s="186">
        <f t="shared" si="172"/>
        <v>0</v>
      </c>
      <c r="AH79" s="186">
        <f t="shared" si="172"/>
        <v>0</v>
      </c>
      <c r="AI79" s="186">
        <f t="shared" si="172"/>
        <v>0</v>
      </c>
      <c r="AJ79" s="185">
        <f t="shared" si="147"/>
        <v>0</v>
      </c>
      <c r="AK79" s="186">
        <f t="shared" ref="AK79:AN79" si="173">AK50</f>
        <v>0</v>
      </c>
      <c r="AL79" s="186">
        <f t="shared" si="173"/>
        <v>0</v>
      </c>
      <c r="AM79" s="186">
        <f t="shared" si="173"/>
        <v>0</v>
      </c>
      <c r="AN79" s="186">
        <f t="shared" si="173"/>
        <v>0</v>
      </c>
      <c r="AO79" s="185">
        <f t="shared" si="149"/>
        <v>0</v>
      </c>
      <c r="AP79" s="186"/>
      <c r="AQ79" s="186"/>
      <c r="AR79" s="188"/>
      <c r="AS79" s="188"/>
      <c r="AT79" s="188"/>
      <c r="AU79" s="186"/>
    </row>
    <row r="80" ht="10.5" customHeight="1" outlineLevel="1">
      <c r="A80" s="186" t="s">
        <v>193</v>
      </c>
      <c r="B80" s="186">
        <f t="shared" ref="B80:E80" si="174">B54</f>
        <v>0</v>
      </c>
      <c r="C80" s="186">
        <f t="shared" si="174"/>
        <v>0.11</v>
      </c>
      <c r="D80" s="186">
        <f t="shared" si="174"/>
        <v>0</v>
      </c>
      <c r="E80" s="186">
        <f t="shared" si="174"/>
        <v>0</v>
      </c>
      <c r="F80" s="185">
        <f t="shared" si="166"/>
        <v>0.11</v>
      </c>
      <c r="G80" s="186">
        <f t="shared" ref="G80:J80" si="175">G54</f>
        <v>0</v>
      </c>
      <c r="H80" s="186">
        <f t="shared" si="175"/>
        <v>0</v>
      </c>
      <c r="I80" s="186">
        <f t="shared" si="175"/>
        <v>0</v>
      </c>
      <c r="J80" s="186">
        <f t="shared" si="175"/>
        <v>0</v>
      </c>
      <c r="K80" s="185">
        <f t="shared" si="137"/>
        <v>0</v>
      </c>
      <c r="L80" s="186">
        <f t="shared" ref="L80:O80" si="176">L54</f>
        <v>0</v>
      </c>
      <c r="M80" s="186">
        <f t="shared" si="176"/>
        <v>0</v>
      </c>
      <c r="N80" s="186">
        <f t="shared" si="176"/>
        <v>0</v>
      </c>
      <c r="O80" s="186">
        <f t="shared" si="176"/>
        <v>0</v>
      </c>
      <c r="P80" s="185">
        <f t="shared" si="139"/>
        <v>0</v>
      </c>
      <c r="Q80" s="186">
        <f t="shared" ref="Q80:T80" si="177">Q54</f>
        <v>0</v>
      </c>
      <c r="R80" s="186">
        <f t="shared" si="177"/>
        <v>0</v>
      </c>
      <c r="S80" s="186">
        <f t="shared" si="177"/>
        <v>0</v>
      </c>
      <c r="T80" s="186">
        <f t="shared" si="177"/>
        <v>0</v>
      </c>
      <c r="U80" s="185">
        <f t="shared" si="141"/>
        <v>0</v>
      </c>
      <c r="V80" s="186">
        <f t="shared" ref="V80:Y80" si="178">V54</f>
        <v>0</v>
      </c>
      <c r="W80" s="186">
        <f t="shared" si="178"/>
        <v>0</v>
      </c>
      <c r="X80" s="186">
        <f t="shared" si="178"/>
        <v>0</v>
      </c>
      <c r="Y80" s="186">
        <f t="shared" si="178"/>
        <v>0</v>
      </c>
      <c r="Z80" s="185">
        <f t="shared" si="143"/>
        <v>0</v>
      </c>
      <c r="AA80" s="186">
        <f t="shared" ref="AA80:AD80" si="179">AA54</f>
        <v>0</v>
      </c>
      <c r="AB80" s="186">
        <f t="shared" si="179"/>
        <v>0</v>
      </c>
      <c r="AC80" s="186">
        <f t="shared" si="179"/>
        <v>0</v>
      </c>
      <c r="AD80" s="186">
        <f t="shared" si="179"/>
        <v>0</v>
      </c>
      <c r="AE80" s="185">
        <f t="shared" si="145"/>
        <v>0</v>
      </c>
      <c r="AF80" s="186">
        <f t="shared" ref="AF80:AI80" si="180">AF54</f>
        <v>0</v>
      </c>
      <c r="AG80" s="186">
        <f t="shared" si="180"/>
        <v>0</v>
      </c>
      <c r="AH80" s="186">
        <f t="shared" si="180"/>
        <v>0</v>
      </c>
      <c r="AI80" s="186">
        <f t="shared" si="180"/>
        <v>0</v>
      </c>
      <c r="AJ80" s="185">
        <f t="shared" si="147"/>
        <v>0</v>
      </c>
      <c r="AK80" s="186">
        <f t="shared" ref="AK80:AN80" si="181">AK54</f>
        <v>0</v>
      </c>
      <c r="AL80" s="186">
        <f t="shared" si="181"/>
        <v>0</v>
      </c>
      <c r="AM80" s="186">
        <f t="shared" si="181"/>
        <v>0</v>
      </c>
      <c r="AN80" s="186">
        <f t="shared" si="181"/>
        <v>0</v>
      </c>
      <c r="AO80" s="185">
        <f t="shared" si="149"/>
        <v>0</v>
      </c>
      <c r="AP80" s="186"/>
      <c r="AQ80" s="186"/>
      <c r="AR80" s="188"/>
      <c r="AS80" s="188"/>
      <c r="AT80" s="188"/>
      <c r="AU80" s="186"/>
    </row>
    <row r="81" ht="10.5" customHeight="1" outlineLevel="1">
      <c r="A81" s="186" t="s">
        <v>194</v>
      </c>
      <c r="B81" s="186">
        <f t="shared" ref="B81:E81" si="182">B55</f>
        <v>0</v>
      </c>
      <c r="C81" s="186">
        <f t="shared" si="182"/>
        <v>0</v>
      </c>
      <c r="D81" s="186">
        <f t="shared" si="182"/>
        <v>0</v>
      </c>
      <c r="E81" s="186">
        <f t="shared" si="182"/>
        <v>0</v>
      </c>
      <c r="F81" s="185">
        <f t="shared" si="166"/>
        <v>0</v>
      </c>
      <c r="G81" s="186">
        <f t="shared" ref="G81:J81" si="183">G55</f>
        <v>0</v>
      </c>
      <c r="H81" s="186">
        <f t="shared" si="183"/>
        <v>0</v>
      </c>
      <c r="I81" s="186">
        <f t="shared" si="183"/>
        <v>0</v>
      </c>
      <c r="J81" s="186">
        <f t="shared" si="183"/>
        <v>0</v>
      </c>
      <c r="K81" s="185">
        <f t="shared" si="137"/>
        <v>0</v>
      </c>
      <c r="L81" s="186">
        <f t="shared" ref="L81:O81" si="184">L55</f>
        <v>0</v>
      </c>
      <c r="M81" s="186">
        <f t="shared" si="184"/>
        <v>0</v>
      </c>
      <c r="N81" s="186">
        <f t="shared" si="184"/>
        <v>0</v>
      </c>
      <c r="O81" s="186">
        <f t="shared" si="184"/>
        <v>0</v>
      </c>
      <c r="P81" s="185">
        <f t="shared" si="139"/>
        <v>0</v>
      </c>
      <c r="Q81" s="186">
        <f t="shared" ref="Q81:T81" si="185">Q55</f>
        <v>0</v>
      </c>
      <c r="R81" s="186">
        <f t="shared" si="185"/>
        <v>0</v>
      </c>
      <c r="S81" s="186">
        <f t="shared" si="185"/>
        <v>0</v>
      </c>
      <c r="T81" s="186">
        <f t="shared" si="185"/>
        <v>0</v>
      </c>
      <c r="U81" s="185">
        <f t="shared" si="141"/>
        <v>0</v>
      </c>
      <c r="V81" s="186">
        <f t="shared" ref="V81:Y81" si="186">V55</f>
        <v>0</v>
      </c>
      <c r="W81" s="186">
        <f t="shared" si="186"/>
        <v>0</v>
      </c>
      <c r="X81" s="186">
        <f t="shared" si="186"/>
        <v>0</v>
      </c>
      <c r="Y81" s="186">
        <f t="shared" si="186"/>
        <v>0</v>
      </c>
      <c r="Z81" s="185">
        <f t="shared" si="143"/>
        <v>0</v>
      </c>
      <c r="AA81" s="186">
        <f t="shared" ref="AA81:AD81" si="187">AA55</f>
        <v>0</v>
      </c>
      <c r="AB81" s="186">
        <f t="shared" si="187"/>
        <v>0</v>
      </c>
      <c r="AC81" s="186">
        <f t="shared" si="187"/>
        <v>0</v>
      </c>
      <c r="AD81" s="186">
        <f t="shared" si="187"/>
        <v>0</v>
      </c>
      <c r="AE81" s="185">
        <f t="shared" si="145"/>
        <v>0</v>
      </c>
      <c r="AF81" s="186">
        <f t="shared" ref="AF81:AI81" si="188">AF55</f>
        <v>0</v>
      </c>
      <c r="AG81" s="186">
        <f t="shared" si="188"/>
        <v>0</v>
      </c>
      <c r="AH81" s="186">
        <f t="shared" si="188"/>
        <v>0</v>
      </c>
      <c r="AI81" s="186">
        <f t="shared" si="188"/>
        <v>0</v>
      </c>
      <c r="AJ81" s="185">
        <f t="shared" si="147"/>
        <v>0</v>
      </c>
      <c r="AK81" s="186">
        <f t="shared" ref="AK81:AN81" si="189">AK55</f>
        <v>0</v>
      </c>
      <c r="AL81" s="186">
        <f t="shared" si="189"/>
        <v>0</v>
      </c>
      <c r="AM81" s="186">
        <f t="shared" si="189"/>
        <v>0</v>
      </c>
      <c r="AN81" s="186">
        <f t="shared" si="189"/>
        <v>0</v>
      </c>
      <c r="AO81" s="185">
        <f t="shared" si="149"/>
        <v>0</v>
      </c>
      <c r="AP81" s="186"/>
      <c r="AQ81" s="186"/>
      <c r="AR81" s="188"/>
      <c r="AS81" s="188"/>
      <c r="AT81" s="188"/>
      <c r="AU81" s="186"/>
    </row>
    <row r="82" ht="10.5" customHeight="1" outlineLevel="1">
      <c r="A82" s="186" t="s">
        <v>195</v>
      </c>
      <c r="B82" s="186">
        <f t="shared" ref="B82:E82" si="190">B56</f>
        <v>0.394</v>
      </c>
      <c r="C82" s="186">
        <f t="shared" si="190"/>
        <v>0</v>
      </c>
      <c r="D82" s="186">
        <f t="shared" si="190"/>
        <v>0</v>
      </c>
      <c r="E82" s="186">
        <f t="shared" si="190"/>
        <v>0</v>
      </c>
      <c r="F82" s="185">
        <f t="shared" si="166"/>
        <v>0.394</v>
      </c>
      <c r="G82" s="186">
        <f t="shared" ref="G82:J82" si="191">G56</f>
        <v>0</v>
      </c>
      <c r="H82" s="186">
        <f t="shared" si="191"/>
        <v>0</v>
      </c>
      <c r="I82" s="186">
        <f t="shared" si="191"/>
        <v>0</v>
      </c>
      <c r="J82" s="186">
        <f t="shared" si="191"/>
        <v>0</v>
      </c>
      <c r="K82" s="185">
        <f t="shared" si="137"/>
        <v>0</v>
      </c>
      <c r="L82" s="186">
        <f t="shared" ref="L82:O82" si="192">L56</f>
        <v>0</v>
      </c>
      <c r="M82" s="186">
        <f t="shared" si="192"/>
        <v>0</v>
      </c>
      <c r="N82" s="186">
        <f t="shared" si="192"/>
        <v>0</v>
      </c>
      <c r="O82" s="186">
        <f t="shared" si="192"/>
        <v>0</v>
      </c>
      <c r="P82" s="185">
        <f t="shared" si="139"/>
        <v>0</v>
      </c>
      <c r="Q82" s="186">
        <f t="shared" ref="Q82:T82" si="193">Q56</f>
        <v>0</v>
      </c>
      <c r="R82" s="186">
        <f t="shared" si="193"/>
        <v>0</v>
      </c>
      <c r="S82" s="186">
        <f t="shared" si="193"/>
        <v>0</v>
      </c>
      <c r="T82" s="186">
        <f t="shared" si="193"/>
        <v>0</v>
      </c>
      <c r="U82" s="185">
        <f t="shared" si="141"/>
        <v>0</v>
      </c>
      <c r="V82" s="186">
        <f t="shared" ref="V82:Y82" si="194">V56</f>
        <v>0</v>
      </c>
      <c r="W82" s="186">
        <f t="shared" si="194"/>
        <v>0</v>
      </c>
      <c r="X82" s="186">
        <f t="shared" si="194"/>
        <v>0</v>
      </c>
      <c r="Y82" s="186">
        <f t="shared" si="194"/>
        <v>0</v>
      </c>
      <c r="Z82" s="185">
        <f t="shared" si="143"/>
        <v>0</v>
      </c>
      <c r="AA82" s="186">
        <f t="shared" ref="AA82:AD82" si="195">AA56</f>
        <v>0</v>
      </c>
      <c r="AB82" s="186">
        <f t="shared" si="195"/>
        <v>0</v>
      </c>
      <c r="AC82" s="186">
        <f t="shared" si="195"/>
        <v>0</v>
      </c>
      <c r="AD82" s="186">
        <f t="shared" si="195"/>
        <v>0</v>
      </c>
      <c r="AE82" s="185">
        <f t="shared" si="145"/>
        <v>0</v>
      </c>
      <c r="AF82" s="186">
        <f t="shared" ref="AF82:AI82" si="196">AF56</f>
        <v>0</v>
      </c>
      <c r="AG82" s="186">
        <f t="shared" si="196"/>
        <v>0</v>
      </c>
      <c r="AH82" s="186">
        <f t="shared" si="196"/>
        <v>0</v>
      </c>
      <c r="AI82" s="186">
        <f t="shared" si="196"/>
        <v>0</v>
      </c>
      <c r="AJ82" s="185">
        <f t="shared" si="147"/>
        <v>0</v>
      </c>
      <c r="AK82" s="186">
        <f t="shared" ref="AK82:AN82" si="197">AK56</f>
        <v>0</v>
      </c>
      <c r="AL82" s="186">
        <f t="shared" si="197"/>
        <v>0</v>
      </c>
      <c r="AM82" s="186">
        <f t="shared" si="197"/>
        <v>0</v>
      </c>
      <c r="AN82" s="186">
        <f t="shared" si="197"/>
        <v>0</v>
      </c>
      <c r="AO82" s="185">
        <f t="shared" si="149"/>
        <v>0</v>
      </c>
      <c r="AP82" s="186"/>
      <c r="AQ82" s="186"/>
      <c r="AR82" s="188"/>
      <c r="AS82" s="188"/>
      <c r="AT82" s="188"/>
      <c r="AU82" s="186"/>
    </row>
    <row r="83" ht="10.5" customHeight="1" outlineLevel="1">
      <c r="A83" s="186" t="s">
        <v>197</v>
      </c>
      <c r="B83" s="186">
        <f t="shared" ref="B83:E83" si="198">B58</f>
        <v>0</v>
      </c>
      <c r="C83" s="186">
        <f t="shared" si="198"/>
        <v>1.22</v>
      </c>
      <c r="D83" s="186">
        <f t="shared" si="198"/>
        <v>0</v>
      </c>
      <c r="E83" s="186">
        <f t="shared" si="198"/>
        <v>0</v>
      </c>
      <c r="F83" s="185">
        <f t="shared" si="166"/>
        <v>1.22</v>
      </c>
      <c r="G83" s="186">
        <f t="shared" ref="G83:J83" si="199">G58</f>
        <v>1.602</v>
      </c>
      <c r="H83" s="186">
        <f t="shared" si="199"/>
        <v>0</v>
      </c>
      <c r="I83" s="186">
        <f t="shared" si="199"/>
        <v>0</v>
      </c>
      <c r="J83" s="186">
        <f t="shared" si="199"/>
        <v>0</v>
      </c>
      <c r="K83" s="185">
        <f t="shared" si="137"/>
        <v>1.602</v>
      </c>
      <c r="L83" s="186">
        <f t="shared" ref="L83:O83" si="200">L58</f>
        <v>0.597</v>
      </c>
      <c r="M83" s="186">
        <f t="shared" si="200"/>
        <v>0.052</v>
      </c>
      <c r="N83" s="186">
        <f t="shared" si="200"/>
        <v>0</v>
      </c>
      <c r="O83" s="186">
        <f t="shared" si="200"/>
        <v>0</v>
      </c>
      <c r="P83" s="185">
        <f t="shared" si="139"/>
        <v>0.649</v>
      </c>
      <c r="Q83" s="186">
        <f t="shared" ref="Q83:T83" si="201">Q58</f>
        <v>0</v>
      </c>
      <c r="R83" s="186">
        <f t="shared" si="201"/>
        <v>0</v>
      </c>
      <c r="S83" s="186">
        <f t="shared" si="201"/>
        <v>0</v>
      </c>
      <c r="T83" s="186">
        <f t="shared" si="201"/>
        <v>0</v>
      </c>
      <c r="U83" s="185">
        <f t="shared" si="141"/>
        <v>0</v>
      </c>
      <c r="V83" s="186">
        <f t="shared" ref="V83:Y83" si="202">V58</f>
        <v>0</v>
      </c>
      <c r="W83" s="186">
        <f t="shared" si="202"/>
        <v>0</v>
      </c>
      <c r="X83" s="186">
        <f t="shared" si="202"/>
        <v>0</v>
      </c>
      <c r="Y83" s="186">
        <f t="shared" si="202"/>
        <v>0</v>
      </c>
      <c r="Z83" s="185">
        <f t="shared" si="143"/>
        <v>0</v>
      </c>
      <c r="AA83" s="186">
        <f t="shared" ref="AA83:AD83" si="203">AA58</f>
        <v>0</v>
      </c>
      <c r="AB83" s="186">
        <f t="shared" si="203"/>
        <v>0</v>
      </c>
      <c r="AC83" s="186">
        <f t="shared" si="203"/>
        <v>0</v>
      </c>
      <c r="AD83" s="186">
        <f t="shared" si="203"/>
        <v>0</v>
      </c>
      <c r="AE83" s="185">
        <f t="shared" si="145"/>
        <v>0</v>
      </c>
      <c r="AF83" s="186">
        <f t="shared" ref="AF83:AI83" si="204">AF58</f>
        <v>0</v>
      </c>
      <c r="AG83" s="186">
        <f t="shared" si="204"/>
        <v>0</v>
      </c>
      <c r="AH83" s="186">
        <f t="shared" si="204"/>
        <v>0</v>
      </c>
      <c r="AI83" s="186">
        <f t="shared" si="204"/>
        <v>0</v>
      </c>
      <c r="AJ83" s="185">
        <f t="shared" si="147"/>
        <v>0</v>
      </c>
      <c r="AK83" s="186">
        <f t="shared" ref="AK83:AN83" si="205">AK58</f>
        <v>0</v>
      </c>
      <c r="AL83" s="186">
        <f t="shared" si="205"/>
        <v>0</v>
      </c>
      <c r="AM83" s="186">
        <f t="shared" si="205"/>
        <v>0</v>
      </c>
      <c r="AN83" s="186">
        <f t="shared" si="205"/>
        <v>0</v>
      </c>
      <c r="AO83" s="185">
        <f t="shared" si="149"/>
        <v>0</v>
      </c>
      <c r="AP83" s="186"/>
      <c r="AQ83" s="186"/>
      <c r="AR83" s="188"/>
      <c r="AS83" s="188"/>
      <c r="AT83" s="188"/>
      <c r="AU83" s="186"/>
    </row>
    <row r="84" ht="10.5" customHeight="1" outlineLevel="1">
      <c r="A84" s="186" t="s">
        <v>198</v>
      </c>
      <c r="B84" s="186">
        <f t="shared" ref="B84:E84" si="206">B59</f>
        <v>0</v>
      </c>
      <c r="C84" s="186">
        <f t="shared" si="206"/>
        <v>0</v>
      </c>
      <c r="D84" s="186">
        <f t="shared" si="206"/>
        <v>2.502</v>
      </c>
      <c r="E84" s="186">
        <f t="shared" si="206"/>
        <v>1.226</v>
      </c>
      <c r="F84" s="185">
        <f t="shared" si="166"/>
        <v>3.728</v>
      </c>
      <c r="G84" s="186">
        <f t="shared" ref="G84:J84" si="207">G59</f>
        <v>0.283</v>
      </c>
      <c r="H84" s="186">
        <f t="shared" si="207"/>
        <v>1.348</v>
      </c>
      <c r="I84" s="186">
        <f t="shared" si="207"/>
        <v>1.342</v>
      </c>
      <c r="J84" s="186">
        <f t="shared" si="207"/>
        <v>1.227</v>
      </c>
      <c r="K84" s="185">
        <f t="shared" si="137"/>
        <v>4.2</v>
      </c>
      <c r="L84" s="186">
        <f t="shared" ref="L84:O84" si="208">L59</f>
        <v>1.041</v>
      </c>
      <c r="M84" s="186">
        <f t="shared" si="208"/>
        <v>1.406</v>
      </c>
      <c r="N84" s="186">
        <f t="shared" si="208"/>
        <v>0.408</v>
      </c>
      <c r="O84" s="186">
        <f t="shared" si="208"/>
        <v>0</v>
      </c>
      <c r="P84" s="185">
        <f t="shared" si="139"/>
        <v>2.855</v>
      </c>
      <c r="Q84" s="186">
        <f t="shared" ref="Q84:T84" si="209">Q59</f>
        <v>0</v>
      </c>
      <c r="R84" s="186">
        <f t="shared" si="209"/>
        <v>0</v>
      </c>
      <c r="S84" s="186">
        <f t="shared" si="209"/>
        <v>0</v>
      </c>
      <c r="T84" s="186">
        <f t="shared" si="209"/>
        <v>0</v>
      </c>
      <c r="U84" s="185">
        <f t="shared" si="141"/>
        <v>0</v>
      </c>
      <c r="V84" s="186">
        <f t="shared" ref="V84:Y84" si="210">V59</f>
        <v>0</v>
      </c>
      <c r="W84" s="186">
        <f t="shared" si="210"/>
        <v>0</v>
      </c>
      <c r="X84" s="186">
        <f t="shared" si="210"/>
        <v>0</v>
      </c>
      <c r="Y84" s="186">
        <f t="shared" si="210"/>
        <v>0</v>
      </c>
      <c r="Z84" s="185">
        <f t="shared" si="143"/>
        <v>0</v>
      </c>
      <c r="AA84" s="186">
        <f t="shared" ref="AA84:AD84" si="211">AA59</f>
        <v>0</v>
      </c>
      <c r="AB84" s="186">
        <f t="shared" si="211"/>
        <v>0</v>
      </c>
      <c r="AC84" s="186">
        <f t="shared" si="211"/>
        <v>0</v>
      </c>
      <c r="AD84" s="186">
        <f t="shared" si="211"/>
        <v>0</v>
      </c>
      <c r="AE84" s="185">
        <f t="shared" si="145"/>
        <v>0</v>
      </c>
      <c r="AF84" s="186">
        <f t="shared" ref="AF84:AI84" si="212">AF59</f>
        <v>0</v>
      </c>
      <c r="AG84" s="186">
        <f t="shared" si="212"/>
        <v>0</v>
      </c>
      <c r="AH84" s="186">
        <f t="shared" si="212"/>
        <v>0</v>
      </c>
      <c r="AI84" s="186">
        <f t="shared" si="212"/>
        <v>0</v>
      </c>
      <c r="AJ84" s="185">
        <f t="shared" si="147"/>
        <v>0</v>
      </c>
      <c r="AK84" s="186">
        <f t="shared" ref="AK84:AN84" si="213">AK59</f>
        <v>0</v>
      </c>
      <c r="AL84" s="186">
        <f t="shared" si="213"/>
        <v>0</v>
      </c>
      <c r="AM84" s="186">
        <f t="shared" si="213"/>
        <v>0</v>
      </c>
      <c r="AN84" s="186">
        <f t="shared" si="213"/>
        <v>0</v>
      </c>
      <c r="AO84" s="185">
        <f t="shared" si="149"/>
        <v>0</v>
      </c>
      <c r="AP84" s="186"/>
      <c r="AQ84" s="186"/>
      <c r="AR84" s="188"/>
      <c r="AS84" s="188"/>
      <c r="AT84" s="188"/>
      <c r="AU84" s="186"/>
    </row>
    <row r="85" ht="10.5" customHeight="1" outlineLevel="1">
      <c r="A85" s="186" t="s">
        <v>202</v>
      </c>
      <c r="B85" s="186">
        <f t="shared" ref="B85:E85" si="214">B63</f>
        <v>0</v>
      </c>
      <c r="C85" s="186">
        <f t="shared" si="214"/>
        <v>0</v>
      </c>
      <c r="D85" s="186">
        <f t="shared" si="214"/>
        <v>0</v>
      </c>
      <c r="E85" s="186">
        <f t="shared" si="214"/>
        <v>0</v>
      </c>
      <c r="F85" s="185">
        <f t="shared" si="166"/>
        <v>0</v>
      </c>
      <c r="G85" s="186">
        <f t="shared" ref="G85:J85" si="215">G63</f>
        <v>0</v>
      </c>
      <c r="H85" s="186">
        <f t="shared" si="215"/>
        <v>0</v>
      </c>
      <c r="I85" s="186">
        <f t="shared" si="215"/>
        <v>0</v>
      </c>
      <c r="J85" s="186">
        <f t="shared" si="215"/>
        <v>0</v>
      </c>
      <c r="K85" s="185">
        <f t="shared" si="137"/>
        <v>0</v>
      </c>
      <c r="L85" s="186">
        <f t="shared" ref="L85:O85" si="216">L63</f>
        <v>0</v>
      </c>
      <c r="M85" s="186">
        <f t="shared" si="216"/>
        <v>0</v>
      </c>
      <c r="N85" s="186">
        <f t="shared" si="216"/>
        <v>0</v>
      </c>
      <c r="O85" s="186">
        <f t="shared" si="216"/>
        <v>0</v>
      </c>
      <c r="P85" s="185">
        <f t="shared" si="139"/>
        <v>0</v>
      </c>
      <c r="Q85" s="186">
        <f t="shared" ref="Q85:T85" si="217">Q63</f>
        <v>0</v>
      </c>
      <c r="R85" s="186">
        <f t="shared" si="217"/>
        <v>0</v>
      </c>
      <c r="S85" s="186">
        <f t="shared" si="217"/>
        <v>0</v>
      </c>
      <c r="T85" s="186">
        <f t="shared" si="217"/>
        <v>0</v>
      </c>
      <c r="U85" s="185">
        <f t="shared" si="141"/>
        <v>0</v>
      </c>
      <c r="V85" s="186">
        <f t="shared" ref="V85:Y85" si="218">V63</f>
        <v>0</v>
      </c>
      <c r="W85" s="186">
        <f t="shared" si="218"/>
        <v>0</v>
      </c>
      <c r="X85" s="186">
        <f t="shared" si="218"/>
        <v>0</v>
      </c>
      <c r="Y85" s="186">
        <f t="shared" si="218"/>
        <v>0</v>
      </c>
      <c r="Z85" s="185">
        <f t="shared" si="143"/>
        <v>0</v>
      </c>
      <c r="AA85" s="186">
        <f t="shared" ref="AA85:AD85" si="219">AA63</f>
        <v>0</v>
      </c>
      <c r="AB85" s="186">
        <f t="shared" si="219"/>
        <v>0</v>
      </c>
      <c r="AC85" s="186">
        <f t="shared" si="219"/>
        <v>0</v>
      </c>
      <c r="AD85" s="186">
        <f t="shared" si="219"/>
        <v>0</v>
      </c>
      <c r="AE85" s="185">
        <f t="shared" si="145"/>
        <v>0</v>
      </c>
      <c r="AF85" s="186">
        <f t="shared" ref="AF85:AI85" si="220">AF63</f>
        <v>0</v>
      </c>
      <c r="AG85" s="186">
        <f t="shared" si="220"/>
        <v>0</v>
      </c>
      <c r="AH85" s="186">
        <f t="shared" si="220"/>
        <v>0</v>
      </c>
      <c r="AI85" s="186">
        <f t="shared" si="220"/>
        <v>0</v>
      </c>
      <c r="AJ85" s="185">
        <f t="shared" si="147"/>
        <v>0</v>
      </c>
      <c r="AK85" s="186">
        <f t="shared" ref="AK85:AN85" si="221">AK63</f>
        <v>0</v>
      </c>
      <c r="AL85" s="186">
        <f t="shared" si="221"/>
        <v>0</v>
      </c>
      <c r="AM85" s="186">
        <f t="shared" si="221"/>
        <v>0</v>
      </c>
      <c r="AN85" s="186">
        <f t="shared" si="221"/>
        <v>0</v>
      </c>
      <c r="AO85" s="185">
        <f t="shared" si="149"/>
        <v>0</v>
      </c>
      <c r="AP85" s="186"/>
      <c r="AQ85" s="186"/>
      <c r="AR85" s="188"/>
      <c r="AS85" s="188"/>
      <c r="AT85" s="188"/>
      <c r="AU85" s="186"/>
    </row>
    <row r="86" ht="10.5" customHeight="1" outlineLevel="1">
      <c r="A86" s="186" t="s">
        <v>196</v>
      </c>
      <c r="B86" s="186">
        <f t="shared" ref="B86:E86" si="222">B57</f>
        <v>0</v>
      </c>
      <c r="C86" s="186">
        <f t="shared" si="222"/>
        <v>0</v>
      </c>
      <c r="D86" s="186">
        <f t="shared" si="222"/>
        <v>0</v>
      </c>
      <c r="E86" s="186">
        <f t="shared" si="222"/>
        <v>0</v>
      </c>
      <c r="F86" s="185">
        <f t="shared" si="166"/>
        <v>0</v>
      </c>
      <c r="G86" s="186">
        <f t="shared" ref="G86:J86" si="223">G57</f>
        <v>0</v>
      </c>
      <c r="H86" s="186">
        <f t="shared" si="223"/>
        <v>0</v>
      </c>
      <c r="I86" s="186">
        <f t="shared" si="223"/>
        <v>0</v>
      </c>
      <c r="J86" s="186">
        <f t="shared" si="223"/>
        <v>0</v>
      </c>
      <c r="K86" s="185">
        <f t="shared" si="137"/>
        <v>0</v>
      </c>
      <c r="L86" s="186">
        <f t="shared" ref="L86:O86" si="224">L57</f>
        <v>0</v>
      </c>
      <c r="M86" s="186">
        <f t="shared" si="224"/>
        <v>0</v>
      </c>
      <c r="N86" s="186">
        <f t="shared" si="224"/>
        <v>0</v>
      </c>
      <c r="O86" s="186">
        <f t="shared" si="224"/>
        <v>0</v>
      </c>
      <c r="P86" s="185">
        <f t="shared" si="139"/>
        <v>0</v>
      </c>
      <c r="Q86" s="186">
        <f t="shared" ref="Q86:T86" si="225">Q57</f>
        <v>0</v>
      </c>
      <c r="R86" s="186">
        <f t="shared" si="225"/>
        <v>0</v>
      </c>
      <c r="S86" s="186">
        <f t="shared" si="225"/>
        <v>0</v>
      </c>
      <c r="T86" s="186">
        <f t="shared" si="225"/>
        <v>0</v>
      </c>
      <c r="U86" s="185">
        <f t="shared" si="141"/>
        <v>0</v>
      </c>
      <c r="V86" s="186">
        <f t="shared" ref="V86:Y86" si="226">V57</f>
        <v>0</v>
      </c>
      <c r="W86" s="186">
        <f t="shared" si="226"/>
        <v>0</v>
      </c>
      <c r="X86" s="186">
        <f t="shared" si="226"/>
        <v>0</v>
      </c>
      <c r="Y86" s="186">
        <f t="shared" si="226"/>
        <v>0</v>
      </c>
      <c r="Z86" s="185">
        <f t="shared" si="143"/>
        <v>0</v>
      </c>
      <c r="AA86" s="186">
        <f t="shared" ref="AA86:AD86" si="227">AA57</f>
        <v>0</v>
      </c>
      <c r="AB86" s="186">
        <f t="shared" si="227"/>
        <v>0</v>
      </c>
      <c r="AC86" s="186">
        <f t="shared" si="227"/>
        <v>0</v>
      </c>
      <c r="AD86" s="186">
        <f t="shared" si="227"/>
        <v>0</v>
      </c>
      <c r="AE86" s="185">
        <f t="shared" si="145"/>
        <v>0</v>
      </c>
      <c r="AF86" s="186">
        <f t="shared" ref="AF86:AI86" si="228">AF57</f>
        <v>0</v>
      </c>
      <c r="AG86" s="186">
        <f t="shared" si="228"/>
        <v>0</v>
      </c>
      <c r="AH86" s="186">
        <f t="shared" si="228"/>
        <v>0</v>
      </c>
      <c r="AI86" s="186">
        <f t="shared" si="228"/>
        <v>0</v>
      </c>
      <c r="AJ86" s="185">
        <f t="shared" si="147"/>
        <v>0</v>
      </c>
      <c r="AK86" s="186">
        <f t="shared" ref="AK86:AN86" si="229">AK57</f>
        <v>0</v>
      </c>
      <c r="AL86" s="186">
        <f t="shared" si="229"/>
        <v>0</v>
      </c>
      <c r="AM86" s="186">
        <f t="shared" si="229"/>
        <v>0</v>
      </c>
      <c r="AN86" s="186">
        <f t="shared" si="229"/>
        <v>0</v>
      </c>
      <c r="AO86" s="185">
        <f t="shared" si="149"/>
        <v>0</v>
      </c>
      <c r="AP86" s="186"/>
      <c r="AQ86" s="186"/>
      <c r="AR86" s="188"/>
      <c r="AS86" s="188"/>
      <c r="AT86" s="188"/>
      <c r="AU86" s="186"/>
    </row>
    <row r="87" ht="10.5" customHeight="1" outlineLevel="1">
      <c r="A87" s="186" t="s">
        <v>203</v>
      </c>
      <c r="B87" s="186">
        <f t="shared" ref="B87:E87" si="230">B64</f>
        <v>0</v>
      </c>
      <c r="C87" s="186">
        <f t="shared" si="230"/>
        <v>0</v>
      </c>
      <c r="D87" s="186">
        <f t="shared" si="230"/>
        <v>0</v>
      </c>
      <c r="E87" s="186">
        <f t="shared" si="230"/>
        <v>0</v>
      </c>
      <c r="F87" s="185">
        <f t="shared" si="166"/>
        <v>0</v>
      </c>
      <c r="G87" s="186">
        <f t="shared" ref="G87:J87" si="231">G64</f>
        <v>0</v>
      </c>
      <c r="H87" s="186">
        <f t="shared" si="231"/>
        <v>0</v>
      </c>
      <c r="I87" s="186">
        <f t="shared" si="231"/>
        <v>0</v>
      </c>
      <c r="J87" s="186">
        <f t="shared" si="231"/>
        <v>0</v>
      </c>
      <c r="K87" s="185">
        <f t="shared" si="137"/>
        <v>0</v>
      </c>
      <c r="L87" s="186">
        <f t="shared" ref="L87:O87" si="232">L64</f>
        <v>0</v>
      </c>
      <c r="M87" s="186">
        <f t="shared" si="232"/>
        <v>0</v>
      </c>
      <c r="N87" s="186">
        <f t="shared" si="232"/>
        <v>0</v>
      </c>
      <c r="O87" s="186">
        <f t="shared" si="232"/>
        <v>0</v>
      </c>
      <c r="P87" s="185">
        <f t="shared" si="139"/>
        <v>0</v>
      </c>
      <c r="Q87" s="186">
        <f t="shared" ref="Q87:T87" si="233">Q64</f>
        <v>0</v>
      </c>
      <c r="R87" s="186">
        <f t="shared" si="233"/>
        <v>0</v>
      </c>
      <c r="S87" s="186">
        <f t="shared" si="233"/>
        <v>0</v>
      </c>
      <c r="T87" s="186">
        <f t="shared" si="233"/>
        <v>0</v>
      </c>
      <c r="U87" s="185">
        <f t="shared" si="141"/>
        <v>0</v>
      </c>
      <c r="V87" s="186">
        <f t="shared" ref="V87:Y87" si="234">V64</f>
        <v>0</v>
      </c>
      <c r="W87" s="186">
        <f t="shared" si="234"/>
        <v>0</v>
      </c>
      <c r="X87" s="186">
        <f t="shared" si="234"/>
        <v>0</v>
      </c>
      <c r="Y87" s="186">
        <f t="shared" si="234"/>
        <v>0</v>
      </c>
      <c r="Z87" s="185">
        <f t="shared" si="143"/>
        <v>0</v>
      </c>
      <c r="AA87" s="186">
        <f t="shared" ref="AA87:AD87" si="235">AA64</f>
        <v>0</v>
      </c>
      <c r="AB87" s="186">
        <f t="shared" si="235"/>
        <v>0</v>
      </c>
      <c r="AC87" s="186">
        <f t="shared" si="235"/>
        <v>0</v>
      </c>
      <c r="AD87" s="186">
        <f t="shared" si="235"/>
        <v>0</v>
      </c>
      <c r="AE87" s="185">
        <f t="shared" si="145"/>
        <v>0</v>
      </c>
      <c r="AF87" s="186">
        <f t="shared" ref="AF87:AI87" si="236">AF64</f>
        <v>0</v>
      </c>
      <c r="AG87" s="186">
        <f t="shared" si="236"/>
        <v>0</v>
      </c>
      <c r="AH87" s="186">
        <f t="shared" si="236"/>
        <v>0</v>
      </c>
      <c r="AI87" s="186">
        <f t="shared" si="236"/>
        <v>0</v>
      </c>
      <c r="AJ87" s="185">
        <f t="shared" si="147"/>
        <v>0</v>
      </c>
      <c r="AK87" s="186">
        <f t="shared" ref="AK87:AN87" si="237">AK64</f>
        <v>0</v>
      </c>
      <c r="AL87" s="186">
        <f t="shared" si="237"/>
        <v>0</v>
      </c>
      <c r="AM87" s="186">
        <f t="shared" si="237"/>
        <v>0</v>
      </c>
      <c r="AN87" s="186">
        <f t="shared" si="237"/>
        <v>0</v>
      </c>
      <c r="AO87" s="185">
        <f t="shared" si="149"/>
        <v>0</v>
      </c>
      <c r="AP87" s="186"/>
      <c r="AQ87" s="186"/>
      <c r="AR87" s="188"/>
      <c r="AS87" s="188"/>
      <c r="AT87" s="188"/>
      <c r="AU87" s="186"/>
    </row>
    <row r="88" ht="10.5" customHeight="1" outlineLevel="1">
      <c r="A88" s="186" t="s">
        <v>206</v>
      </c>
      <c r="B88" s="186">
        <f t="shared" ref="B88:E88" si="238">B67</f>
        <v>0</v>
      </c>
      <c r="C88" s="186">
        <f t="shared" si="238"/>
        <v>0</v>
      </c>
      <c r="D88" s="186">
        <f t="shared" si="238"/>
        <v>0</v>
      </c>
      <c r="E88" s="186">
        <f t="shared" si="238"/>
        <v>0</v>
      </c>
      <c r="F88" s="185">
        <f t="shared" si="166"/>
        <v>0</v>
      </c>
      <c r="G88" s="186">
        <f t="shared" ref="G88:J88" si="239">G67</f>
        <v>0</v>
      </c>
      <c r="H88" s="186">
        <f t="shared" si="239"/>
        <v>0</v>
      </c>
      <c r="I88" s="186">
        <f t="shared" si="239"/>
        <v>0</v>
      </c>
      <c r="J88" s="186">
        <f t="shared" si="239"/>
        <v>0</v>
      </c>
      <c r="K88" s="185">
        <f t="shared" si="137"/>
        <v>0</v>
      </c>
      <c r="L88" s="186">
        <f t="shared" ref="L88:O88" si="240">L67</f>
        <v>-1.636</v>
      </c>
      <c r="M88" s="186">
        <f t="shared" si="240"/>
        <v>0</v>
      </c>
      <c r="N88" s="186">
        <f t="shared" si="240"/>
        <v>0</v>
      </c>
      <c r="O88" s="186">
        <f t="shared" si="240"/>
        <v>0</v>
      </c>
      <c r="P88" s="185">
        <f t="shared" si="139"/>
        <v>-1.636</v>
      </c>
      <c r="Q88" s="186">
        <f t="shared" ref="Q88:T88" si="241">Q67</f>
        <v>0</v>
      </c>
      <c r="R88" s="186">
        <f t="shared" si="241"/>
        <v>0</v>
      </c>
      <c r="S88" s="186">
        <f t="shared" si="241"/>
        <v>0</v>
      </c>
      <c r="T88" s="186">
        <f t="shared" si="241"/>
        <v>0</v>
      </c>
      <c r="U88" s="185">
        <f t="shared" si="141"/>
        <v>0</v>
      </c>
      <c r="V88" s="186">
        <f t="shared" ref="V88:Y88" si="242">V67</f>
        <v>0</v>
      </c>
      <c r="W88" s="186">
        <f t="shared" si="242"/>
        <v>0</v>
      </c>
      <c r="X88" s="186">
        <f t="shared" si="242"/>
        <v>0</v>
      </c>
      <c r="Y88" s="186">
        <f t="shared" si="242"/>
        <v>0</v>
      </c>
      <c r="Z88" s="185">
        <f t="shared" si="143"/>
        <v>0</v>
      </c>
      <c r="AA88" s="186">
        <f t="shared" ref="AA88:AD88" si="243">AA67</f>
        <v>0</v>
      </c>
      <c r="AB88" s="186">
        <f t="shared" si="243"/>
        <v>0</v>
      </c>
      <c r="AC88" s="186">
        <f t="shared" si="243"/>
        <v>0</v>
      </c>
      <c r="AD88" s="186">
        <f t="shared" si="243"/>
        <v>0</v>
      </c>
      <c r="AE88" s="185">
        <f t="shared" si="145"/>
        <v>0</v>
      </c>
      <c r="AF88" s="186">
        <f t="shared" ref="AF88:AI88" si="244">AF67</f>
        <v>0</v>
      </c>
      <c r="AG88" s="186">
        <f t="shared" si="244"/>
        <v>0</v>
      </c>
      <c r="AH88" s="186">
        <f t="shared" si="244"/>
        <v>0</v>
      </c>
      <c r="AI88" s="186">
        <f t="shared" si="244"/>
        <v>0</v>
      </c>
      <c r="AJ88" s="185">
        <f t="shared" si="147"/>
        <v>0</v>
      </c>
      <c r="AK88" s="186">
        <f t="shared" ref="AK88:AN88" si="245">AK67</f>
        <v>0</v>
      </c>
      <c r="AL88" s="186">
        <f t="shared" si="245"/>
        <v>0</v>
      </c>
      <c r="AM88" s="186">
        <f t="shared" si="245"/>
        <v>0</v>
      </c>
      <c r="AN88" s="186">
        <f t="shared" si="245"/>
        <v>0</v>
      </c>
      <c r="AO88" s="185">
        <f t="shared" si="149"/>
        <v>0</v>
      </c>
      <c r="AP88" s="186"/>
      <c r="AQ88" s="186"/>
      <c r="AR88" s="188"/>
      <c r="AS88" s="188"/>
      <c r="AT88" s="188"/>
      <c r="AU88" s="186"/>
    </row>
    <row r="89" ht="10.5" customHeight="1" outlineLevel="1">
      <c r="A89" s="186" t="s">
        <v>199</v>
      </c>
      <c r="B89" s="186">
        <f t="shared" ref="B89:E89" si="246">B60</f>
        <v>3.3</v>
      </c>
      <c r="C89" s="186">
        <f t="shared" si="246"/>
        <v>2.95</v>
      </c>
      <c r="D89" s="186">
        <f t="shared" si="246"/>
        <v>0</v>
      </c>
      <c r="E89" s="186">
        <f t="shared" si="246"/>
        <v>0</v>
      </c>
      <c r="F89" s="185">
        <f t="shared" si="166"/>
        <v>6.25</v>
      </c>
      <c r="G89" s="186">
        <f t="shared" ref="G89:J89" si="247">G60</f>
        <v>0</v>
      </c>
      <c r="H89" s="186">
        <f t="shared" si="247"/>
        <v>0</v>
      </c>
      <c r="I89" s="186">
        <f t="shared" si="247"/>
        <v>0</v>
      </c>
      <c r="J89" s="186">
        <f t="shared" si="247"/>
        <v>0</v>
      </c>
      <c r="K89" s="185">
        <f t="shared" si="137"/>
        <v>0</v>
      </c>
      <c r="L89" s="186">
        <f t="shared" ref="L89:O89" si="248">L60</f>
        <v>0</v>
      </c>
      <c r="M89" s="186">
        <f t="shared" si="248"/>
        <v>0</v>
      </c>
      <c r="N89" s="186">
        <f t="shared" si="248"/>
        <v>0</v>
      </c>
      <c r="O89" s="186">
        <f t="shared" si="248"/>
        <v>0</v>
      </c>
      <c r="P89" s="185">
        <f t="shared" si="139"/>
        <v>0</v>
      </c>
      <c r="Q89" s="186">
        <f t="shared" ref="Q89:T89" si="249">Q60</f>
        <v>0</v>
      </c>
      <c r="R89" s="186">
        <f t="shared" si="249"/>
        <v>0</v>
      </c>
      <c r="S89" s="186">
        <f t="shared" si="249"/>
        <v>0</v>
      </c>
      <c r="T89" s="186">
        <f t="shared" si="249"/>
        <v>0</v>
      </c>
      <c r="U89" s="185">
        <f t="shared" si="141"/>
        <v>0</v>
      </c>
      <c r="V89" s="186">
        <f t="shared" ref="V89:Y89" si="250">V60</f>
        <v>0</v>
      </c>
      <c r="W89" s="186">
        <f t="shared" si="250"/>
        <v>0</v>
      </c>
      <c r="X89" s="186">
        <f t="shared" si="250"/>
        <v>0</v>
      </c>
      <c r="Y89" s="186">
        <f t="shared" si="250"/>
        <v>0</v>
      </c>
      <c r="Z89" s="185">
        <f t="shared" si="143"/>
        <v>0</v>
      </c>
      <c r="AA89" s="186">
        <f t="shared" ref="AA89:AD89" si="251">AA60</f>
        <v>0</v>
      </c>
      <c r="AB89" s="186">
        <f t="shared" si="251"/>
        <v>0</v>
      </c>
      <c r="AC89" s="186">
        <f t="shared" si="251"/>
        <v>0</v>
      </c>
      <c r="AD89" s="186">
        <f t="shared" si="251"/>
        <v>0</v>
      </c>
      <c r="AE89" s="185">
        <f t="shared" si="145"/>
        <v>0</v>
      </c>
      <c r="AF89" s="186">
        <f t="shared" ref="AF89:AI89" si="252">AF60</f>
        <v>0</v>
      </c>
      <c r="AG89" s="186">
        <f t="shared" si="252"/>
        <v>0</v>
      </c>
      <c r="AH89" s="186">
        <f t="shared" si="252"/>
        <v>0</v>
      </c>
      <c r="AI89" s="186">
        <f t="shared" si="252"/>
        <v>0</v>
      </c>
      <c r="AJ89" s="185">
        <f t="shared" si="147"/>
        <v>0</v>
      </c>
      <c r="AK89" s="186">
        <f t="shared" ref="AK89:AN89" si="253">AK60</f>
        <v>0</v>
      </c>
      <c r="AL89" s="186">
        <f t="shared" si="253"/>
        <v>0</v>
      </c>
      <c r="AM89" s="186">
        <f t="shared" si="253"/>
        <v>0</v>
      </c>
      <c r="AN89" s="186">
        <f t="shared" si="253"/>
        <v>0</v>
      </c>
      <c r="AO89" s="185">
        <f t="shared" si="149"/>
        <v>0</v>
      </c>
      <c r="AP89" s="186"/>
      <c r="AQ89" s="186"/>
      <c r="AR89" s="188"/>
      <c r="AS89" s="188"/>
      <c r="AT89" s="188"/>
      <c r="AU89" s="186"/>
    </row>
    <row r="90" ht="10.5" customHeight="1" outlineLevel="1">
      <c r="A90" s="186" t="s">
        <v>200</v>
      </c>
      <c r="B90" s="186">
        <f t="shared" ref="B90:E90" si="254">B61</f>
        <v>0.255</v>
      </c>
      <c r="C90" s="186">
        <f t="shared" si="254"/>
        <v>-0.16</v>
      </c>
      <c r="D90" s="186">
        <f t="shared" si="254"/>
        <v>-0.101</v>
      </c>
      <c r="E90" s="186">
        <f t="shared" si="254"/>
        <v>2.738</v>
      </c>
      <c r="F90" s="185">
        <f t="shared" si="166"/>
        <v>2.732</v>
      </c>
      <c r="G90" s="186">
        <f t="shared" ref="G90:J90" si="255">G61</f>
        <v>0.475</v>
      </c>
      <c r="H90" s="186">
        <f t="shared" si="255"/>
        <v>0.082</v>
      </c>
      <c r="I90" s="186">
        <f t="shared" si="255"/>
        <v>0.292</v>
      </c>
      <c r="J90" s="186">
        <f t="shared" si="255"/>
        <v>0.297</v>
      </c>
      <c r="K90" s="185">
        <f t="shared" si="137"/>
        <v>1.146</v>
      </c>
      <c r="L90" s="186">
        <f t="shared" ref="L90:O90" si="256">L61</f>
        <v>0.292</v>
      </c>
      <c r="M90" s="186">
        <f t="shared" si="256"/>
        <v>4.311</v>
      </c>
      <c r="N90" s="186">
        <f t="shared" si="256"/>
        <v>0.486</v>
      </c>
      <c r="O90" s="186">
        <f t="shared" si="256"/>
        <v>0</v>
      </c>
      <c r="P90" s="185">
        <f t="shared" si="139"/>
        <v>5.089</v>
      </c>
      <c r="Q90" s="186">
        <f t="shared" ref="Q90:T90" si="257">Q61</f>
        <v>0</v>
      </c>
      <c r="R90" s="186">
        <f t="shared" si="257"/>
        <v>0</v>
      </c>
      <c r="S90" s="186">
        <f t="shared" si="257"/>
        <v>0</v>
      </c>
      <c r="T90" s="186">
        <f t="shared" si="257"/>
        <v>0</v>
      </c>
      <c r="U90" s="185">
        <f t="shared" si="141"/>
        <v>0</v>
      </c>
      <c r="V90" s="186">
        <f t="shared" ref="V90:Y90" si="258">V61</f>
        <v>0</v>
      </c>
      <c r="W90" s="186">
        <f t="shared" si="258"/>
        <v>0</v>
      </c>
      <c r="X90" s="186">
        <f t="shared" si="258"/>
        <v>0</v>
      </c>
      <c r="Y90" s="186">
        <f t="shared" si="258"/>
        <v>0</v>
      </c>
      <c r="Z90" s="185">
        <f t="shared" si="143"/>
        <v>0</v>
      </c>
      <c r="AA90" s="186">
        <f t="shared" ref="AA90:AD90" si="259">AA61</f>
        <v>0</v>
      </c>
      <c r="AB90" s="186">
        <f t="shared" si="259"/>
        <v>0</v>
      </c>
      <c r="AC90" s="186">
        <f t="shared" si="259"/>
        <v>0</v>
      </c>
      <c r="AD90" s="186">
        <f t="shared" si="259"/>
        <v>0</v>
      </c>
      <c r="AE90" s="185">
        <f t="shared" si="145"/>
        <v>0</v>
      </c>
      <c r="AF90" s="186">
        <f t="shared" ref="AF90:AI90" si="260">AF61</f>
        <v>0</v>
      </c>
      <c r="AG90" s="186">
        <f t="shared" si="260"/>
        <v>0</v>
      </c>
      <c r="AH90" s="186">
        <f t="shared" si="260"/>
        <v>0</v>
      </c>
      <c r="AI90" s="186">
        <f t="shared" si="260"/>
        <v>0</v>
      </c>
      <c r="AJ90" s="185">
        <f t="shared" si="147"/>
        <v>0</v>
      </c>
      <c r="AK90" s="186">
        <f t="shared" ref="AK90:AN90" si="261">AK61</f>
        <v>0</v>
      </c>
      <c r="AL90" s="186">
        <f t="shared" si="261"/>
        <v>0</v>
      </c>
      <c r="AM90" s="186">
        <f t="shared" si="261"/>
        <v>0</v>
      </c>
      <c r="AN90" s="186">
        <f t="shared" si="261"/>
        <v>0</v>
      </c>
      <c r="AO90" s="185">
        <f t="shared" si="149"/>
        <v>0</v>
      </c>
      <c r="AP90" s="186"/>
      <c r="AQ90" s="186"/>
      <c r="AR90" s="188"/>
      <c r="AS90" s="188"/>
      <c r="AT90" s="188"/>
      <c r="AU90" s="186"/>
    </row>
    <row r="91" ht="10.5" customHeight="1" outlineLevel="1">
      <c r="A91" s="186" t="s">
        <v>201</v>
      </c>
      <c r="B91" s="186">
        <f t="shared" ref="B91:E91" si="262">B62</f>
        <v>-0.483</v>
      </c>
      <c r="C91" s="186">
        <f t="shared" si="262"/>
        <v>-0.496</v>
      </c>
      <c r="D91" s="186">
        <f t="shared" si="262"/>
        <v>-0.511</v>
      </c>
      <c r="E91" s="186">
        <f t="shared" si="262"/>
        <v>-0.576</v>
      </c>
      <c r="F91" s="185">
        <f t="shared" si="166"/>
        <v>-2.066</v>
      </c>
      <c r="G91" s="186">
        <f t="shared" ref="G91:J91" si="263">G62</f>
        <v>-0.528</v>
      </c>
      <c r="H91" s="186">
        <f t="shared" si="263"/>
        <v>-0.537</v>
      </c>
      <c r="I91" s="186">
        <f t="shared" si="263"/>
        <v>-0.553</v>
      </c>
      <c r="J91" s="186">
        <f t="shared" si="263"/>
        <v>-0.562</v>
      </c>
      <c r="K91" s="185">
        <f t="shared" si="137"/>
        <v>-2.18</v>
      </c>
      <c r="L91" s="186">
        <f t="shared" ref="L91:O91" si="264">L62</f>
        <v>-0.561</v>
      </c>
      <c r="M91" s="186">
        <f t="shared" si="264"/>
        <v>-0.578</v>
      </c>
      <c r="N91" s="186">
        <f t="shared" si="264"/>
        <v>-0.594</v>
      </c>
      <c r="O91" s="186">
        <f t="shared" si="264"/>
        <v>0</v>
      </c>
      <c r="P91" s="185">
        <f t="shared" si="139"/>
        <v>-1.733</v>
      </c>
      <c r="Q91" s="186">
        <f t="shared" ref="Q91:T91" si="265">Q62</f>
        <v>0</v>
      </c>
      <c r="R91" s="186">
        <f t="shared" si="265"/>
        <v>0</v>
      </c>
      <c r="S91" s="186">
        <f t="shared" si="265"/>
        <v>0</v>
      </c>
      <c r="T91" s="186">
        <f t="shared" si="265"/>
        <v>0</v>
      </c>
      <c r="U91" s="185">
        <f t="shared" si="141"/>
        <v>0</v>
      </c>
      <c r="V91" s="186">
        <f t="shared" ref="V91:Y91" si="266">V62</f>
        <v>0</v>
      </c>
      <c r="W91" s="186">
        <f t="shared" si="266"/>
        <v>0</v>
      </c>
      <c r="X91" s="186">
        <f t="shared" si="266"/>
        <v>0</v>
      </c>
      <c r="Y91" s="186">
        <f t="shared" si="266"/>
        <v>0</v>
      </c>
      <c r="Z91" s="185">
        <f t="shared" si="143"/>
        <v>0</v>
      </c>
      <c r="AA91" s="186">
        <f t="shared" ref="AA91:AD91" si="267">AA62</f>
        <v>0</v>
      </c>
      <c r="AB91" s="186">
        <f t="shared" si="267"/>
        <v>0</v>
      </c>
      <c r="AC91" s="186">
        <f t="shared" si="267"/>
        <v>0</v>
      </c>
      <c r="AD91" s="186">
        <f t="shared" si="267"/>
        <v>0</v>
      </c>
      <c r="AE91" s="185">
        <f t="shared" si="145"/>
        <v>0</v>
      </c>
      <c r="AF91" s="186">
        <f t="shared" ref="AF91:AI91" si="268">AF62</f>
        <v>0</v>
      </c>
      <c r="AG91" s="186">
        <f t="shared" si="268"/>
        <v>0</v>
      </c>
      <c r="AH91" s="186">
        <f t="shared" si="268"/>
        <v>0</v>
      </c>
      <c r="AI91" s="186">
        <f t="shared" si="268"/>
        <v>0</v>
      </c>
      <c r="AJ91" s="185">
        <f t="shared" si="147"/>
        <v>0</v>
      </c>
      <c r="AK91" s="186">
        <f t="shared" ref="AK91:AN91" si="269">AK62</f>
        <v>0</v>
      </c>
      <c r="AL91" s="186">
        <f t="shared" si="269"/>
        <v>0</v>
      </c>
      <c r="AM91" s="186">
        <f t="shared" si="269"/>
        <v>0</v>
      </c>
      <c r="AN91" s="186">
        <f t="shared" si="269"/>
        <v>0</v>
      </c>
      <c r="AO91" s="185">
        <f t="shared" si="149"/>
        <v>0</v>
      </c>
      <c r="AP91" s="186"/>
      <c r="AQ91" s="186"/>
      <c r="AR91" s="188"/>
      <c r="AS91" s="188"/>
      <c r="AT91" s="188"/>
      <c r="AU91" s="186"/>
    </row>
    <row r="92" ht="10.5" customHeight="1" outlineLevel="1">
      <c r="A92" s="186" t="s">
        <v>207</v>
      </c>
      <c r="B92" s="186">
        <f t="shared" ref="B92:J92" si="270">B68</f>
        <v>0</v>
      </c>
      <c r="C92" s="186">
        <f t="shared" si="270"/>
        <v>0</v>
      </c>
      <c r="D92" s="186">
        <f t="shared" si="270"/>
        <v>0</v>
      </c>
      <c r="E92" s="186">
        <f t="shared" si="270"/>
        <v>-1.964</v>
      </c>
      <c r="F92" s="185">
        <f t="shared" si="270"/>
        <v>-1.964</v>
      </c>
      <c r="G92" s="186">
        <f t="shared" si="270"/>
        <v>-0.362</v>
      </c>
      <c r="H92" s="186">
        <f t="shared" si="270"/>
        <v>-0.987</v>
      </c>
      <c r="I92" s="186">
        <f t="shared" si="270"/>
        <v>0.575</v>
      </c>
      <c r="J92" s="186">
        <f t="shared" si="270"/>
        <v>2.074</v>
      </c>
      <c r="K92" s="185">
        <f t="shared" si="137"/>
        <v>1.3</v>
      </c>
      <c r="L92" s="186">
        <f t="shared" ref="L92:O92" si="271">L68</f>
        <v>-0.084</v>
      </c>
      <c r="M92" s="186">
        <f t="shared" si="271"/>
        <v>-1.21</v>
      </c>
      <c r="N92" s="186">
        <f t="shared" si="271"/>
        <v>-0.475</v>
      </c>
      <c r="O92" s="186">
        <f t="shared" si="271"/>
        <v>0</v>
      </c>
      <c r="P92" s="185">
        <f t="shared" si="139"/>
        <v>-1.769</v>
      </c>
      <c r="Q92" s="186">
        <f t="shared" ref="Q92:T92" si="272">Q68</f>
        <v>0</v>
      </c>
      <c r="R92" s="186">
        <f t="shared" si="272"/>
        <v>0</v>
      </c>
      <c r="S92" s="186">
        <f t="shared" si="272"/>
        <v>0</v>
      </c>
      <c r="T92" s="186">
        <f t="shared" si="272"/>
        <v>0</v>
      </c>
      <c r="U92" s="185">
        <f t="shared" si="141"/>
        <v>0</v>
      </c>
      <c r="V92" s="186">
        <f t="shared" ref="V92:Y92" si="273">V68</f>
        <v>0</v>
      </c>
      <c r="W92" s="186">
        <f t="shared" si="273"/>
        <v>0</v>
      </c>
      <c r="X92" s="186">
        <f t="shared" si="273"/>
        <v>0</v>
      </c>
      <c r="Y92" s="186">
        <f t="shared" si="273"/>
        <v>0</v>
      </c>
      <c r="Z92" s="185">
        <f t="shared" si="143"/>
        <v>0</v>
      </c>
      <c r="AA92" s="186">
        <f t="shared" ref="AA92:AD92" si="274">AA68</f>
        <v>0</v>
      </c>
      <c r="AB92" s="186">
        <f t="shared" si="274"/>
        <v>0</v>
      </c>
      <c r="AC92" s="186">
        <f t="shared" si="274"/>
        <v>0</v>
      </c>
      <c r="AD92" s="186">
        <f t="shared" si="274"/>
        <v>0</v>
      </c>
      <c r="AE92" s="185">
        <f t="shared" si="145"/>
        <v>0</v>
      </c>
      <c r="AF92" s="186">
        <f t="shared" ref="AF92:AI92" si="275">AF68</f>
        <v>0</v>
      </c>
      <c r="AG92" s="186">
        <f t="shared" si="275"/>
        <v>0</v>
      </c>
      <c r="AH92" s="186">
        <f t="shared" si="275"/>
        <v>0</v>
      </c>
      <c r="AI92" s="186">
        <f t="shared" si="275"/>
        <v>0</v>
      </c>
      <c r="AJ92" s="185">
        <f t="shared" si="147"/>
        <v>0</v>
      </c>
      <c r="AK92" s="186">
        <f t="shared" ref="AK92:AN92" si="276">AK68</f>
        <v>0</v>
      </c>
      <c r="AL92" s="186">
        <f t="shared" si="276"/>
        <v>0</v>
      </c>
      <c r="AM92" s="186">
        <f t="shared" si="276"/>
        <v>0</v>
      </c>
      <c r="AN92" s="186">
        <f t="shared" si="276"/>
        <v>0</v>
      </c>
      <c r="AO92" s="185">
        <f t="shared" si="149"/>
        <v>0</v>
      </c>
      <c r="AP92" s="186"/>
      <c r="AQ92" s="186"/>
      <c r="AR92" s="188"/>
      <c r="AS92" s="188"/>
      <c r="AT92" s="188"/>
      <c r="AU92" s="186"/>
    </row>
    <row r="93" ht="10.5" customHeight="1" outlineLevel="1">
      <c r="A93" s="186" t="s">
        <v>209</v>
      </c>
      <c r="B93" s="186">
        <f t="shared" ref="B93:E93" si="277">B70</f>
        <v>0</v>
      </c>
      <c r="C93" s="186">
        <f t="shared" si="277"/>
        <v>0</v>
      </c>
      <c r="D93" s="186">
        <f t="shared" si="277"/>
        <v>0</v>
      </c>
      <c r="E93" s="186">
        <f t="shared" si="277"/>
        <v>0.438</v>
      </c>
      <c r="F93" s="185">
        <f t="shared" ref="F93:F102" si="286">SUM(B93:E93)</f>
        <v>0.438</v>
      </c>
      <c r="G93" s="186">
        <f t="shared" ref="G93:J93" si="278">G70</f>
        <v>0.229</v>
      </c>
      <c r="H93" s="186">
        <f t="shared" si="278"/>
        <v>0.24</v>
      </c>
      <c r="I93" s="186">
        <f t="shared" si="278"/>
        <v>0.24</v>
      </c>
      <c r="J93" s="186">
        <f t="shared" si="278"/>
        <v>0.24</v>
      </c>
      <c r="K93" s="185">
        <f t="shared" si="137"/>
        <v>0.949</v>
      </c>
      <c r="L93" s="186">
        <f t="shared" ref="L93:O93" si="279">L70</f>
        <v>0.24</v>
      </c>
      <c r="M93" s="186">
        <f t="shared" si="279"/>
        <v>0.24</v>
      </c>
      <c r="N93" s="186">
        <f t="shared" si="279"/>
        <v>0.24</v>
      </c>
      <c r="O93" s="186">
        <f t="shared" si="279"/>
        <v>0</v>
      </c>
      <c r="P93" s="185">
        <f t="shared" si="139"/>
        <v>0.72</v>
      </c>
      <c r="Q93" s="186">
        <f t="shared" ref="Q93:T93" si="280">Q70</f>
        <v>0</v>
      </c>
      <c r="R93" s="186">
        <f t="shared" si="280"/>
        <v>0</v>
      </c>
      <c r="S93" s="186">
        <f t="shared" si="280"/>
        <v>0</v>
      </c>
      <c r="T93" s="186">
        <f t="shared" si="280"/>
        <v>0</v>
      </c>
      <c r="U93" s="185">
        <f t="shared" si="141"/>
        <v>0</v>
      </c>
      <c r="V93" s="186">
        <f t="shared" ref="V93:Y93" si="281">V70</f>
        <v>0</v>
      </c>
      <c r="W93" s="186">
        <f t="shared" si="281"/>
        <v>0</v>
      </c>
      <c r="X93" s="186">
        <f t="shared" si="281"/>
        <v>0</v>
      </c>
      <c r="Y93" s="186">
        <f t="shared" si="281"/>
        <v>0</v>
      </c>
      <c r="Z93" s="185">
        <f t="shared" si="143"/>
        <v>0</v>
      </c>
      <c r="AA93" s="186">
        <f t="shared" ref="AA93:AD93" si="282">AA70</f>
        <v>0</v>
      </c>
      <c r="AB93" s="186">
        <f t="shared" si="282"/>
        <v>0</v>
      </c>
      <c r="AC93" s="186">
        <f t="shared" si="282"/>
        <v>0</v>
      </c>
      <c r="AD93" s="186">
        <f t="shared" si="282"/>
        <v>0</v>
      </c>
      <c r="AE93" s="185">
        <f t="shared" si="145"/>
        <v>0</v>
      </c>
      <c r="AF93" s="186">
        <f t="shared" ref="AF93:AI93" si="283">AF70</f>
        <v>0</v>
      </c>
      <c r="AG93" s="186">
        <f t="shared" si="283"/>
        <v>0</v>
      </c>
      <c r="AH93" s="186">
        <f t="shared" si="283"/>
        <v>0</v>
      </c>
      <c r="AI93" s="186">
        <f t="shared" si="283"/>
        <v>0</v>
      </c>
      <c r="AJ93" s="185">
        <f t="shared" si="147"/>
        <v>0</v>
      </c>
      <c r="AK93" s="186">
        <f t="shared" ref="AK93:AN93" si="284">AK70</f>
        <v>0</v>
      </c>
      <c r="AL93" s="186">
        <f t="shared" si="284"/>
        <v>0</v>
      </c>
      <c r="AM93" s="186">
        <f t="shared" si="284"/>
        <v>0</v>
      </c>
      <c r="AN93" s="186">
        <f t="shared" si="284"/>
        <v>0</v>
      </c>
      <c r="AO93" s="185">
        <f t="shared" si="149"/>
        <v>0</v>
      </c>
      <c r="AP93" s="186"/>
      <c r="AQ93" s="186"/>
      <c r="AR93" s="188"/>
      <c r="AS93" s="188"/>
      <c r="AT93" s="188"/>
      <c r="AU93" s="186"/>
    </row>
    <row r="94" ht="10.5" customHeight="1" outlineLevel="1">
      <c r="A94" s="186" t="s">
        <v>204</v>
      </c>
      <c r="B94" s="186">
        <f t="shared" ref="B94:E94" si="285">B65</f>
        <v>0</v>
      </c>
      <c r="C94" s="186">
        <f t="shared" si="285"/>
        <v>0</v>
      </c>
      <c r="D94" s="186">
        <f t="shared" si="285"/>
        <v>0</v>
      </c>
      <c r="E94" s="186">
        <f t="shared" si="285"/>
        <v>0</v>
      </c>
      <c r="F94" s="185">
        <f t="shared" si="286"/>
        <v>0</v>
      </c>
      <c r="G94" s="186">
        <f t="shared" ref="G94:J94" si="287">G65</f>
        <v>0</v>
      </c>
      <c r="H94" s="186">
        <f t="shared" si="287"/>
        <v>0</v>
      </c>
      <c r="I94" s="186">
        <f t="shared" si="287"/>
        <v>0</v>
      </c>
      <c r="J94" s="186">
        <f t="shared" si="287"/>
        <v>0</v>
      </c>
      <c r="K94" s="185">
        <f t="shared" si="137"/>
        <v>0</v>
      </c>
      <c r="L94" s="186">
        <f t="shared" ref="L94:O94" si="288">L65</f>
        <v>0</v>
      </c>
      <c r="M94" s="186">
        <f t="shared" si="288"/>
        <v>1.067</v>
      </c>
      <c r="N94" s="186">
        <f t="shared" si="288"/>
        <v>0.261</v>
      </c>
      <c r="O94" s="186">
        <f t="shared" si="288"/>
        <v>0</v>
      </c>
      <c r="P94" s="185">
        <f t="shared" si="139"/>
        <v>1.328</v>
      </c>
      <c r="Q94" s="186">
        <f t="shared" ref="Q94:T94" si="289">Q65</f>
        <v>0</v>
      </c>
      <c r="R94" s="186">
        <f t="shared" si="289"/>
        <v>0</v>
      </c>
      <c r="S94" s="186">
        <f t="shared" si="289"/>
        <v>0</v>
      </c>
      <c r="T94" s="186">
        <f t="shared" si="289"/>
        <v>0</v>
      </c>
      <c r="U94" s="185">
        <f t="shared" si="141"/>
        <v>0</v>
      </c>
      <c r="V94" s="186">
        <f t="shared" ref="V94:Y94" si="290">V65</f>
        <v>0</v>
      </c>
      <c r="W94" s="186">
        <f t="shared" si="290"/>
        <v>0</v>
      </c>
      <c r="X94" s="186">
        <f t="shared" si="290"/>
        <v>0</v>
      </c>
      <c r="Y94" s="186">
        <f t="shared" si="290"/>
        <v>0</v>
      </c>
      <c r="Z94" s="185">
        <f t="shared" si="143"/>
        <v>0</v>
      </c>
      <c r="AA94" s="186">
        <f t="shared" ref="AA94:AD94" si="291">AA65</f>
        <v>0</v>
      </c>
      <c r="AB94" s="186">
        <f t="shared" si="291"/>
        <v>0</v>
      </c>
      <c r="AC94" s="186">
        <f t="shared" si="291"/>
        <v>0</v>
      </c>
      <c r="AD94" s="186">
        <f t="shared" si="291"/>
        <v>0</v>
      </c>
      <c r="AE94" s="185">
        <f t="shared" si="145"/>
        <v>0</v>
      </c>
      <c r="AF94" s="186">
        <f t="shared" ref="AF94:AI94" si="292">AF65</f>
        <v>0</v>
      </c>
      <c r="AG94" s="186">
        <f t="shared" si="292"/>
        <v>0</v>
      </c>
      <c r="AH94" s="186">
        <f t="shared" si="292"/>
        <v>0</v>
      </c>
      <c r="AI94" s="186">
        <f t="shared" si="292"/>
        <v>0</v>
      </c>
      <c r="AJ94" s="185">
        <f t="shared" si="147"/>
        <v>0</v>
      </c>
      <c r="AK94" s="186">
        <f t="shared" ref="AK94:AN94" si="293">AK65</f>
        <v>0</v>
      </c>
      <c r="AL94" s="186">
        <f t="shared" si="293"/>
        <v>0</v>
      </c>
      <c r="AM94" s="186">
        <f t="shared" si="293"/>
        <v>0</v>
      </c>
      <c r="AN94" s="186">
        <f t="shared" si="293"/>
        <v>0</v>
      </c>
      <c r="AO94" s="185">
        <f t="shared" si="149"/>
        <v>0</v>
      </c>
      <c r="AP94" s="186"/>
      <c r="AQ94" s="186"/>
      <c r="AR94" s="188"/>
      <c r="AS94" s="188"/>
      <c r="AT94" s="188"/>
      <c r="AU94" s="186"/>
    </row>
    <row r="95" ht="10.5" customHeight="1" outlineLevel="1">
      <c r="A95" s="186" t="s">
        <v>205</v>
      </c>
      <c r="B95" s="186">
        <f t="shared" ref="B95:E95" si="294">B66</f>
        <v>0</v>
      </c>
      <c r="C95" s="186">
        <f t="shared" si="294"/>
        <v>0</v>
      </c>
      <c r="D95" s="186">
        <f t="shared" si="294"/>
        <v>0</v>
      </c>
      <c r="E95" s="186">
        <f t="shared" si="294"/>
        <v>0</v>
      </c>
      <c r="F95" s="185">
        <f t="shared" si="286"/>
        <v>0</v>
      </c>
      <c r="G95" s="186">
        <f t="shared" ref="G95:J95" si="295">G66</f>
        <v>0</v>
      </c>
      <c r="H95" s="186">
        <f t="shared" si="295"/>
        <v>0</v>
      </c>
      <c r="I95" s="186">
        <f t="shared" si="295"/>
        <v>0</v>
      </c>
      <c r="J95" s="186">
        <f t="shared" si="295"/>
        <v>0</v>
      </c>
      <c r="K95" s="185">
        <f t="shared" si="137"/>
        <v>0</v>
      </c>
      <c r="L95" s="186">
        <f t="shared" ref="L95:O95" si="296">L66</f>
        <v>0</v>
      </c>
      <c r="M95" s="186">
        <f t="shared" si="296"/>
        <v>0</v>
      </c>
      <c r="N95" s="186">
        <f t="shared" si="296"/>
        <v>0</v>
      </c>
      <c r="O95" s="186">
        <f t="shared" si="296"/>
        <v>0</v>
      </c>
      <c r="P95" s="185">
        <f t="shared" si="139"/>
        <v>0</v>
      </c>
      <c r="Q95" s="186">
        <f t="shared" ref="Q95:T95" si="297">Q66</f>
        <v>0</v>
      </c>
      <c r="R95" s="186">
        <f t="shared" si="297"/>
        <v>0</v>
      </c>
      <c r="S95" s="186">
        <f t="shared" si="297"/>
        <v>0</v>
      </c>
      <c r="T95" s="186">
        <f t="shared" si="297"/>
        <v>0</v>
      </c>
      <c r="U95" s="185">
        <f t="shared" si="141"/>
        <v>0</v>
      </c>
      <c r="V95" s="186">
        <f t="shared" ref="V95:Y95" si="298">V66</f>
        <v>0</v>
      </c>
      <c r="W95" s="186">
        <f t="shared" si="298"/>
        <v>0</v>
      </c>
      <c r="X95" s="186">
        <f t="shared" si="298"/>
        <v>0</v>
      </c>
      <c r="Y95" s="186">
        <f t="shared" si="298"/>
        <v>0</v>
      </c>
      <c r="Z95" s="185">
        <f t="shared" si="143"/>
        <v>0</v>
      </c>
      <c r="AA95" s="186">
        <f t="shared" ref="AA95:AD95" si="299">AA66</f>
        <v>0</v>
      </c>
      <c r="AB95" s="186">
        <f t="shared" si="299"/>
        <v>0</v>
      </c>
      <c r="AC95" s="186">
        <f t="shared" si="299"/>
        <v>0</v>
      </c>
      <c r="AD95" s="186">
        <f t="shared" si="299"/>
        <v>0</v>
      </c>
      <c r="AE95" s="185">
        <f t="shared" si="145"/>
        <v>0</v>
      </c>
      <c r="AF95" s="186">
        <f t="shared" ref="AF95:AI95" si="300">AF66</f>
        <v>0</v>
      </c>
      <c r="AG95" s="186">
        <f t="shared" si="300"/>
        <v>0</v>
      </c>
      <c r="AH95" s="186">
        <f t="shared" si="300"/>
        <v>0</v>
      </c>
      <c r="AI95" s="186">
        <f t="shared" si="300"/>
        <v>0</v>
      </c>
      <c r="AJ95" s="185">
        <f t="shared" si="147"/>
        <v>0</v>
      </c>
      <c r="AK95" s="186">
        <f t="shared" ref="AK95:AN95" si="301">AK66</f>
        <v>0</v>
      </c>
      <c r="AL95" s="186">
        <f t="shared" si="301"/>
        <v>0</v>
      </c>
      <c r="AM95" s="186">
        <f t="shared" si="301"/>
        <v>0</v>
      </c>
      <c r="AN95" s="186">
        <f t="shared" si="301"/>
        <v>0</v>
      </c>
      <c r="AO95" s="185">
        <f t="shared" si="149"/>
        <v>0</v>
      </c>
      <c r="AP95" s="186"/>
      <c r="AQ95" s="186"/>
      <c r="AR95" s="188"/>
      <c r="AS95" s="188"/>
      <c r="AT95" s="188"/>
      <c r="AU95" s="186"/>
    </row>
    <row r="96" ht="10.5" customHeight="1" outlineLevel="1">
      <c r="A96" s="186" t="str">
        <f t="shared" ref="A96:E96" si="302">A51</f>
        <v>Management fees</v>
      </c>
      <c r="B96" s="186">
        <f t="shared" si="302"/>
        <v>0</v>
      </c>
      <c r="C96" s="186">
        <f t="shared" si="302"/>
        <v>0</v>
      </c>
      <c r="D96" s="186">
        <f t="shared" si="302"/>
        <v>0</v>
      </c>
      <c r="E96" s="186">
        <f t="shared" si="302"/>
        <v>0</v>
      </c>
      <c r="F96" s="185">
        <f t="shared" si="286"/>
        <v>0</v>
      </c>
      <c r="G96" s="186">
        <f t="shared" ref="G96:J96" si="303">G51</f>
        <v>0</v>
      </c>
      <c r="H96" s="186">
        <f t="shared" si="303"/>
        <v>0</v>
      </c>
      <c r="I96" s="186">
        <f t="shared" si="303"/>
        <v>0</v>
      </c>
      <c r="J96" s="186">
        <f t="shared" si="303"/>
        <v>0</v>
      </c>
      <c r="K96" s="185">
        <f t="shared" si="137"/>
        <v>0</v>
      </c>
      <c r="L96" s="186">
        <f t="shared" ref="L96:O96" si="304">L51</f>
        <v>0</v>
      </c>
      <c r="M96" s="186">
        <f t="shared" si="304"/>
        <v>0</v>
      </c>
      <c r="N96" s="186">
        <f t="shared" si="304"/>
        <v>0</v>
      </c>
      <c r="O96" s="186">
        <f t="shared" si="304"/>
        <v>0</v>
      </c>
      <c r="P96" s="185">
        <f t="shared" si="139"/>
        <v>0</v>
      </c>
      <c r="Q96" s="186">
        <f t="shared" ref="Q96:T96" si="305">Q51</f>
        <v>0</v>
      </c>
      <c r="R96" s="186">
        <f t="shared" si="305"/>
        <v>0</v>
      </c>
      <c r="S96" s="186">
        <f t="shared" si="305"/>
        <v>0</v>
      </c>
      <c r="T96" s="186">
        <f t="shared" si="305"/>
        <v>0</v>
      </c>
      <c r="U96" s="185">
        <f t="shared" si="141"/>
        <v>0</v>
      </c>
      <c r="V96" s="186">
        <f t="shared" ref="V96:Y96" si="306">V51</f>
        <v>0</v>
      </c>
      <c r="W96" s="186">
        <f t="shared" si="306"/>
        <v>0</v>
      </c>
      <c r="X96" s="186">
        <f t="shared" si="306"/>
        <v>0</v>
      </c>
      <c r="Y96" s="186">
        <f t="shared" si="306"/>
        <v>0</v>
      </c>
      <c r="Z96" s="185">
        <f t="shared" si="143"/>
        <v>0</v>
      </c>
      <c r="AA96" s="186">
        <f t="shared" ref="AA96:AD96" si="307">AA51</f>
        <v>0</v>
      </c>
      <c r="AB96" s="186">
        <f t="shared" si="307"/>
        <v>0</v>
      </c>
      <c r="AC96" s="186">
        <f t="shared" si="307"/>
        <v>0</v>
      </c>
      <c r="AD96" s="186">
        <f t="shared" si="307"/>
        <v>0</v>
      </c>
      <c r="AE96" s="185">
        <f t="shared" si="145"/>
        <v>0</v>
      </c>
      <c r="AF96" s="186">
        <f t="shared" ref="AF96:AI96" si="308">AF51</f>
        <v>0</v>
      </c>
      <c r="AG96" s="186">
        <f t="shared" si="308"/>
        <v>0</v>
      </c>
      <c r="AH96" s="186">
        <f t="shared" si="308"/>
        <v>0</v>
      </c>
      <c r="AI96" s="186">
        <f t="shared" si="308"/>
        <v>0</v>
      </c>
      <c r="AJ96" s="185">
        <f t="shared" si="147"/>
        <v>0</v>
      </c>
      <c r="AK96" s="186">
        <f t="shared" ref="AK96:AN96" si="309">AK51</f>
        <v>0</v>
      </c>
      <c r="AL96" s="186">
        <f t="shared" si="309"/>
        <v>0</v>
      </c>
      <c r="AM96" s="186">
        <f t="shared" si="309"/>
        <v>0</v>
      </c>
      <c r="AN96" s="186">
        <f t="shared" si="309"/>
        <v>0</v>
      </c>
      <c r="AO96" s="185">
        <f t="shared" si="149"/>
        <v>0</v>
      </c>
      <c r="AP96" s="186"/>
      <c r="AQ96" s="186"/>
      <c r="AR96" s="188"/>
      <c r="AS96" s="188"/>
      <c r="AT96" s="188"/>
      <c r="AU96" s="186"/>
    </row>
    <row r="97" ht="10.5" customHeight="1" outlineLevel="1">
      <c r="A97" s="186" t="str">
        <f t="shared" ref="A97:E97" si="310">A52</f>
        <v>IT system upgrade costs</v>
      </c>
      <c r="B97" s="186">
        <f t="shared" si="310"/>
        <v>0</v>
      </c>
      <c r="C97" s="186">
        <f t="shared" si="310"/>
        <v>0</v>
      </c>
      <c r="D97" s="186">
        <f t="shared" si="310"/>
        <v>0</v>
      </c>
      <c r="E97" s="186">
        <f t="shared" si="310"/>
        <v>0</v>
      </c>
      <c r="F97" s="185">
        <f t="shared" si="286"/>
        <v>0</v>
      </c>
      <c r="G97" s="186">
        <f t="shared" ref="G97:J97" si="311">G52</f>
        <v>0</v>
      </c>
      <c r="H97" s="186">
        <f t="shared" si="311"/>
        <v>0</v>
      </c>
      <c r="I97" s="186">
        <f t="shared" si="311"/>
        <v>0</v>
      </c>
      <c r="J97" s="186">
        <f t="shared" si="311"/>
        <v>0</v>
      </c>
      <c r="K97" s="185">
        <f t="shared" si="137"/>
        <v>0</v>
      </c>
      <c r="L97" s="186">
        <f t="shared" ref="L97:O97" si="312">L52</f>
        <v>0</v>
      </c>
      <c r="M97" s="186">
        <f t="shared" si="312"/>
        <v>0</v>
      </c>
      <c r="N97" s="186">
        <f t="shared" si="312"/>
        <v>0</v>
      </c>
      <c r="O97" s="186">
        <f t="shared" si="312"/>
        <v>0</v>
      </c>
      <c r="P97" s="185">
        <f t="shared" si="139"/>
        <v>0</v>
      </c>
      <c r="Q97" s="186">
        <f t="shared" ref="Q97:T97" si="313">Q52</f>
        <v>0</v>
      </c>
      <c r="R97" s="186">
        <f t="shared" si="313"/>
        <v>0</v>
      </c>
      <c r="S97" s="186">
        <f t="shared" si="313"/>
        <v>0</v>
      </c>
      <c r="T97" s="186">
        <f t="shared" si="313"/>
        <v>0</v>
      </c>
      <c r="U97" s="185">
        <f t="shared" si="141"/>
        <v>0</v>
      </c>
      <c r="V97" s="186">
        <f t="shared" ref="V97:Y97" si="314">V52</f>
        <v>0</v>
      </c>
      <c r="W97" s="186">
        <f t="shared" si="314"/>
        <v>0</v>
      </c>
      <c r="X97" s="186">
        <f t="shared" si="314"/>
        <v>0</v>
      </c>
      <c r="Y97" s="186">
        <f t="shared" si="314"/>
        <v>0</v>
      </c>
      <c r="Z97" s="185">
        <f t="shared" si="143"/>
        <v>0</v>
      </c>
      <c r="AA97" s="186">
        <f t="shared" ref="AA97:AD97" si="315">AA52</f>
        <v>0</v>
      </c>
      <c r="AB97" s="186">
        <f t="shared" si="315"/>
        <v>0</v>
      </c>
      <c r="AC97" s="186">
        <f t="shared" si="315"/>
        <v>0</v>
      </c>
      <c r="AD97" s="186">
        <f t="shared" si="315"/>
        <v>0</v>
      </c>
      <c r="AE97" s="185">
        <f t="shared" si="145"/>
        <v>0</v>
      </c>
      <c r="AF97" s="186">
        <f t="shared" ref="AF97:AI97" si="316">AF52</f>
        <v>0</v>
      </c>
      <c r="AG97" s="186">
        <f t="shared" si="316"/>
        <v>0</v>
      </c>
      <c r="AH97" s="186">
        <f t="shared" si="316"/>
        <v>0</v>
      </c>
      <c r="AI97" s="186">
        <f t="shared" si="316"/>
        <v>0</v>
      </c>
      <c r="AJ97" s="185">
        <f t="shared" si="147"/>
        <v>0</v>
      </c>
      <c r="AK97" s="186">
        <f t="shared" ref="AK97:AN97" si="317">AK52</f>
        <v>0</v>
      </c>
      <c r="AL97" s="186">
        <f t="shared" si="317"/>
        <v>0</v>
      </c>
      <c r="AM97" s="186">
        <f t="shared" si="317"/>
        <v>0</v>
      </c>
      <c r="AN97" s="186">
        <f t="shared" si="317"/>
        <v>0</v>
      </c>
      <c r="AO97" s="185">
        <f t="shared" si="149"/>
        <v>0</v>
      </c>
      <c r="AP97" s="186"/>
      <c r="AQ97" s="186"/>
      <c r="AR97" s="188"/>
      <c r="AS97" s="188"/>
      <c r="AT97" s="188"/>
      <c r="AU97" s="186"/>
    </row>
    <row r="98" ht="10.5" customHeight="1" outlineLevel="1">
      <c r="A98" s="186" t="str">
        <f t="shared" ref="A98:E98" si="318">A53</f>
        <v>IPO-related compensation expense</v>
      </c>
      <c r="B98" s="186">
        <f t="shared" si="318"/>
        <v>0</v>
      </c>
      <c r="C98" s="186">
        <f t="shared" si="318"/>
        <v>0</v>
      </c>
      <c r="D98" s="186">
        <f t="shared" si="318"/>
        <v>0</v>
      </c>
      <c r="E98" s="184">
        <f t="shared" si="318"/>
        <v>0</v>
      </c>
      <c r="F98" s="185">
        <f t="shared" si="286"/>
        <v>0</v>
      </c>
      <c r="G98" s="186">
        <f t="shared" ref="G98:O98" si="319">G53</f>
        <v>0</v>
      </c>
      <c r="H98" s="186">
        <f t="shared" si="319"/>
        <v>0</v>
      </c>
      <c r="I98" s="186">
        <f t="shared" si="319"/>
        <v>0</v>
      </c>
      <c r="J98" s="186">
        <f t="shared" si="319"/>
        <v>0</v>
      </c>
      <c r="K98" s="185">
        <f t="shared" si="319"/>
        <v>0</v>
      </c>
      <c r="L98" s="186">
        <f t="shared" si="319"/>
        <v>0</v>
      </c>
      <c r="M98" s="186">
        <f t="shared" si="319"/>
        <v>0</v>
      </c>
      <c r="N98" s="186">
        <f t="shared" si="319"/>
        <v>0</v>
      </c>
      <c r="O98" s="186">
        <f t="shared" si="319"/>
        <v>0</v>
      </c>
      <c r="P98" s="185">
        <f t="shared" si="139"/>
        <v>0</v>
      </c>
      <c r="Q98" s="186">
        <f t="shared" ref="Q98:T98" si="320">Q53</f>
        <v>0</v>
      </c>
      <c r="R98" s="186">
        <f t="shared" si="320"/>
        <v>0</v>
      </c>
      <c r="S98" s="186">
        <f t="shared" si="320"/>
        <v>0</v>
      </c>
      <c r="T98" s="186">
        <f t="shared" si="320"/>
        <v>0</v>
      </c>
      <c r="U98" s="185">
        <f t="shared" si="141"/>
        <v>0</v>
      </c>
      <c r="V98" s="186">
        <f t="shared" ref="V98:Y98" si="321">V53</f>
        <v>0</v>
      </c>
      <c r="W98" s="186">
        <f t="shared" si="321"/>
        <v>0</v>
      </c>
      <c r="X98" s="186">
        <f t="shared" si="321"/>
        <v>0</v>
      </c>
      <c r="Y98" s="186">
        <f t="shared" si="321"/>
        <v>0</v>
      </c>
      <c r="Z98" s="185">
        <f t="shared" si="143"/>
        <v>0</v>
      </c>
      <c r="AA98" s="186">
        <f t="shared" ref="AA98:AD98" si="322">AA53</f>
        <v>0</v>
      </c>
      <c r="AB98" s="186">
        <f t="shared" si="322"/>
        <v>0</v>
      </c>
      <c r="AC98" s="186">
        <f t="shared" si="322"/>
        <v>0</v>
      </c>
      <c r="AD98" s="186">
        <f t="shared" si="322"/>
        <v>0</v>
      </c>
      <c r="AE98" s="185">
        <f t="shared" si="145"/>
        <v>0</v>
      </c>
      <c r="AF98" s="186">
        <f t="shared" ref="AF98:AI98" si="323">AF53</f>
        <v>0</v>
      </c>
      <c r="AG98" s="186">
        <f t="shared" si="323"/>
        <v>0</v>
      </c>
      <c r="AH98" s="186">
        <f t="shared" si="323"/>
        <v>0</v>
      </c>
      <c r="AI98" s="186">
        <f t="shared" si="323"/>
        <v>0</v>
      </c>
      <c r="AJ98" s="185">
        <f t="shared" si="147"/>
        <v>0</v>
      </c>
      <c r="AK98" s="186">
        <f t="shared" ref="AK98:AN98" si="324">AK53</f>
        <v>0</v>
      </c>
      <c r="AL98" s="186">
        <f t="shared" si="324"/>
        <v>0</v>
      </c>
      <c r="AM98" s="186">
        <f t="shared" si="324"/>
        <v>0</v>
      </c>
      <c r="AN98" s="186">
        <f t="shared" si="324"/>
        <v>0</v>
      </c>
      <c r="AO98" s="185">
        <f t="shared" si="149"/>
        <v>0</v>
      </c>
      <c r="AP98" s="186"/>
      <c r="AQ98" s="186"/>
      <c r="AR98" s="188"/>
      <c r="AS98" s="188"/>
      <c r="AT98" s="188"/>
      <c r="AU98" s="186"/>
    </row>
    <row r="99" ht="10.5" customHeight="1" outlineLevel="1">
      <c r="A99" s="186" t="s">
        <v>208</v>
      </c>
      <c r="B99" s="186">
        <f t="shared" ref="B99:E99" si="325">B69</f>
        <v>0</v>
      </c>
      <c r="C99" s="186">
        <f t="shared" si="325"/>
        <v>0</v>
      </c>
      <c r="D99" s="186">
        <f t="shared" si="325"/>
        <v>0</v>
      </c>
      <c r="E99" s="186">
        <f t="shared" si="325"/>
        <v>0</v>
      </c>
      <c r="F99" s="185">
        <f t="shared" si="286"/>
        <v>0</v>
      </c>
      <c r="G99" s="186">
        <f t="shared" ref="G99:O99" si="326">G69</f>
        <v>0</v>
      </c>
      <c r="H99" s="186">
        <f t="shared" si="326"/>
        <v>0</v>
      </c>
      <c r="I99" s="186">
        <f t="shared" si="326"/>
        <v>0</v>
      </c>
      <c r="J99" s="186">
        <f t="shared" si="326"/>
        <v>0</v>
      </c>
      <c r="K99" s="185">
        <f t="shared" si="326"/>
        <v>0</v>
      </c>
      <c r="L99" s="186">
        <f t="shared" si="326"/>
        <v>0</v>
      </c>
      <c r="M99" s="186">
        <f t="shared" si="326"/>
        <v>0</v>
      </c>
      <c r="N99" s="186">
        <f t="shared" si="326"/>
        <v>-6.443</v>
      </c>
      <c r="O99" s="186">
        <f t="shared" si="326"/>
        <v>0</v>
      </c>
      <c r="P99" s="185">
        <f t="shared" si="139"/>
        <v>-6.443</v>
      </c>
      <c r="Q99" s="186">
        <f t="shared" ref="Q99:T99" si="327">Q69</f>
        <v>0</v>
      </c>
      <c r="R99" s="186">
        <f t="shared" si="327"/>
        <v>0</v>
      </c>
      <c r="S99" s="186">
        <f t="shared" si="327"/>
        <v>0</v>
      </c>
      <c r="T99" s="186">
        <f t="shared" si="327"/>
        <v>0</v>
      </c>
      <c r="U99" s="185">
        <f t="shared" si="141"/>
        <v>0</v>
      </c>
      <c r="V99" s="186">
        <f t="shared" ref="V99:Y99" si="328">V69</f>
        <v>0</v>
      </c>
      <c r="W99" s="186">
        <f t="shared" si="328"/>
        <v>0</v>
      </c>
      <c r="X99" s="186">
        <f t="shared" si="328"/>
        <v>0</v>
      </c>
      <c r="Y99" s="186">
        <f t="shared" si="328"/>
        <v>0</v>
      </c>
      <c r="Z99" s="185">
        <f t="shared" si="143"/>
        <v>0</v>
      </c>
      <c r="AA99" s="186">
        <f t="shared" ref="AA99:AD99" si="329">AA69</f>
        <v>0</v>
      </c>
      <c r="AB99" s="186">
        <f t="shared" si="329"/>
        <v>0</v>
      </c>
      <c r="AC99" s="186">
        <f t="shared" si="329"/>
        <v>0</v>
      </c>
      <c r="AD99" s="186">
        <f t="shared" si="329"/>
        <v>0</v>
      </c>
      <c r="AE99" s="185">
        <f t="shared" si="145"/>
        <v>0</v>
      </c>
      <c r="AF99" s="186">
        <f t="shared" ref="AF99:AI99" si="330">AF69</f>
        <v>0</v>
      </c>
      <c r="AG99" s="186">
        <f t="shared" si="330"/>
        <v>0</v>
      </c>
      <c r="AH99" s="186">
        <f t="shared" si="330"/>
        <v>0</v>
      </c>
      <c r="AI99" s="186">
        <f t="shared" si="330"/>
        <v>0</v>
      </c>
      <c r="AJ99" s="185">
        <f t="shared" si="147"/>
        <v>0</v>
      </c>
      <c r="AK99" s="186">
        <f t="shared" ref="AK99:AN99" si="331">AK69</f>
        <v>0</v>
      </c>
      <c r="AL99" s="186">
        <f t="shared" si="331"/>
        <v>0</v>
      </c>
      <c r="AM99" s="186">
        <f t="shared" si="331"/>
        <v>0</v>
      </c>
      <c r="AN99" s="186">
        <f t="shared" si="331"/>
        <v>0</v>
      </c>
      <c r="AO99" s="185">
        <f t="shared" si="149"/>
        <v>0</v>
      </c>
      <c r="AP99" s="186"/>
      <c r="AQ99" s="186"/>
      <c r="AR99" s="188"/>
      <c r="AS99" s="188"/>
      <c r="AT99" s="188"/>
      <c r="AU99" s="186"/>
    </row>
    <row r="100" ht="10.5" customHeight="1" outlineLevel="1">
      <c r="A100" s="186" t="s">
        <v>214</v>
      </c>
      <c r="B100" s="184">
        <v>0.0</v>
      </c>
      <c r="C100" s="184">
        <v>0.0</v>
      </c>
      <c r="D100" s="184">
        <v>0.0</v>
      </c>
      <c r="E100" s="184">
        <v>0.0</v>
      </c>
      <c r="F100" s="185">
        <f t="shared" si="286"/>
        <v>0</v>
      </c>
      <c r="G100" s="184">
        <v>0.0</v>
      </c>
      <c r="H100" s="184">
        <v>2.285</v>
      </c>
      <c r="I100" s="184">
        <v>0.0</v>
      </c>
      <c r="J100" s="184">
        <v>0.0</v>
      </c>
      <c r="K100" s="185">
        <f t="shared" ref="K100:K102" si="334">SUM(G100:J100)</f>
        <v>2.285</v>
      </c>
      <c r="L100" s="184">
        <v>0.0</v>
      </c>
      <c r="M100" s="184">
        <v>0.0</v>
      </c>
      <c r="N100" s="184">
        <v>0.0</v>
      </c>
      <c r="O100" s="184">
        <v>0.0</v>
      </c>
      <c r="P100" s="196">
        <f t="shared" si="139"/>
        <v>0</v>
      </c>
      <c r="Q100" s="184">
        <v>0.0</v>
      </c>
      <c r="R100" s="184">
        <v>0.0</v>
      </c>
      <c r="S100" s="184">
        <v>0.0</v>
      </c>
      <c r="T100" s="184">
        <v>0.0</v>
      </c>
      <c r="U100" s="196">
        <f t="shared" si="141"/>
        <v>0</v>
      </c>
      <c r="V100" s="184">
        <v>0.0</v>
      </c>
      <c r="W100" s="184">
        <v>0.0</v>
      </c>
      <c r="X100" s="184">
        <v>0.0</v>
      </c>
      <c r="Y100" s="184">
        <v>0.0</v>
      </c>
      <c r="Z100" s="196">
        <f t="shared" si="143"/>
        <v>0</v>
      </c>
      <c r="AA100" s="184">
        <v>0.0</v>
      </c>
      <c r="AB100" s="184">
        <v>0.0</v>
      </c>
      <c r="AC100" s="184">
        <v>0.0</v>
      </c>
      <c r="AD100" s="184">
        <v>0.0</v>
      </c>
      <c r="AE100" s="196">
        <f t="shared" si="145"/>
        <v>0</v>
      </c>
      <c r="AF100" s="184">
        <v>0.0</v>
      </c>
      <c r="AG100" s="184">
        <v>0.0</v>
      </c>
      <c r="AH100" s="184">
        <v>0.0</v>
      </c>
      <c r="AI100" s="184">
        <v>0.0</v>
      </c>
      <c r="AJ100" s="196">
        <f t="shared" si="147"/>
        <v>0</v>
      </c>
      <c r="AK100" s="184">
        <v>0.0</v>
      </c>
      <c r="AL100" s="184">
        <v>0.0</v>
      </c>
      <c r="AM100" s="184">
        <v>0.0</v>
      </c>
      <c r="AN100" s="184">
        <v>0.0</v>
      </c>
      <c r="AO100" s="196">
        <f t="shared" si="149"/>
        <v>0</v>
      </c>
      <c r="AP100" s="186"/>
      <c r="AQ100" s="186"/>
      <c r="AR100" s="188"/>
      <c r="AS100" s="188"/>
      <c r="AT100" s="188"/>
      <c r="AU100" s="186"/>
    </row>
    <row r="101" ht="10.5" customHeight="1" outlineLevel="1">
      <c r="A101" s="186" t="s">
        <v>210</v>
      </c>
      <c r="B101" s="186">
        <f t="shared" ref="B101:E101" si="332">B71</f>
        <v>-1.459</v>
      </c>
      <c r="C101" s="186">
        <f t="shared" si="332"/>
        <v>0.818</v>
      </c>
      <c r="D101" s="186">
        <f t="shared" si="332"/>
        <v>0.05</v>
      </c>
      <c r="E101" s="186">
        <f t="shared" si="332"/>
        <v>0.176</v>
      </c>
      <c r="F101" s="185">
        <f t="shared" si="286"/>
        <v>-0.415</v>
      </c>
      <c r="G101" s="186">
        <f t="shared" ref="G101:J101" si="333">G71</f>
        <v>-0.228</v>
      </c>
      <c r="H101" s="186">
        <f t="shared" si="333"/>
        <v>0.121</v>
      </c>
      <c r="I101" s="186">
        <f t="shared" si="333"/>
        <v>0.032</v>
      </c>
      <c r="J101" s="186">
        <f t="shared" si="333"/>
        <v>0.211</v>
      </c>
      <c r="K101" s="185">
        <f t="shared" si="334"/>
        <v>0.136</v>
      </c>
      <c r="L101" s="186">
        <f t="shared" ref="L101:O101" si="335">L71</f>
        <v>0.155</v>
      </c>
      <c r="M101" s="186">
        <f t="shared" si="335"/>
        <v>0.176</v>
      </c>
      <c r="N101" s="186">
        <f t="shared" si="335"/>
        <v>0.212</v>
      </c>
      <c r="O101" s="186">
        <f t="shared" si="335"/>
        <v>0</v>
      </c>
      <c r="P101" s="196">
        <f t="shared" si="139"/>
        <v>0.543</v>
      </c>
      <c r="Q101" s="186">
        <f t="shared" ref="Q101:T101" si="336">Q71</f>
        <v>0</v>
      </c>
      <c r="R101" s="186">
        <f t="shared" si="336"/>
        <v>0</v>
      </c>
      <c r="S101" s="186">
        <f t="shared" si="336"/>
        <v>0</v>
      </c>
      <c r="T101" s="186">
        <f t="shared" si="336"/>
        <v>0</v>
      </c>
      <c r="U101" s="196">
        <f t="shared" si="141"/>
        <v>0</v>
      </c>
      <c r="V101" s="186">
        <f t="shared" ref="V101:Y101" si="337">V71</f>
        <v>0</v>
      </c>
      <c r="W101" s="186">
        <f t="shared" si="337"/>
        <v>0</v>
      </c>
      <c r="X101" s="186">
        <f t="shared" si="337"/>
        <v>0</v>
      </c>
      <c r="Y101" s="186">
        <f t="shared" si="337"/>
        <v>0</v>
      </c>
      <c r="Z101" s="196">
        <f t="shared" si="143"/>
        <v>0</v>
      </c>
      <c r="AA101" s="186">
        <f t="shared" ref="AA101:AD101" si="338">AA71</f>
        <v>0</v>
      </c>
      <c r="AB101" s="186">
        <f t="shared" si="338"/>
        <v>0</v>
      </c>
      <c r="AC101" s="186">
        <f t="shared" si="338"/>
        <v>0</v>
      </c>
      <c r="AD101" s="186">
        <f t="shared" si="338"/>
        <v>0</v>
      </c>
      <c r="AE101" s="196">
        <f t="shared" si="145"/>
        <v>0</v>
      </c>
      <c r="AF101" s="186">
        <f t="shared" ref="AF101:AI101" si="339">AF71</f>
        <v>0</v>
      </c>
      <c r="AG101" s="186">
        <f t="shared" si="339"/>
        <v>0</v>
      </c>
      <c r="AH101" s="186">
        <f t="shared" si="339"/>
        <v>0</v>
      </c>
      <c r="AI101" s="186">
        <f t="shared" si="339"/>
        <v>0</v>
      </c>
      <c r="AJ101" s="196">
        <f t="shared" si="147"/>
        <v>0</v>
      </c>
      <c r="AK101" s="186">
        <f t="shared" ref="AK101:AN101" si="340">AK71</f>
        <v>0</v>
      </c>
      <c r="AL101" s="186">
        <f t="shared" si="340"/>
        <v>0</v>
      </c>
      <c r="AM101" s="186">
        <f t="shared" si="340"/>
        <v>0</v>
      </c>
      <c r="AN101" s="186">
        <f t="shared" si="340"/>
        <v>0</v>
      </c>
      <c r="AO101" s="196">
        <f t="shared" si="149"/>
        <v>0</v>
      </c>
      <c r="AP101" s="186"/>
      <c r="AQ101" s="186"/>
      <c r="AR101" s="188"/>
      <c r="AS101" s="188"/>
      <c r="AT101" s="188"/>
      <c r="AU101" s="186"/>
    </row>
    <row r="102" ht="10.5" customHeight="1" outlineLevel="1">
      <c r="A102" s="186" t="s">
        <v>215</v>
      </c>
      <c r="B102" s="184">
        <v>12.577</v>
      </c>
      <c r="C102" s="184">
        <v>12.954</v>
      </c>
      <c r="D102" s="184">
        <v>12.954</v>
      </c>
      <c r="E102" s="184">
        <v>12.955</v>
      </c>
      <c r="F102" s="185">
        <f t="shared" si="286"/>
        <v>51.44</v>
      </c>
      <c r="G102" s="184">
        <v>12.757</v>
      </c>
      <c r="H102" s="184">
        <v>12.758</v>
      </c>
      <c r="I102" s="184">
        <v>12.757</v>
      </c>
      <c r="J102" s="184">
        <v>10.918</v>
      </c>
      <c r="K102" s="185">
        <f t="shared" si="334"/>
        <v>49.19</v>
      </c>
      <c r="L102" s="184">
        <v>9.178</v>
      </c>
      <c r="M102" s="184">
        <v>9.178</v>
      </c>
      <c r="N102" s="184">
        <v>9.178</v>
      </c>
      <c r="O102" s="184">
        <f>J102</f>
        <v>10.918</v>
      </c>
      <c r="P102" s="196">
        <f t="shared" si="139"/>
        <v>38.452</v>
      </c>
      <c r="Q102" s="184">
        <f t="shared" ref="Q102:T102" si="341">L102</f>
        <v>9.178</v>
      </c>
      <c r="R102" s="184">
        <f t="shared" si="341"/>
        <v>9.178</v>
      </c>
      <c r="S102" s="184">
        <f t="shared" si="341"/>
        <v>9.178</v>
      </c>
      <c r="T102" s="184">
        <f t="shared" si="341"/>
        <v>10.918</v>
      </c>
      <c r="U102" s="196">
        <f t="shared" si="141"/>
        <v>38.452</v>
      </c>
      <c r="V102" s="184">
        <v>10.0</v>
      </c>
      <c r="W102" s="184">
        <v>11.0</v>
      </c>
      <c r="X102" s="184">
        <v>10.0</v>
      </c>
      <c r="Y102" s="184">
        <f>T102</f>
        <v>10.918</v>
      </c>
      <c r="Z102" s="196">
        <f t="shared" si="143"/>
        <v>41.918</v>
      </c>
      <c r="AA102" s="184">
        <f t="shared" ref="AA102:AD102" si="342">V102</f>
        <v>10</v>
      </c>
      <c r="AB102" s="184">
        <f t="shared" si="342"/>
        <v>11</v>
      </c>
      <c r="AC102" s="184">
        <f t="shared" si="342"/>
        <v>10</v>
      </c>
      <c r="AD102" s="184">
        <f t="shared" si="342"/>
        <v>10.918</v>
      </c>
      <c r="AE102" s="196">
        <f t="shared" si="145"/>
        <v>41.918</v>
      </c>
      <c r="AF102" s="184">
        <f t="shared" ref="AF102:AI102" si="343">AA102</f>
        <v>10</v>
      </c>
      <c r="AG102" s="184">
        <f t="shared" si="343"/>
        <v>11</v>
      </c>
      <c r="AH102" s="184">
        <f t="shared" si="343"/>
        <v>10</v>
      </c>
      <c r="AI102" s="184">
        <f t="shared" si="343"/>
        <v>10.918</v>
      </c>
      <c r="AJ102" s="196">
        <f t="shared" si="147"/>
        <v>41.918</v>
      </c>
      <c r="AK102" s="184">
        <f t="shared" ref="AK102:AN102" si="344">AF102</f>
        <v>10</v>
      </c>
      <c r="AL102" s="184">
        <f t="shared" si="344"/>
        <v>11</v>
      </c>
      <c r="AM102" s="184">
        <f t="shared" si="344"/>
        <v>10</v>
      </c>
      <c r="AN102" s="184">
        <f t="shared" si="344"/>
        <v>10.918</v>
      </c>
      <c r="AO102" s="196">
        <f t="shared" si="149"/>
        <v>41.918</v>
      </c>
      <c r="AP102" s="186"/>
      <c r="AQ102" s="186"/>
      <c r="AR102" s="188"/>
      <c r="AS102" s="188"/>
      <c r="AT102" s="188"/>
      <c r="AU102" s="186"/>
    </row>
    <row r="103" ht="10.5" customHeight="1">
      <c r="A103" s="193" t="s">
        <v>216</v>
      </c>
      <c r="B103" s="193">
        <f t="shared" ref="B103:AO103" si="345">SUM(B75:B77)</f>
        <v>32.306</v>
      </c>
      <c r="C103" s="193">
        <f t="shared" si="345"/>
        <v>59.825</v>
      </c>
      <c r="D103" s="193">
        <f t="shared" si="345"/>
        <v>52.332</v>
      </c>
      <c r="E103" s="193">
        <f t="shared" si="345"/>
        <v>54.093</v>
      </c>
      <c r="F103" s="194">
        <f t="shared" si="345"/>
        <v>268.568</v>
      </c>
      <c r="G103" s="193">
        <f t="shared" si="345"/>
        <v>63.716</v>
      </c>
      <c r="H103" s="193">
        <f t="shared" si="345"/>
        <v>83.812</v>
      </c>
      <c r="I103" s="193">
        <f t="shared" si="345"/>
        <v>73.802</v>
      </c>
      <c r="J103" s="193">
        <f t="shared" si="345"/>
        <v>80.587</v>
      </c>
      <c r="K103" s="194">
        <f t="shared" si="345"/>
        <v>301.917</v>
      </c>
      <c r="L103" s="193">
        <f t="shared" si="345"/>
        <v>67.517</v>
      </c>
      <c r="M103" s="193">
        <f t="shared" si="345"/>
        <v>97.867</v>
      </c>
      <c r="N103" s="193">
        <f t="shared" si="345"/>
        <v>90.43</v>
      </c>
      <c r="O103" s="193">
        <f t="shared" si="345"/>
        <v>91.84932804</v>
      </c>
      <c r="P103" s="194">
        <f t="shared" si="345"/>
        <v>347.663328</v>
      </c>
      <c r="Q103" s="193">
        <f t="shared" si="345"/>
        <v>87.68505302</v>
      </c>
      <c r="R103" s="193">
        <f t="shared" si="345"/>
        <v>121.2558972</v>
      </c>
      <c r="S103" s="193">
        <f t="shared" si="345"/>
        <v>115.0342056</v>
      </c>
      <c r="T103" s="193">
        <f t="shared" si="345"/>
        <v>118.3400847</v>
      </c>
      <c r="U103" s="194">
        <f t="shared" si="345"/>
        <v>442.3152405</v>
      </c>
      <c r="V103" s="193">
        <f t="shared" si="345"/>
        <v>108.5051322</v>
      </c>
      <c r="W103" s="193">
        <f t="shared" si="345"/>
        <v>144.7283308</v>
      </c>
      <c r="X103" s="193">
        <f t="shared" si="345"/>
        <v>139.7316839</v>
      </c>
      <c r="Y103" s="193">
        <f t="shared" si="345"/>
        <v>139.9327684</v>
      </c>
      <c r="Z103" s="194">
        <f t="shared" si="345"/>
        <v>532.8979152</v>
      </c>
      <c r="AA103" s="193">
        <f t="shared" si="345"/>
        <v>126.7661044</v>
      </c>
      <c r="AB103" s="193">
        <f t="shared" si="345"/>
        <v>164.5798165</v>
      </c>
      <c r="AC103" s="193">
        <f t="shared" si="345"/>
        <v>158.991849</v>
      </c>
      <c r="AD103" s="193">
        <f t="shared" si="345"/>
        <v>158.2369869</v>
      </c>
      <c r="AE103" s="194">
        <f t="shared" si="345"/>
        <v>608.5747567</v>
      </c>
      <c r="AF103" s="193">
        <f t="shared" si="345"/>
        <v>154.2419868</v>
      </c>
      <c r="AG103" s="193">
        <f t="shared" si="345"/>
        <v>184.5958116</v>
      </c>
      <c r="AH103" s="193">
        <f t="shared" si="345"/>
        <v>172.3428177</v>
      </c>
      <c r="AI103" s="193">
        <f t="shared" si="345"/>
        <v>172.4818073</v>
      </c>
      <c r="AJ103" s="194">
        <f t="shared" si="345"/>
        <v>683.6624234</v>
      </c>
      <c r="AK103" s="193">
        <f t="shared" si="345"/>
        <v>170.1768731</v>
      </c>
      <c r="AL103" s="193">
        <f t="shared" si="345"/>
        <v>201.0385458</v>
      </c>
      <c r="AM103" s="193">
        <f t="shared" si="345"/>
        <v>187.9334878</v>
      </c>
      <c r="AN103" s="193">
        <f t="shared" si="345"/>
        <v>187.26717</v>
      </c>
      <c r="AO103" s="194">
        <f t="shared" si="345"/>
        <v>746.4160767</v>
      </c>
      <c r="AP103" s="186"/>
      <c r="AQ103" s="186"/>
      <c r="AR103" s="188"/>
      <c r="AS103" s="188"/>
      <c r="AT103" s="188"/>
      <c r="AU103" s="186"/>
    </row>
    <row r="104" ht="10.5" customHeight="1">
      <c r="A104" s="186" t="s">
        <v>217</v>
      </c>
      <c r="B104" s="184">
        <v>12.719</v>
      </c>
      <c r="C104" s="184">
        <v>20.156</v>
      </c>
      <c r="D104" s="184">
        <v>18.107</v>
      </c>
      <c r="E104" s="184">
        <v>18.577</v>
      </c>
      <c r="F104" s="196">
        <v>69.559</v>
      </c>
      <c r="G104" s="184">
        <v>16.439</v>
      </c>
      <c r="H104" s="184">
        <v>21.645</v>
      </c>
      <c r="I104" s="184">
        <v>19.06</v>
      </c>
      <c r="J104" s="184">
        <v>20.863</v>
      </c>
      <c r="K104" s="196">
        <v>78.163</v>
      </c>
      <c r="L104" s="184">
        <v>17.487</v>
      </c>
      <c r="M104" s="184">
        <v>25.299</v>
      </c>
      <c r="N104" s="184">
        <v>23.421</v>
      </c>
      <c r="O104" s="186">
        <f>O103*Assumptions!O159</f>
        <v>23.78860015</v>
      </c>
      <c r="P104" s="185">
        <f>SUM(L104:O104)</f>
        <v>89.99560015</v>
      </c>
      <c r="Q104" s="186">
        <f>Q103*Assumptions!Q159</f>
        <v>22.53505863</v>
      </c>
      <c r="R104" s="186">
        <f>R103*Assumptions!R159</f>
        <v>31.16276558</v>
      </c>
      <c r="S104" s="186">
        <f>S103*Assumptions!S159</f>
        <v>29.56379083</v>
      </c>
      <c r="T104" s="186">
        <f>T103*Assumptions!T159</f>
        <v>30.41340177</v>
      </c>
      <c r="U104" s="185">
        <f>SUM(Q104:T104)</f>
        <v>113.6750168</v>
      </c>
      <c r="V104" s="186">
        <f>V103*Assumptions!V159</f>
        <v>27.45179844</v>
      </c>
      <c r="W104" s="186">
        <f>W103*Assumptions!W159</f>
        <v>36.61626768</v>
      </c>
      <c r="X104" s="186">
        <f>X103*Assumptions!X159</f>
        <v>35.35211602</v>
      </c>
      <c r="Y104" s="186">
        <f>Y103*Assumptions!Y159</f>
        <v>35.4029904</v>
      </c>
      <c r="Z104" s="185">
        <f>SUM(V104:Y104)</f>
        <v>134.8231725</v>
      </c>
      <c r="AA104" s="186">
        <f>AA103*Assumptions!AA159</f>
        <v>32.07182441</v>
      </c>
      <c r="AB104" s="186">
        <f>AB103*Assumptions!AB159</f>
        <v>41.63869358</v>
      </c>
      <c r="AC104" s="186">
        <f>AC103*Assumptions!AC159</f>
        <v>40.22493779</v>
      </c>
      <c r="AD104" s="186">
        <f>AD103*Assumptions!AD159</f>
        <v>40.03395768</v>
      </c>
      <c r="AE104" s="185">
        <f>SUM(AA104:AD104)</f>
        <v>153.9694135</v>
      </c>
      <c r="AF104" s="186">
        <f>AF103*Assumptions!AF159</f>
        <v>39.02322267</v>
      </c>
      <c r="AG104" s="186">
        <f>AG103*Assumptions!AG159</f>
        <v>46.70274033</v>
      </c>
      <c r="AH104" s="186">
        <f>AH103*Assumptions!AH159</f>
        <v>43.60273288</v>
      </c>
      <c r="AI104" s="186">
        <f>AI103*Assumptions!AI159</f>
        <v>43.63789725</v>
      </c>
      <c r="AJ104" s="185">
        <f>SUM(AF104:AI104)</f>
        <v>172.9665931</v>
      </c>
      <c r="AK104" s="186">
        <f>AK103*Assumptions!AK159</f>
        <v>43.05474891</v>
      </c>
      <c r="AL104" s="186">
        <f>AL103*Assumptions!AL159</f>
        <v>50.86275208</v>
      </c>
      <c r="AM104" s="186">
        <f>AM103*Assumptions!AM159</f>
        <v>47.54717241</v>
      </c>
      <c r="AN104" s="186">
        <f>AN103*Assumptions!AN159</f>
        <v>47.378594</v>
      </c>
      <c r="AO104" s="185">
        <f>SUM(AK104:AN104)</f>
        <v>188.8432674</v>
      </c>
      <c r="AP104" s="186"/>
      <c r="AQ104" s="186"/>
      <c r="AR104" s="188"/>
      <c r="AS104" s="188"/>
      <c r="AT104" s="188"/>
      <c r="AU104" s="186">
        <f>SUM(K104)-SUM(G104,H104,I104,J104)</f>
        <v>0.156</v>
      </c>
    </row>
    <row r="105" ht="10.5" customHeight="1">
      <c r="A105" s="193" t="s">
        <v>218</v>
      </c>
      <c r="B105" s="193">
        <f t="shared" ref="B105:AO105" si="346">B103-B104</f>
        <v>19.587</v>
      </c>
      <c r="C105" s="193">
        <f t="shared" si="346"/>
        <v>39.669</v>
      </c>
      <c r="D105" s="193">
        <f t="shared" si="346"/>
        <v>34.225</v>
      </c>
      <c r="E105" s="193">
        <f t="shared" si="346"/>
        <v>35.516</v>
      </c>
      <c r="F105" s="194">
        <f t="shared" si="346"/>
        <v>199.009</v>
      </c>
      <c r="G105" s="193">
        <f t="shared" si="346"/>
        <v>47.277</v>
      </c>
      <c r="H105" s="193">
        <f t="shared" si="346"/>
        <v>62.167</v>
      </c>
      <c r="I105" s="193">
        <f t="shared" si="346"/>
        <v>54.742</v>
      </c>
      <c r="J105" s="193">
        <f t="shared" si="346"/>
        <v>59.724</v>
      </c>
      <c r="K105" s="194">
        <f t="shared" si="346"/>
        <v>223.754</v>
      </c>
      <c r="L105" s="193">
        <f t="shared" si="346"/>
        <v>50.03</v>
      </c>
      <c r="M105" s="193">
        <f t="shared" si="346"/>
        <v>72.568</v>
      </c>
      <c r="N105" s="193">
        <f t="shared" si="346"/>
        <v>67.009</v>
      </c>
      <c r="O105" s="193">
        <f t="shared" si="346"/>
        <v>68.06072788</v>
      </c>
      <c r="P105" s="223">
        <f t="shared" si="346"/>
        <v>257.6677279</v>
      </c>
      <c r="Q105" s="193">
        <f t="shared" si="346"/>
        <v>65.14999439</v>
      </c>
      <c r="R105" s="193">
        <f t="shared" si="346"/>
        <v>90.09313163</v>
      </c>
      <c r="S105" s="193">
        <f t="shared" si="346"/>
        <v>85.47041474</v>
      </c>
      <c r="T105" s="193">
        <f t="shared" si="346"/>
        <v>87.92668294</v>
      </c>
      <c r="U105" s="194">
        <f t="shared" si="346"/>
        <v>328.6402237</v>
      </c>
      <c r="V105" s="193">
        <f t="shared" si="346"/>
        <v>81.05333373</v>
      </c>
      <c r="W105" s="193">
        <f t="shared" si="346"/>
        <v>108.1120631</v>
      </c>
      <c r="X105" s="193">
        <f t="shared" si="346"/>
        <v>104.3795679</v>
      </c>
      <c r="Y105" s="193">
        <f t="shared" si="346"/>
        <v>104.529778</v>
      </c>
      <c r="Z105" s="194">
        <f t="shared" si="346"/>
        <v>398.0747426</v>
      </c>
      <c r="AA105" s="193">
        <f t="shared" si="346"/>
        <v>94.69427999</v>
      </c>
      <c r="AB105" s="193">
        <f t="shared" si="346"/>
        <v>122.9411229</v>
      </c>
      <c r="AC105" s="193">
        <f t="shared" si="346"/>
        <v>118.7669112</v>
      </c>
      <c r="AD105" s="193">
        <f t="shared" si="346"/>
        <v>118.2030292</v>
      </c>
      <c r="AE105" s="194">
        <f t="shared" si="346"/>
        <v>454.6053433</v>
      </c>
      <c r="AF105" s="193">
        <f t="shared" si="346"/>
        <v>115.2187642</v>
      </c>
      <c r="AG105" s="193">
        <f t="shared" si="346"/>
        <v>137.8930712</v>
      </c>
      <c r="AH105" s="193">
        <f t="shared" si="346"/>
        <v>128.7400848</v>
      </c>
      <c r="AI105" s="193">
        <f t="shared" si="346"/>
        <v>128.8439101</v>
      </c>
      <c r="AJ105" s="194">
        <f t="shared" si="346"/>
        <v>510.6958303</v>
      </c>
      <c r="AK105" s="193">
        <f t="shared" si="346"/>
        <v>127.1221242</v>
      </c>
      <c r="AL105" s="193">
        <f t="shared" si="346"/>
        <v>150.1757937</v>
      </c>
      <c r="AM105" s="193">
        <f t="shared" si="346"/>
        <v>140.3863154</v>
      </c>
      <c r="AN105" s="193">
        <f t="shared" si="346"/>
        <v>139.888576</v>
      </c>
      <c r="AO105" s="194">
        <f t="shared" si="346"/>
        <v>557.5728093</v>
      </c>
      <c r="AP105" s="186"/>
      <c r="AQ105" s="186"/>
      <c r="AR105" s="188"/>
      <c r="AS105" s="188"/>
      <c r="AT105" s="188"/>
      <c r="AU105" s="186"/>
    </row>
    <row r="106" ht="10.5" customHeight="1">
      <c r="A106" s="183" t="s">
        <v>212</v>
      </c>
      <c r="B106" s="220" t="str">
        <f t="shared" ref="B106:F106" si="347">IFERROR(B105/#REF!-1,"na")</f>
        <v>na</v>
      </c>
      <c r="C106" s="220" t="str">
        <f t="shared" si="347"/>
        <v>na</v>
      </c>
      <c r="D106" s="220" t="str">
        <f t="shared" si="347"/>
        <v>na</v>
      </c>
      <c r="E106" s="220" t="str">
        <f t="shared" si="347"/>
        <v>na</v>
      </c>
      <c r="F106" s="221" t="str">
        <f t="shared" si="347"/>
        <v>na</v>
      </c>
      <c r="G106" s="220">
        <f t="shared" ref="G106:AO106" si="348">IFERROR(G105/B105-1,"na")</f>
        <v>1.413692755</v>
      </c>
      <c r="H106" s="220">
        <f t="shared" si="348"/>
        <v>0.5671431092</v>
      </c>
      <c r="I106" s="220">
        <f t="shared" si="348"/>
        <v>0.5994740687</v>
      </c>
      <c r="J106" s="220">
        <f t="shared" si="348"/>
        <v>0.6816082892</v>
      </c>
      <c r="K106" s="221">
        <f t="shared" si="348"/>
        <v>0.1243411102</v>
      </c>
      <c r="L106" s="220">
        <f t="shared" si="348"/>
        <v>0.05823127525</v>
      </c>
      <c r="M106" s="220">
        <f t="shared" si="348"/>
        <v>0.1673074139</v>
      </c>
      <c r="N106" s="220">
        <f t="shared" si="348"/>
        <v>0.2240875379</v>
      </c>
      <c r="O106" s="220">
        <f t="shared" si="348"/>
        <v>0.1395875675</v>
      </c>
      <c r="P106" s="221">
        <f t="shared" si="348"/>
        <v>0.151567024</v>
      </c>
      <c r="Q106" s="220">
        <f t="shared" si="348"/>
        <v>0.3022185567</v>
      </c>
      <c r="R106" s="220">
        <f t="shared" si="348"/>
        <v>0.2414994437</v>
      </c>
      <c r="S106" s="220">
        <f t="shared" si="348"/>
        <v>0.2755064952</v>
      </c>
      <c r="T106" s="220">
        <f t="shared" si="348"/>
        <v>0.2918857273</v>
      </c>
      <c r="U106" s="221">
        <f t="shared" si="348"/>
        <v>0.2754419282</v>
      </c>
      <c r="V106" s="220">
        <f t="shared" si="348"/>
        <v>0.2441034644</v>
      </c>
      <c r="W106" s="220">
        <f t="shared" si="348"/>
        <v>0.2000033868</v>
      </c>
      <c r="X106" s="220">
        <f t="shared" si="348"/>
        <v>0.2212362392</v>
      </c>
      <c r="Y106" s="220">
        <f t="shared" si="348"/>
        <v>0.188828857</v>
      </c>
      <c r="Z106" s="221">
        <f t="shared" si="348"/>
        <v>0.2112782123</v>
      </c>
      <c r="AA106" s="220">
        <f t="shared" si="348"/>
        <v>0.1682959309</v>
      </c>
      <c r="AB106" s="220">
        <f t="shared" si="348"/>
        <v>0.1371637857</v>
      </c>
      <c r="AC106" s="220">
        <f t="shared" si="348"/>
        <v>0.137836778</v>
      </c>
      <c r="AD106" s="220">
        <f t="shared" si="348"/>
        <v>0.1308072349</v>
      </c>
      <c r="AE106" s="221">
        <f t="shared" si="348"/>
        <v>0.1420100162</v>
      </c>
      <c r="AF106" s="220">
        <f t="shared" si="348"/>
        <v>0.2167447092</v>
      </c>
      <c r="AG106" s="220">
        <f t="shared" si="348"/>
        <v>0.1216187713</v>
      </c>
      <c r="AH106" s="220">
        <f t="shared" si="348"/>
        <v>0.08397266169</v>
      </c>
      <c r="AI106" s="220">
        <f t="shared" si="348"/>
        <v>0.0900220658</v>
      </c>
      <c r="AJ106" s="221">
        <f t="shared" si="348"/>
        <v>0.1233828151</v>
      </c>
      <c r="AK106" s="220">
        <f t="shared" si="348"/>
        <v>0.1033109508</v>
      </c>
      <c r="AL106" s="220">
        <f t="shared" si="348"/>
        <v>0.08907425398</v>
      </c>
      <c r="AM106" s="220">
        <f t="shared" si="348"/>
        <v>0.09046312637</v>
      </c>
      <c r="AN106" s="220">
        <f t="shared" si="348"/>
        <v>0.08572128788</v>
      </c>
      <c r="AO106" s="221">
        <f t="shared" si="348"/>
        <v>0.09179040872</v>
      </c>
      <c r="AP106" s="165"/>
      <c r="AQ106" s="187"/>
      <c r="AR106" s="188"/>
      <c r="AS106" s="188"/>
      <c r="AT106" s="188"/>
      <c r="AU106" s="164"/>
    </row>
    <row r="107" ht="10.5" customHeight="1">
      <c r="A107" s="164" t="s">
        <v>219</v>
      </c>
      <c r="B107" s="184">
        <v>89.794</v>
      </c>
      <c r="C107" s="184">
        <v>89.092</v>
      </c>
      <c r="D107" s="184">
        <v>88.42</v>
      </c>
      <c r="E107" s="184">
        <v>88.441</v>
      </c>
      <c r="F107" s="196">
        <v>88.92</v>
      </c>
      <c r="G107" s="184">
        <v>88.399</v>
      </c>
      <c r="H107" s="184">
        <v>87.685</v>
      </c>
      <c r="I107" s="184">
        <v>85.26</v>
      </c>
      <c r="J107" s="184">
        <v>84.845</v>
      </c>
      <c r="K107" s="196">
        <v>86.537</v>
      </c>
      <c r="L107" s="184">
        <v>84.744</v>
      </c>
      <c r="M107" s="184">
        <v>84.398</v>
      </c>
      <c r="N107" s="184">
        <v>84.033</v>
      </c>
      <c r="O107" s="186">
        <f>N107</f>
        <v>84.033</v>
      </c>
      <c r="P107" s="224">
        <f>AVERAGE(L107:O107)</f>
        <v>84.302</v>
      </c>
      <c r="Q107" s="186">
        <f>N107</f>
        <v>84.033</v>
      </c>
      <c r="R107" s="186">
        <f t="shared" ref="R107:T107" si="349">Q107</f>
        <v>84.033</v>
      </c>
      <c r="S107" s="186">
        <f t="shared" si="349"/>
        <v>84.033</v>
      </c>
      <c r="T107" s="186">
        <f t="shared" si="349"/>
        <v>84.033</v>
      </c>
      <c r="U107" s="185">
        <f>AVERAGE(Q107:T107)</f>
        <v>84.033</v>
      </c>
      <c r="V107" s="186">
        <f t="shared" ref="V107:Y107" si="350">Q107</f>
        <v>84.033</v>
      </c>
      <c r="W107" s="186">
        <f t="shared" si="350"/>
        <v>84.033</v>
      </c>
      <c r="X107" s="186">
        <f t="shared" si="350"/>
        <v>84.033</v>
      </c>
      <c r="Y107" s="186">
        <f t="shared" si="350"/>
        <v>84.033</v>
      </c>
      <c r="Z107" s="185">
        <f>AVERAGE(V107:Y107)</f>
        <v>84.033</v>
      </c>
      <c r="AA107" s="186">
        <f t="shared" ref="AA107:AD107" si="351">V107</f>
        <v>84.033</v>
      </c>
      <c r="AB107" s="186">
        <f t="shared" si="351"/>
        <v>84.033</v>
      </c>
      <c r="AC107" s="186">
        <f t="shared" si="351"/>
        <v>84.033</v>
      </c>
      <c r="AD107" s="186">
        <f t="shared" si="351"/>
        <v>84.033</v>
      </c>
      <c r="AE107" s="185">
        <f>AVERAGE(AA107:AD107)</f>
        <v>84.033</v>
      </c>
      <c r="AF107" s="186">
        <f t="shared" ref="AF107:AI107" si="352">AA107</f>
        <v>84.033</v>
      </c>
      <c r="AG107" s="186">
        <f t="shared" si="352"/>
        <v>84.033</v>
      </c>
      <c r="AH107" s="186">
        <f t="shared" si="352"/>
        <v>84.033</v>
      </c>
      <c r="AI107" s="186">
        <f t="shared" si="352"/>
        <v>84.033</v>
      </c>
      <c r="AJ107" s="185">
        <f>AVERAGE(AF107:AI107)</f>
        <v>84.033</v>
      </c>
      <c r="AK107" s="186">
        <f t="shared" ref="AK107:AN107" si="353">AF107</f>
        <v>84.033</v>
      </c>
      <c r="AL107" s="186">
        <f t="shared" si="353"/>
        <v>84.033</v>
      </c>
      <c r="AM107" s="186">
        <f t="shared" si="353"/>
        <v>84.033</v>
      </c>
      <c r="AN107" s="186">
        <f t="shared" si="353"/>
        <v>84.033</v>
      </c>
      <c r="AO107" s="185">
        <f>AVERAGE(AK107:AN107)</f>
        <v>84.033</v>
      </c>
      <c r="AP107" s="165"/>
      <c r="AQ107" s="187"/>
      <c r="AR107" s="188"/>
      <c r="AS107" s="188"/>
      <c r="AT107" s="188"/>
      <c r="AU107" s="164"/>
    </row>
    <row r="108" ht="10.5" customHeight="1">
      <c r="A108" s="181" t="s">
        <v>220</v>
      </c>
      <c r="B108" s="225">
        <f t="shared" ref="B108:AO108" si="354">B105/B107</f>
        <v>0.2181326147</v>
      </c>
      <c r="C108" s="225">
        <f t="shared" si="354"/>
        <v>0.4452588336</v>
      </c>
      <c r="D108" s="225">
        <f t="shared" si="354"/>
        <v>0.3870730604</v>
      </c>
      <c r="E108" s="225">
        <f t="shared" si="354"/>
        <v>0.4015784534</v>
      </c>
      <c r="F108" s="226">
        <f t="shared" si="354"/>
        <v>2.238067926</v>
      </c>
      <c r="G108" s="225">
        <f t="shared" si="354"/>
        <v>0.5348137422</v>
      </c>
      <c r="H108" s="225">
        <f t="shared" si="354"/>
        <v>0.7089810116</v>
      </c>
      <c r="I108" s="225">
        <f t="shared" si="354"/>
        <v>0.6420595825</v>
      </c>
      <c r="J108" s="225">
        <f t="shared" si="354"/>
        <v>0.703918911</v>
      </c>
      <c r="K108" s="226">
        <f t="shared" si="354"/>
        <v>2.585645446</v>
      </c>
      <c r="L108" s="225">
        <f t="shared" si="354"/>
        <v>0.5903662796</v>
      </c>
      <c r="M108" s="225">
        <f t="shared" si="354"/>
        <v>0.8598308017</v>
      </c>
      <c r="N108" s="225">
        <f t="shared" si="354"/>
        <v>0.7974129211</v>
      </c>
      <c r="O108" s="225">
        <f t="shared" si="354"/>
        <v>0.8099285743</v>
      </c>
      <c r="P108" s="226">
        <f t="shared" si="354"/>
        <v>3.056484163</v>
      </c>
      <c r="Q108" s="225">
        <f t="shared" si="354"/>
        <v>0.7752905929</v>
      </c>
      <c r="R108" s="225">
        <f t="shared" si="354"/>
        <v>1.072116093</v>
      </c>
      <c r="S108" s="225">
        <f t="shared" si="354"/>
        <v>1.01710536</v>
      </c>
      <c r="T108" s="225">
        <f t="shared" si="354"/>
        <v>1.046335165</v>
      </c>
      <c r="U108" s="226">
        <f t="shared" si="354"/>
        <v>3.910847211</v>
      </c>
      <c r="V108" s="225">
        <f t="shared" si="354"/>
        <v>0.9645417125</v>
      </c>
      <c r="W108" s="225">
        <f t="shared" si="354"/>
        <v>1.286542942</v>
      </c>
      <c r="X108" s="225">
        <f t="shared" si="354"/>
        <v>1.242125925</v>
      </c>
      <c r="Y108" s="225">
        <f t="shared" si="354"/>
        <v>1.243913438</v>
      </c>
      <c r="Z108" s="226">
        <f t="shared" si="354"/>
        <v>4.737124018</v>
      </c>
      <c r="AA108" s="225">
        <f t="shared" si="354"/>
        <v>1.126870158</v>
      </c>
      <c r="AB108" s="225">
        <f t="shared" si="354"/>
        <v>1.463010043</v>
      </c>
      <c r="AC108" s="225">
        <f t="shared" si="354"/>
        <v>1.41333656</v>
      </c>
      <c r="AD108" s="225">
        <f t="shared" si="354"/>
        <v>1.406626316</v>
      </c>
      <c r="AE108" s="226">
        <f t="shared" si="354"/>
        <v>5.409843077</v>
      </c>
      <c r="AF108" s="225">
        <f t="shared" si="354"/>
        <v>1.371113303</v>
      </c>
      <c r="AG108" s="225">
        <f t="shared" si="354"/>
        <v>1.640939527</v>
      </c>
      <c r="AH108" s="225">
        <f t="shared" si="354"/>
        <v>1.532018193</v>
      </c>
      <c r="AI108" s="225">
        <f t="shared" si="354"/>
        <v>1.533253723</v>
      </c>
      <c r="AJ108" s="226">
        <f t="shared" si="354"/>
        <v>6.077324745</v>
      </c>
      <c r="AK108" s="225">
        <f t="shared" si="354"/>
        <v>1.512764322</v>
      </c>
      <c r="AL108" s="225">
        <f t="shared" si="354"/>
        <v>1.787104991</v>
      </c>
      <c r="AM108" s="225">
        <f t="shared" si="354"/>
        <v>1.670609349</v>
      </c>
      <c r="AN108" s="225">
        <f t="shared" si="354"/>
        <v>1.664686206</v>
      </c>
      <c r="AO108" s="226">
        <f t="shared" si="354"/>
        <v>6.635164867</v>
      </c>
      <c r="AP108" s="227"/>
      <c r="AQ108" s="187"/>
      <c r="AR108" s="188"/>
      <c r="AS108" s="188"/>
      <c r="AT108" s="188"/>
      <c r="AU108" s="227"/>
    </row>
    <row r="109" ht="10.5" customHeight="1">
      <c r="A109" s="183" t="s">
        <v>212</v>
      </c>
      <c r="B109" s="220" t="str">
        <f t="shared" ref="B109:F109" si="355">IFERROR(B108/#REF!-1,"na")</f>
        <v>na</v>
      </c>
      <c r="C109" s="220" t="str">
        <f t="shared" si="355"/>
        <v>na</v>
      </c>
      <c r="D109" s="220" t="str">
        <f t="shared" si="355"/>
        <v>na</v>
      </c>
      <c r="E109" s="220" t="str">
        <f t="shared" si="355"/>
        <v>na</v>
      </c>
      <c r="F109" s="221" t="str">
        <f t="shared" si="355"/>
        <v>na</v>
      </c>
      <c r="G109" s="220">
        <f t="shared" ref="G109:AO109" si="356">IFERROR(G108/B108-1,"na")</f>
        <v>1.451782569</v>
      </c>
      <c r="H109" s="220">
        <f t="shared" si="356"/>
        <v>0.5922896036</v>
      </c>
      <c r="I109" s="220">
        <f t="shared" si="356"/>
        <v>0.6587555378</v>
      </c>
      <c r="J109" s="220">
        <f t="shared" si="356"/>
        <v>0.7528801781</v>
      </c>
      <c r="K109" s="221">
        <f t="shared" si="356"/>
        <v>0.1553024893</v>
      </c>
      <c r="L109" s="220">
        <f t="shared" si="356"/>
        <v>0.1038726813</v>
      </c>
      <c r="M109" s="220">
        <f t="shared" si="356"/>
        <v>0.2127698593</v>
      </c>
      <c r="N109" s="220">
        <f t="shared" si="356"/>
        <v>0.2419609377</v>
      </c>
      <c r="O109" s="220">
        <f t="shared" si="356"/>
        <v>0.1505992546</v>
      </c>
      <c r="P109" s="221">
        <f t="shared" si="356"/>
        <v>0.1820971691</v>
      </c>
      <c r="Q109" s="220">
        <f t="shared" si="356"/>
        <v>0.3132365781</v>
      </c>
      <c r="R109" s="220">
        <f t="shared" si="356"/>
        <v>0.2468919359</v>
      </c>
      <c r="S109" s="220">
        <f t="shared" si="356"/>
        <v>0.2755064952</v>
      </c>
      <c r="T109" s="220">
        <f t="shared" si="356"/>
        <v>0.2918857273</v>
      </c>
      <c r="U109" s="221">
        <f t="shared" si="356"/>
        <v>0.2795247752</v>
      </c>
      <c r="V109" s="220">
        <f t="shared" si="356"/>
        <v>0.2441034644</v>
      </c>
      <c r="W109" s="220">
        <f t="shared" si="356"/>
        <v>0.2000033868</v>
      </c>
      <c r="X109" s="220">
        <f t="shared" si="356"/>
        <v>0.2212362392</v>
      </c>
      <c r="Y109" s="220">
        <f t="shared" si="356"/>
        <v>0.188828857</v>
      </c>
      <c r="Z109" s="221">
        <f t="shared" si="356"/>
        <v>0.2112782123</v>
      </c>
      <c r="AA109" s="220">
        <f t="shared" si="356"/>
        <v>0.1682959309</v>
      </c>
      <c r="AB109" s="220">
        <f t="shared" si="356"/>
        <v>0.1371637857</v>
      </c>
      <c r="AC109" s="220">
        <f t="shared" si="356"/>
        <v>0.137836778</v>
      </c>
      <c r="AD109" s="220">
        <f t="shared" si="356"/>
        <v>0.1308072349</v>
      </c>
      <c r="AE109" s="221">
        <f t="shared" si="356"/>
        <v>0.1420100162</v>
      </c>
      <c r="AF109" s="220">
        <f t="shared" si="356"/>
        <v>0.2167447092</v>
      </c>
      <c r="AG109" s="220">
        <f t="shared" si="356"/>
        <v>0.1216187713</v>
      </c>
      <c r="AH109" s="220">
        <f t="shared" si="356"/>
        <v>0.08397266169</v>
      </c>
      <c r="AI109" s="220">
        <f t="shared" si="356"/>
        <v>0.0900220658</v>
      </c>
      <c r="AJ109" s="221">
        <f t="shared" si="356"/>
        <v>0.1233828151</v>
      </c>
      <c r="AK109" s="220">
        <f t="shared" si="356"/>
        <v>0.1033109508</v>
      </c>
      <c r="AL109" s="220">
        <f t="shared" si="356"/>
        <v>0.08907425398</v>
      </c>
      <c r="AM109" s="220">
        <f t="shared" si="356"/>
        <v>0.09046312637</v>
      </c>
      <c r="AN109" s="220">
        <f t="shared" si="356"/>
        <v>0.08572128788</v>
      </c>
      <c r="AO109" s="221">
        <f t="shared" si="356"/>
        <v>0.09179040872</v>
      </c>
      <c r="AP109" s="227"/>
      <c r="AQ109" s="187"/>
      <c r="AR109" s="188"/>
      <c r="AS109" s="188"/>
      <c r="AT109" s="188"/>
      <c r="AU109" s="227"/>
    </row>
    <row r="110" ht="10.5" customHeight="1">
      <c r="A110" s="164"/>
      <c r="B110" s="210"/>
      <c r="C110" s="210"/>
      <c r="D110" s="210"/>
      <c r="E110" s="210"/>
      <c r="F110" s="211"/>
      <c r="G110" s="210"/>
      <c r="H110" s="164"/>
      <c r="I110" s="210"/>
      <c r="J110" s="165"/>
      <c r="K110" s="207"/>
      <c r="L110" s="165"/>
      <c r="M110" s="165"/>
      <c r="N110" s="165"/>
      <c r="O110" s="165"/>
      <c r="P110" s="207"/>
      <c r="Q110" s="165"/>
      <c r="R110" s="165"/>
      <c r="S110" s="165"/>
      <c r="T110" s="165"/>
      <c r="U110" s="207"/>
      <c r="V110" s="165"/>
      <c r="W110" s="165"/>
      <c r="X110" s="165"/>
      <c r="Y110" s="165"/>
      <c r="Z110" s="207"/>
      <c r="AA110" s="165"/>
      <c r="AB110" s="165"/>
      <c r="AC110" s="165"/>
      <c r="AD110" s="165"/>
      <c r="AE110" s="207"/>
      <c r="AF110" s="165"/>
      <c r="AG110" s="165"/>
      <c r="AH110" s="165"/>
      <c r="AI110" s="165"/>
      <c r="AJ110" s="207"/>
      <c r="AK110" s="165"/>
      <c r="AL110" s="165"/>
      <c r="AM110" s="165"/>
      <c r="AN110" s="165"/>
      <c r="AO110" s="207"/>
      <c r="AP110" s="165"/>
      <c r="AQ110" s="187"/>
      <c r="AR110" s="188"/>
      <c r="AS110" s="188"/>
      <c r="AT110" s="188"/>
      <c r="AU110" s="164"/>
    </row>
    <row r="111" ht="10.5" customHeight="1">
      <c r="A111" s="198" t="s">
        <v>221</v>
      </c>
      <c r="B111" s="215"/>
      <c r="C111" s="215"/>
      <c r="D111" s="215"/>
      <c r="E111" s="215"/>
      <c r="F111" s="216"/>
      <c r="G111" s="215"/>
      <c r="H111" s="215"/>
      <c r="I111" s="215"/>
      <c r="J111" s="215"/>
      <c r="K111" s="216"/>
      <c r="L111" s="215"/>
      <c r="M111" s="215"/>
      <c r="N111" s="215"/>
      <c r="O111" s="215"/>
      <c r="P111" s="216"/>
      <c r="Q111" s="215"/>
      <c r="R111" s="215"/>
      <c r="S111" s="215"/>
      <c r="T111" s="215"/>
      <c r="U111" s="216"/>
      <c r="V111" s="215"/>
      <c r="W111" s="215"/>
      <c r="X111" s="215"/>
      <c r="Y111" s="215"/>
      <c r="Z111" s="216"/>
      <c r="AA111" s="215"/>
      <c r="AB111" s="215"/>
      <c r="AC111" s="215"/>
      <c r="AD111" s="215"/>
      <c r="AE111" s="216"/>
      <c r="AF111" s="215"/>
      <c r="AG111" s="215"/>
      <c r="AH111" s="215"/>
      <c r="AI111" s="215"/>
      <c r="AJ111" s="216"/>
      <c r="AK111" s="215"/>
      <c r="AL111" s="215"/>
      <c r="AM111" s="215"/>
      <c r="AN111" s="215"/>
      <c r="AO111" s="216"/>
      <c r="AP111" s="165"/>
      <c r="AQ111" s="187"/>
      <c r="AR111" s="188"/>
      <c r="AS111" s="188"/>
      <c r="AT111" s="188"/>
      <c r="AU111" s="164"/>
    </row>
    <row r="112" ht="10.5" customHeight="1">
      <c r="A112" s="183" t="s">
        <v>222</v>
      </c>
      <c r="B112" s="184">
        <v>90.288</v>
      </c>
      <c r="C112" s="184">
        <v>96.337</v>
      </c>
      <c r="D112" s="184">
        <v>95.209</v>
      </c>
      <c r="E112" s="228">
        <f t="shared" ref="E112:E113" si="357">F112-SUM(B112:D112)</f>
        <v>94.693</v>
      </c>
      <c r="F112" s="196">
        <v>376.527</v>
      </c>
      <c r="G112" s="184">
        <v>100.528</v>
      </c>
      <c r="H112" s="184">
        <v>104.541</v>
      </c>
      <c r="I112" s="184">
        <v>98.902</v>
      </c>
      <c r="J112" s="229">
        <f>J114-J113</f>
        <v>105.022</v>
      </c>
      <c r="K112" s="230">
        <f t="shared" ref="K112:K113" si="358">SUM(G112:J112)</f>
        <v>408.993</v>
      </c>
      <c r="L112" s="229"/>
      <c r="M112" s="229"/>
      <c r="N112" s="229"/>
      <c r="O112" s="186"/>
      <c r="P112" s="185"/>
      <c r="Q112" s="186"/>
      <c r="R112" s="186"/>
      <c r="S112" s="186"/>
      <c r="T112" s="186"/>
      <c r="U112" s="185"/>
      <c r="V112" s="186"/>
      <c r="W112" s="186"/>
      <c r="X112" s="186"/>
      <c r="Y112" s="186"/>
      <c r="Z112" s="185"/>
      <c r="AA112" s="186"/>
      <c r="AB112" s="186"/>
      <c r="AC112" s="186"/>
      <c r="AD112" s="186"/>
      <c r="AE112" s="185"/>
      <c r="AF112" s="186"/>
      <c r="AG112" s="186"/>
      <c r="AH112" s="186"/>
      <c r="AI112" s="186"/>
      <c r="AJ112" s="185"/>
      <c r="AK112" s="186"/>
      <c r="AL112" s="186"/>
      <c r="AM112" s="186"/>
      <c r="AN112" s="186"/>
      <c r="AO112" s="185"/>
      <c r="AP112" s="165"/>
      <c r="AQ112" s="187"/>
      <c r="AR112" s="188"/>
      <c r="AS112" s="188"/>
      <c r="AT112" s="188"/>
      <c r="AU112" s="164"/>
    </row>
    <row r="113" ht="10.5" customHeight="1">
      <c r="A113" s="189" t="s">
        <v>223</v>
      </c>
      <c r="B113" s="190">
        <v>2.394</v>
      </c>
      <c r="C113" s="190">
        <v>2.505</v>
      </c>
      <c r="D113" s="190">
        <v>2.956</v>
      </c>
      <c r="E113" s="231">
        <f t="shared" si="357"/>
        <v>3.547</v>
      </c>
      <c r="F113" s="197">
        <v>11.402</v>
      </c>
      <c r="G113" s="190">
        <v>3.492</v>
      </c>
      <c r="H113" s="190">
        <v>3.249</v>
      </c>
      <c r="I113" s="190">
        <v>3.513</v>
      </c>
      <c r="J113" s="232">
        <v>4.0</v>
      </c>
      <c r="K113" s="233">
        <f t="shared" si="358"/>
        <v>14.254</v>
      </c>
      <c r="L113" s="232"/>
      <c r="M113" s="232"/>
      <c r="N113" s="232"/>
      <c r="O113" s="192"/>
      <c r="P113" s="191"/>
      <c r="Q113" s="192"/>
      <c r="R113" s="192"/>
      <c r="S113" s="192"/>
      <c r="T113" s="192"/>
      <c r="U113" s="191"/>
      <c r="V113" s="192"/>
      <c r="W113" s="192"/>
      <c r="X113" s="192"/>
      <c r="Y113" s="192"/>
      <c r="Z113" s="191"/>
      <c r="AA113" s="192"/>
      <c r="AB113" s="192"/>
      <c r="AC113" s="192"/>
      <c r="AD113" s="192"/>
      <c r="AE113" s="191"/>
      <c r="AF113" s="192"/>
      <c r="AG113" s="192"/>
      <c r="AH113" s="192"/>
      <c r="AI113" s="192"/>
      <c r="AJ113" s="191"/>
      <c r="AK113" s="192"/>
      <c r="AL113" s="192"/>
      <c r="AM113" s="192"/>
      <c r="AN113" s="192"/>
      <c r="AO113" s="191"/>
      <c r="AP113" s="165"/>
      <c r="AQ113" s="187"/>
      <c r="AR113" s="188"/>
      <c r="AS113" s="188"/>
      <c r="AT113" s="188"/>
      <c r="AU113" s="164"/>
    </row>
    <row r="114" ht="10.5" customHeight="1">
      <c r="A114" s="181" t="s">
        <v>224</v>
      </c>
      <c r="B114" s="193">
        <f t="shared" ref="B114:I114" si="359">SUM(B112:B113)</f>
        <v>92.682</v>
      </c>
      <c r="C114" s="193">
        <f t="shared" si="359"/>
        <v>98.842</v>
      </c>
      <c r="D114" s="193">
        <f t="shared" si="359"/>
        <v>98.165</v>
      </c>
      <c r="E114" s="193">
        <f t="shared" si="359"/>
        <v>98.24</v>
      </c>
      <c r="F114" s="194">
        <f t="shared" si="359"/>
        <v>387.929</v>
      </c>
      <c r="G114" s="193">
        <f t="shared" si="359"/>
        <v>104.02</v>
      </c>
      <c r="H114" s="193">
        <f t="shared" si="359"/>
        <v>107.79</v>
      </c>
      <c r="I114" s="193">
        <f t="shared" si="359"/>
        <v>102.415</v>
      </c>
      <c r="J114" s="193">
        <f>K114-I114-H114-G114</f>
        <v>109.022</v>
      </c>
      <c r="K114" s="234">
        <v>423.247</v>
      </c>
      <c r="L114" s="235">
        <v>115.18</v>
      </c>
      <c r="M114" s="219">
        <v>119.658</v>
      </c>
      <c r="N114" s="219">
        <v>113.675</v>
      </c>
      <c r="O114" s="193"/>
      <c r="P114" s="236"/>
      <c r="Q114" s="193"/>
      <c r="R114" s="193"/>
      <c r="S114" s="193"/>
      <c r="T114" s="193"/>
      <c r="U114" s="237"/>
      <c r="V114" s="193"/>
      <c r="W114" s="193"/>
      <c r="X114" s="193"/>
      <c r="Y114" s="193"/>
      <c r="Z114" s="237"/>
      <c r="AA114" s="193"/>
      <c r="AB114" s="193"/>
      <c r="AC114" s="193"/>
      <c r="AD114" s="193"/>
      <c r="AE114" s="237"/>
      <c r="AF114" s="193"/>
      <c r="AG114" s="193"/>
      <c r="AH114" s="193"/>
      <c r="AI114" s="193"/>
      <c r="AJ114" s="237"/>
      <c r="AK114" s="193"/>
      <c r="AL114" s="193"/>
      <c r="AM114" s="193"/>
      <c r="AN114" s="193"/>
      <c r="AO114" s="237"/>
      <c r="AP114" s="238"/>
      <c r="AQ114" s="187"/>
      <c r="AR114" s="188"/>
      <c r="AS114" s="188"/>
      <c r="AT114" s="188"/>
      <c r="AU114" s="181"/>
    </row>
    <row r="115" ht="10.5" customHeight="1">
      <c r="A115" s="183"/>
      <c r="B115" s="184"/>
      <c r="C115" s="184"/>
      <c r="D115" s="184"/>
      <c r="E115" s="228"/>
      <c r="F115" s="196"/>
      <c r="G115" s="184"/>
      <c r="H115" s="184"/>
      <c r="I115" s="184"/>
      <c r="J115" s="229"/>
      <c r="K115" s="230"/>
      <c r="L115" s="229"/>
      <c r="M115" s="229"/>
      <c r="N115" s="229"/>
      <c r="O115" s="186"/>
      <c r="P115" s="185"/>
      <c r="Q115" s="186"/>
      <c r="R115" s="186"/>
      <c r="S115" s="186"/>
      <c r="T115" s="186"/>
      <c r="U115" s="185"/>
      <c r="V115" s="186"/>
      <c r="W115" s="186"/>
      <c r="X115" s="186"/>
      <c r="Y115" s="186"/>
      <c r="Z115" s="185"/>
      <c r="AA115" s="186"/>
      <c r="AB115" s="186"/>
      <c r="AC115" s="186"/>
      <c r="AD115" s="186"/>
      <c r="AE115" s="185"/>
      <c r="AF115" s="186"/>
      <c r="AG115" s="186"/>
      <c r="AH115" s="186"/>
      <c r="AI115" s="186"/>
      <c r="AJ115" s="185"/>
      <c r="AK115" s="186"/>
      <c r="AL115" s="186"/>
      <c r="AM115" s="186"/>
      <c r="AN115" s="186"/>
      <c r="AO115" s="185"/>
      <c r="AP115" s="165"/>
      <c r="AQ115" s="187"/>
      <c r="AR115" s="188"/>
      <c r="AS115" s="188"/>
      <c r="AT115" s="188"/>
      <c r="AU115" s="164"/>
    </row>
    <row r="116" ht="10.5" customHeight="1">
      <c r="A116" s="189"/>
      <c r="B116" s="190"/>
      <c r="C116" s="190"/>
      <c r="D116" s="190"/>
      <c r="E116" s="231"/>
      <c r="F116" s="197"/>
      <c r="G116" s="190"/>
      <c r="H116" s="190"/>
      <c r="I116" s="190"/>
      <c r="J116" s="232"/>
      <c r="K116" s="233"/>
      <c r="L116" s="232"/>
      <c r="M116" s="232"/>
      <c r="N116" s="232"/>
      <c r="O116" s="192"/>
      <c r="P116" s="191"/>
      <c r="Q116" s="192"/>
      <c r="R116" s="192"/>
      <c r="S116" s="192"/>
      <c r="T116" s="192"/>
      <c r="U116" s="191"/>
      <c r="V116" s="192"/>
      <c r="W116" s="192"/>
      <c r="X116" s="192"/>
      <c r="Y116" s="192"/>
      <c r="Z116" s="191"/>
      <c r="AA116" s="192"/>
      <c r="AB116" s="192"/>
      <c r="AC116" s="192"/>
      <c r="AD116" s="192"/>
      <c r="AE116" s="191"/>
      <c r="AF116" s="192"/>
      <c r="AG116" s="192"/>
      <c r="AH116" s="192"/>
      <c r="AI116" s="192"/>
      <c r="AJ116" s="191"/>
      <c r="AK116" s="192"/>
      <c r="AL116" s="192"/>
      <c r="AM116" s="192"/>
      <c r="AN116" s="192"/>
      <c r="AO116" s="191"/>
      <c r="AP116" s="165"/>
      <c r="AQ116" s="187"/>
      <c r="AR116" s="188"/>
      <c r="AS116" s="188"/>
      <c r="AT116" s="188"/>
      <c r="AU116" s="164"/>
    </row>
    <row r="117" ht="10.5" customHeight="1">
      <c r="A117" s="181" t="s">
        <v>225</v>
      </c>
      <c r="B117" s="193">
        <f t="shared" ref="B117:I117" si="360">SUM(B115:B116)</f>
        <v>0</v>
      </c>
      <c r="C117" s="193">
        <f t="shared" si="360"/>
        <v>0</v>
      </c>
      <c r="D117" s="193">
        <f t="shared" si="360"/>
        <v>0</v>
      </c>
      <c r="E117" s="193">
        <f t="shared" si="360"/>
        <v>0</v>
      </c>
      <c r="F117" s="194">
        <f t="shared" si="360"/>
        <v>0</v>
      </c>
      <c r="G117" s="193">
        <f t="shared" si="360"/>
        <v>0</v>
      </c>
      <c r="H117" s="193">
        <f t="shared" si="360"/>
        <v>0</v>
      </c>
      <c r="I117" s="193">
        <f t="shared" si="360"/>
        <v>0</v>
      </c>
      <c r="J117" s="193">
        <f>K117-I117-H117-G117</f>
        <v>502.287</v>
      </c>
      <c r="K117" s="234">
        <v>502.287</v>
      </c>
      <c r="L117" s="219">
        <v>133.669</v>
      </c>
      <c r="M117" s="219">
        <v>138.989</v>
      </c>
      <c r="N117" s="219">
        <v>137.833</v>
      </c>
      <c r="O117" s="193"/>
      <c r="P117" s="236"/>
      <c r="Q117" s="193"/>
      <c r="R117" s="193"/>
      <c r="S117" s="193"/>
      <c r="T117" s="193"/>
      <c r="U117" s="236"/>
      <c r="V117" s="193"/>
      <c r="W117" s="193"/>
      <c r="X117" s="193"/>
      <c r="Y117" s="193"/>
      <c r="Z117" s="236"/>
      <c r="AA117" s="193"/>
      <c r="AB117" s="193"/>
      <c r="AC117" s="193"/>
      <c r="AD117" s="193"/>
      <c r="AE117" s="236"/>
      <c r="AF117" s="193"/>
      <c r="AG117" s="193"/>
      <c r="AH117" s="193"/>
      <c r="AI117" s="193"/>
      <c r="AJ117" s="236"/>
      <c r="AK117" s="193"/>
      <c r="AL117" s="193"/>
      <c r="AM117" s="193"/>
      <c r="AN117" s="193"/>
      <c r="AO117" s="236"/>
      <c r="AP117" s="238"/>
      <c r="AQ117" s="187"/>
      <c r="AR117" s="188"/>
      <c r="AS117" s="188"/>
      <c r="AT117" s="188"/>
      <c r="AU117" s="181"/>
    </row>
    <row r="118" ht="10.5" customHeight="1">
      <c r="A118" s="183"/>
      <c r="B118" s="184"/>
      <c r="C118" s="184"/>
      <c r="D118" s="184"/>
      <c r="E118" s="228"/>
      <c r="F118" s="196"/>
      <c r="G118" s="184"/>
      <c r="H118" s="184"/>
      <c r="I118" s="184"/>
      <c r="J118" s="229"/>
      <c r="K118" s="230"/>
      <c r="L118" s="229"/>
      <c r="M118" s="229"/>
      <c r="N118" s="229"/>
      <c r="O118" s="186"/>
      <c r="P118" s="185"/>
      <c r="Q118" s="186"/>
      <c r="R118" s="186"/>
      <c r="S118" s="186"/>
      <c r="T118" s="186"/>
      <c r="U118" s="185"/>
      <c r="V118" s="186"/>
      <c r="W118" s="186"/>
      <c r="X118" s="186"/>
      <c r="Y118" s="186"/>
      <c r="Z118" s="185"/>
      <c r="AA118" s="186"/>
      <c r="AB118" s="186"/>
      <c r="AC118" s="186"/>
      <c r="AD118" s="186"/>
      <c r="AE118" s="185"/>
      <c r="AF118" s="186"/>
      <c r="AG118" s="186"/>
      <c r="AH118" s="186"/>
      <c r="AI118" s="186"/>
      <c r="AJ118" s="185"/>
      <c r="AK118" s="186"/>
      <c r="AL118" s="186"/>
      <c r="AM118" s="186"/>
      <c r="AN118" s="186"/>
      <c r="AO118" s="185"/>
      <c r="AP118" s="165"/>
      <c r="AQ118" s="187"/>
      <c r="AR118" s="188"/>
      <c r="AS118" s="188"/>
      <c r="AT118" s="188"/>
      <c r="AU118" s="164"/>
    </row>
    <row r="119" ht="10.5" customHeight="1">
      <c r="A119" s="189"/>
      <c r="B119" s="190"/>
      <c r="C119" s="190"/>
      <c r="D119" s="190"/>
      <c r="E119" s="231"/>
      <c r="F119" s="197"/>
      <c r="G119" s="190"/>
      <c r="H119" s="190"/>
      <c r="I119" s="190"/>
      <c r="J119" s="232"/>
      <c r="K119" s="233"/>
      <c r="L119" s="232"/>
      <c r="M119" s="232"/>
      <c r="N119" s="232"/>
      <c r="O119" s="192"/>
      <c r="P119" s="191"/>
      <c r="Q119" s="192"/>
      <c r="R119" s="192"/>
      <c r="S119" s="192"/>
      <c r="T119" s="192"/>
      <c r="U119" s="191"/>
      <c r="V119" s="192"/>
      <c r="W119" s="192"/>
      <c r="X119" s="192"/>
      <c r="Y119" s="192"/>
      <c r="Z119" s="191"/>
      <c r="AA119" s="192"/>
      <c r="AB119" s="192"/>
      <c r="AC119" s="192"/>
      <c r="AD119" s="192"/>
      <c r="AE119" s="191"/>
      <c r="AF119" s="192"/>
      <c r="AG119" s="192"/>
      <c r="AH119" s="192"/>
      <c r="AI119" s="192"/>
      <c r="AJ119" s="191"/>
      <c r="AK119" s="192"/>
      <c r="AL119" s="192"/>
      <c r="AM119" s="192"/>
      <c r="AN119" s="192"/>
      <c r="AO119" s="191"/>
      <c r="AP119" s="165"/>
      <c r="AQ119" s="187"/>
      <c r="AR119" s="188"/>
      <c r="AS119" s="188"/>
      <c r="AT119" s="188"/>
      <c r="AU119" s="164"/>
    </row>
    <row r="120" ht="10.5" customHeight="1">
      <c r="A120" s="198" t="s">
        <v>226</v>
      </c>
      <c r="B120" s="239">
        <f t="shared" ref="B120:I120" si="361">SUM(B118:B119)</f>
        <v>0</v>
      </c>
      <c r="C120" s="239">
        <f t="shared" si="361"/>
        <v>0</v>
      </c>
      <c r="D120" s="239">
        <f t="shared" si="361"/>
        <v>0</v>
      </c>
      <c r="E120" s="240">
        <f t="shared" si="361"/>
        <v>0</v>
      </c>
      <c r="F120" s="241">
        <f t="shared" si="361"/>
        <v>0</v>
      </c>
      <c r="G120" s="239">
        <f t="shared" si="361"/>
        <v>0</v>
      </c>
      <c r="H120" s="239">
        <f t="shared" si="361"/>
        <v>0</v>
      </c>
      <c r="I120" s="239">
        <f t="shared" si="361"/>
        <v>0</v>
      </c>
      <c r="J120" s="199">
        <f>K120-I120-H120-G120</f>
        <v>256.12</v>
      </c>
      <c r="K120" s="242">
        <v>256.12</v>
      </c>
      <c r="L120" s="243">
        <v>27.813</v>
      </c>
      <c r="M120" s="243">
        <v>82.232</v>
      </c>
      <c r="N120" s="243">
        <v>78.837</v>
      </c>
      <c r="O120" s="199"/>
      <c r="P120" s="206"/>
      <c r="Q120" s="199"/>
      <c r="R120" s="199"/>
      <c r="S120" s="199"/>
      <c r="T120" s="199"/>
      <c r="U120" s="206"/>
      <c r="V120" s="199"/>
      <c r="W120" s="199"/>
      <c r="X120" s="199"/>
      <c r="Y120" s="199"/>
      <c r="Z120" s="206"/>
      <c r="AA120" s="199"/>
      <c r="AB120" s="199"/>
      <c r="AC120" s="199"/>
      <c r="AD120" s="199"/>
      <c r="AE120" s="206"/>
      <c r="AF120" s="199"/>
      <c r="AG120" s="199"/>
      <c r="AH120" s="199"/>
      <c r="AI120" s="199"/>
      <c r="AJ120" s="206"/>
      <c r="AK120" s="199"/>
      <c r="AL120" s="199"/>
      <c r="AM120" s="199"/>
      <c r="AN120" s="199"/>
      <c r="AO120" s="206"/>
      <c r="AP120" s="238"/>
      <c r="AQ120" s="187"/>
      <c r="AR120" s="188"/>
      <c r="AS120" s="188"/>
      <c r="AT120" s="188"/>
      <c r="AU120" s="181"/>
    </row>
    <row r="121" ht="10.5" customHeight="1">
      <c r="A121" s="198" t="s">
        <v>161</v>
      </c>
      <c r="B121" s="239">
        <f t="shared" ref="B121:D121" si="362">B120+B117+B114</f>
        <v>92.682</v>
      </c>
      <c r="C121" s="239">
        <f t="shared" si="362"/>
        <v>98.842</v>
      </c>
      <c r="D121" s="239">
        <f t="shared" si="362"/>
        <v>98.165</v>
      </c>
      <c r="E121" s="240">
        <f>F121-SUM(B121:D121)</f>
        <v>98.24</v>
      </c>
      <c r="F121" s="241">
        <f t="shared" ref="F121:N121" si="363">F120+F117+F114</f>
        <v>387.929</v>
      </c>
      <c r="G121" s="239">
        <f t="shared" si="363"/>
        <v>104.02</v>
      </c>
      <c r="H121" s="239">
        <f t="shared" si="363"/>
        <v>107.79</v>
      </c>
      <c r="I121" s="239">
        <f t="shared" si="363"/>
        <v>102.415</v>
      </c>
      <c r="J121" s="239">
        <f t="shared" si="363"/>
        <v>867.429</v>
      </c>
      <c r="K121" s="241">
        <f t="shared" si="363"/>
        <v>1181.654</v>
      </c>
      <c r="L121" s="239">
        <f t="shared" si="363"/>
        <v>276.662</v>
      </c>
      <c r="M121" s="239">
        <f t="shared" si="363"/>
        <v>340.879</v>
      </c>
      <c r="N121" s="239">
        <f t="shared" si="363"/>
        <v>330.345</v>
      </c>
      <c r="O121" s="239"/>
      <c r="P121" s="241"/>
      <c r="Q121" s="239"/>
      <c r="R121" s="239"/>
      <c r="S121" s="239"/>
      <c r="T121" s="239"/>
      <c r="U121" s="241"/>
      <c r="V121" s="239"/>
      <c r="W121" s="239"/>
      <c r="X121" s="239"/>
      <c r="Y121" s="239"/>
      <c r="Z121" s="241"/>
      <c r="AA121" s="239"/>
      <c r="AB121" s="239"/>
      <c r="AC121" s="239"/>
      <c r="AD121" s="239"/>
      <c r="AE121" s="241"/>
      <c r="AF121" s="239"/>
      <c r="AG121" s="239"/>
      <c r="AH121" s="239"/>
      <c r="AI121" s="239"/>
      <c r="AJ121" s="241"/>
      <c r="AK121" s="239"/>
      <c r="AL121" s="239"/>
      <c r="AM121" s="239"/>
      <c r="AN121" s="239"/>
      <c r="AO121" s="241"/>
      <c r="AP121" s="165"/>
      <c r="AQ121" s="187"/>
      <c r="AR121" s="188"/>
      <c r="AS121" s="188"/>
      <c r="AT121" s="188"/>
      <c r="AU121" s="164"/>
    </row>
    <row r="122" ht="10.5" customHeight="1">
      <c r="A122" s="164"/>
      <c r="B122" s="186"/>
      <c r="C122" s="186"/>
      <c r="D122" s="186"/>
      <c r="E122" s="186"/>
      <c r="F122" s="185"/>
      <c r="G122" s="186"/>
      <c r="H122" s="186"/>
      <c r="I122" s="186"/>
      <c r="J122" s="186"/>
      <c r="K122" s="185"/>
      <c r="L122" s="186"/>
      <c r="M122" s="186"/>
      <c r="N122" s="186"/>
      <c r="O122" s="186"/>
      <c r="P122" s="185"/>
      <c r="Q122" s="186"/>
      <c r="R122" s="186"/>
      <c r="S122" s="186"/>
      <c r="T122" s="186"/>
      <c r="U122" s="185"/>
      <c r="V122" s="186"/>
      <c r="W122" s="186"/>
      <c r="X122" s="186"/>
      <c r="Y122" s="186"/>
      <c r="Z122" s="185"/>
      <c r="AA122" s="186"/>
      <c r="AB122" s="186"/>
      <c r="AC122" s="186"/>
      <c r="AD122" s="186"/>
      <c r="AE122" s="185"/>
      <c r="AF122" s="186"/>
      <c r="AG122" s="186"/>
      <c r="AH122" s="186"/>
      <c r="AI122" s="186"/>
      <c r="AJ122" s="185"/>
      <c r="AK122" s="186"/>
      <c r="AL122" s="186"/>
      <c r="AM122" s="186"/>
      <c r="AN122" s="186"/>
      <c r="AO122" s="185"/>
      <c r="AP122" s="165"/>
      <c r="AQ122" s="187"/>
      <c r="AR122" s="188"/>
      <c r="AS122" s="188"/>
      <c r="AT122" s="188"/>
      <c r="AU122" s="164"/>
    </row>
    <row r="123" ht="10.5" customHeight="1">
      <c r="A123" s="198" t="s">
        <v>227</v>
      </c>
      <c r="B123" s="192"/>
      <c r="C123" s="192"/>
      <c r="D123" s="192"/>
      <c r="E123" s="192"/>
      <c r="F123" s="191"/>
      <c r="G123" s="192"/>
      <c r="H123" s="192"/>
      <c r="I123" s="192"/>
      <c r="J123" s="192"/>
      <c r="K123" s="191"/>
      <c r="L123" s="192"/>
      <c r="M123" s="192"/>
      <c r="N123" s="192"/>
      <c r="O123" s="192"/>
      <c r="P123" s="191"/>
      <c r="Q123" s="192"/>
      <c r="R123" s="192"/>
      <c r="S123" s="192"/>
      <c r="T123" s="192"/>
      <c r="U123" s="191"/>
      <c r="V123" s="192"/>
      <c r="W123" s="192"/>
      <c r="X123" s="192"/>
      <c r="Y123" s="192"/>
      <c r="Z123" s="191"/>
      <c r="AA123" s="192"/>
      <c r="AB123" s="192"/>
      <c r="AC123" s="192"/>
      <c r="AD123" s="192"/>
      <c r="AE123" s="191"/>
      <c r="AF123" s="192"/>
      <c r="AG123" s="192"/>
      <c r="AH123" s="192"/>
      <c r="AI123" s="192"/>
      <c r="AJ123" s="191"/>
      <c r="AK123" s="192"/>
      <c r="AL123" s="192"/>
      <c r="AM123" s="192"/>
      <c r="AN123" s="192"/>
      <c r="AO123" s="191"/>
      <c r="AP123" s="165"/>
      <c r="AQ123" s="187"/>
      <c r="AR123" s="188"/>
      <c r="AS123" s="188"/>
      <c r="AT123" s="188"/>
      <c r="AU123" s="164"/>
    </row>
    <row r="124" ht="10.5" customHeight="1">
      <c r="A124" s="164" t="s">
        <v>158</v>
      </c>
      <c r="B124" s="184">
        <v>64.735</v>
      </c>
      <c r="C124" s="184">
        <v>66.101</v>
      </c>
      <c r="D124" s="184">
        <v>67.583</v>
      </c>
      <c r="E124" s="184">
        <v>68.09</v>
      </c>
      <c r="F124" s="185">
        <f t="shared" ref="F124:F127" si="364">SUM(B124:E124)</f>
        <v>266.509</v>
      </c>
      <c r="G124" s="184">
        <v>76.138</v>
      </c>
      <c r="H124" s="184">
        <v>77.409</v>
      </c>
      <c r="I124" s="184">
        <v>72.758</v>
      </c>
      <c r="J124" s="186">
        <f t="shared" ref="J124:J127" si="365">K124-I124-H124-G124</f>
        <v>74.817</v>
      </c>
      <c r="K124" s="196">
        <v>301.122</v>
      </c>
      <c r="L124" s="184">
        <v>84.865</v>
      </c>
      <c r="M124" s="184">
        <v>86.502</v>
      </c>
      <c r="N124" s="184">
        <v>82.367</v>
      </c>
      <c r="O124" s="186">
        <f>Assumptions!O27</f>
        <v>84.62097124</v>
      </c>
      <c r="P124" s="185">
        <f t="shared" ref="P124:P127" si="366">SUM(L124:O124)</f>
        <v>338.3549712</v>
      </c>
      <c r="Q124" s="186">
        <f>Assumptions!Q27</f>
        <v>97.80117297</v>
      </c>
      <c r="R124" s="186">
        <f>Assumptions!R27</f>
        <v>101.5734028</v>
      </c>
      <c r="S124" s="186">
        <f>Assumptions!S27</f>
        <v>90.44246974</v>
      </c>
      <c r="T124" s="186">
        <f>Assumptions!T27</f>
        <v>96.51223356</v>
      </c>
      <c r="U124" s="185">
        <f t="shared" ref="U124:U127" si="367">SUM(Q124:T124)</f>
        <v>386.3292791</v>
      </c>
      <c r="V124" s="186">
        <f>Assumptions!V27</f>
        <v>111.9704279</v>
      </c>
      <c r="W124" s="186">
        <f>Assumptions!W27</f>
        <v>114.3758106</v>
      </c>
      <c r="X124" s="186">
        <f>Assumptions!X27</f>
        <v>101.6077861</v>
      </c>
      <c r="Y124" s="186">
        <f>Assumptions!Y27</f>
        <v>108.2280013</v>
      </c>
      <c r="Z124" s="185">
        <f t="shared" ref="Z124:Z127" si="368">SUM(V124:Y124)</f>
        <v>436.1820259</v>
      </c>
      <c r="AA124" s="186">
        <f>Assumptions!AA27</f>
        <v>124.432368</v>
      </c>
      <c r="AB124" s="186">
        <f>Assumptions!AB27</f>
        <v>125.6962546</v>
      </c>
      <c r="AC124" s="186">
        <f>Assumptions!AC27</f>
        <v>111.5842666</v>
      </c>
      <c r="AD124" s="186">
        <f>Assumptions!AD27</f>
        <v>118.2924342</v>
      </c>
      <c r="AE124" s="185">
        <f t="shared" ref="AE124:AE127" si="369">SUM(AA124:AD124)</f>
        <v>480.0053233</v>
      </c>
      <c r="AF124" s="186">
        <f>Assumptions!AF27</f>
        <v>142.9077892</v>
      </c>
      <c r="AG124" s="186">
        <f>Assumptions!AG27</f>
        <v>136.5768797</v>
      </c>
      <c r="AH124" s="186">
        <f>Assumptions!AH27</f>
        <v>117.7680939</v>
      </c>
      <c r="AI124" s="186">
        <f>Assumptions!AI27</f>
        <v>125.4776255</v>
      </c>
      <c r="AJ124" s="185">
        <f t="shared" ref="AJ124:AJ127" si="370">SUM(AF124:AI124)</f>
        <v>522.7303883</v>
      </c>
      <c r="AK124" s="186">
        <f>Assumptions!AK27</f>
        <v>154.5596712</v>
      </c>
      <c r="AL124" s="186">
        <f>Assumptions!AL27</f>
        <v>146.5465717</v>
      </c>
      <c r="AM124" s="186">
        <f>Assumptions!AM27</f>
        <v>126.3057627</v>
      </c>
      <c r="AN124" s="186">
        <f>Assumptions!AN27</f>
        <v>134.116946</v>
      </c>
      <c r="AO124" s="185">
        <f t="shared" ref="AO124:AO127" si="371">SUM(AK124:AN124)</f>
        <v>561.5289516</v>
      </c>
      <c r="AP124" s="165"/>
      <c r="AQ124" s="187"/>
      <c r="AR124" s="188"/>
      <c r="AS124" s="188"/>
      <c r="AT124" s="188"/>
      <c r="AU124" s="164"/>
    </row>
    <row r="125" ht="10.5" customHeight="1">
      <c r="A125" s="164" t="s">
        <v>159</v>
      </c>
      <c r="B125" s="184">
        <v>33.53</v>
      </c>
      <c r="C125" s="184">
        <v>48.705</v>
      </c>
      <c r="D125" s="184">
        <v>44.264</v>
      </c>
      <c r="E125" s="184">
        <v>45.571</v>
      </c>
      <c r="F125" s="185">
        <f t="shared" si="364"/>
        <v>172.07</v>
      </c>
      <c r="G125" s="184">
        <v>42.398</v>
      </c>
      <c r="H125" s="184">
        <v>49.296</v>
      </c>
      <c r="I125" s="184">
        <v>50.107</v>
      </c>
      <c r="J125" s="186">
        <f t="shared" si="365"/>
        <v>46.95</v>
      </c>
      <c r="K125" s="196">
        <v>188.751</v>
      </c>
      <c r="L125" s="184">
        <v>45.849</v>
      </c>
      <c r="M125" s="184">
        <v>56.598</v>
      </c>
      <c r="N125" s="184">
        <v>53.737</v>
      </c>
      <c r="O125" s="186">
        <f>Assumptions!O32</f>
        <v>52.88147572</v>
      </c>
      <c r="P125" s="185">
        <f t="shared" si="366"/>
        <v>209.0654757</v>
      </c>
      <c r="Q125" s="186">
        <f>Assumptions!Q32</f>
        <v>52.3998669</v>
      </c>
      <c r="R125" s="186">
        <f>Assumptions!R32</f>
        <v>66.05056177</v>
      </c>
      <c r="S125" s="186">
        <f>Assumptions!S32</f>
        <v>58.60870698</v>
      </c>
      <c r="T125" s="186">
        <f>Assumptions!T32</f>
        <v>59.87793864</v>
      </c>
      <c r="U125" s="185">
        <f t="shared" si="367"/>
        <v>236.9370743</v>
      </c>
      <c r="V125" s="186">
        <f>Assumptions!V32</f>
        <v>59.99146369</v>
      </c>
      <c r="W125" s="186">
        <f>Assumptions!W32</f>
        <v>74.37563707</v>
      </c>
      <c r="X125" s="186">
        <f>Assumptions!X32</f>
        <v>65.84407726</v>
      </c>
      <c r="Y125" s="186">
        <f>Assumptions!Y32</f>
        <v>67.14661324</v>
      </c>
      <c r="Z125" s="185">
        <f t="shared" si="368"/>
        <v>267.3577913</v>
      </c>
      <c r="AA125" s="186">
        <f>Assumptions!AA32</f>
        <v>66.66831615</v>
      </c>
      <c r="AB125" s="186">
        <f>Assumptions!AB32</f>
        <v>81.73702952</v>
      </c>
      <c r="AC125" s="186">
        <f>Assumptions!AC32</f>
        <v>72.30905571</v>
      </c>
      <c r="AD125" s="186">
        <f>Assumptions!AD32</f>
        <v>73.39076978</v>
      </c>
      <c r="AE125" s="185">
        <f t="shared" si="369"/>
        <v>294.1051712</v>
      </c>
      <c r="AF125" s="186">
        <f>Assumptions!AF32</f>
        <v>76.56706874</v>
      </c>
      <c r="AG125" s="186">
        <f>Assumptions!AG32</f>
        <v>88.81241917</v>
      </c>
      <c r="AH125" s="186">
        <f>Assumptions!AH32</f>
        <v>76.31631163</v>
      </c>
      <c r="AI125" s="186">
        <f>Assumptions!AI32</f>
        <v>77.84859267</v>
      </c>
      <c r="AJ125" s="185">
        <f t="shared" si="370"/>
        <v>319.5443922</v>
      </c>
      <c r="AK125" s="186">
        <f>Assumptions!AK32</f>
        <v>82.80990866</v>
      </c>
      <c r="AL125" s="186">
        <f>Assumptions!AL32</f>
        <v>95.29545252</v>
      </c>
      <c r="AM125" s="186">
        <f>Assumptions!AM32</f>
        <v>81.84890854</v>
      </c>
      <c r="AN125" s="186">
        <f>Assumptions!AN32</f>
        <v>83.20858366</v>
      </c>
      <c r="AO125" s="185">
        <f t="shared" si="371"/>
        <v>343.1628534</v>
      </c>
      <c r="AP125" s="165"/>
      <c r="AQ125" s="187"/>
      <c r="AR125" s="188"/>
      <c r="AS125" s="188"/>
      <c r="AT125" s="188"/>
      <c r="AU125" s="164"/>
    </row>
    <row r="126" ht="10.5" customHeight="1">
      <c r="A126" s="164" t="s">
        <v>160</v>
      </c>
      <c r="B126" s="184">
        <v>5.571</v>
      </c>
      <c r="C126" s="184">
        <v>17.129</v>
      </c>
      <c r="D126" s="184">
        <v>16.434</v>
      </c>
      <c r="E126" s="184">
        <v>16.777</v>
      </c>
      <c r="F126" s="185">
        <f t="shared" si="364"/>
        <v>55.911</v>
      </c>
      <c r="G126" s="184">
        <v>4.798</v>
      </c>
      <c r="H126" s="184">
        <v>18.575</v>
      </c>
      <c r="I126" s="184">
        <v>18.487</v>
      </c>
      <c r="J126" s="186">
        <f t="shared" si="365"/>
        <v>29.918</v>
      </c>
      <c r="K126" s="196">
        <v>71.778</v>
      </c>
      <c r="L126" s="184">
        <v>7.442</v>
      </c>
      <c r="M126" s="184">
        <v>26.435</v>
      </c>
      <c r="N126" s="184">
        <v>23.724</v>
      </c>
      <c r="O126" s="186">
        <f>Assumptions!O37</f>
        <v>33.69772078</v>
      </c>
      <c r="P126" s="185">
        <f t="shared" si="366"/>
        <v>91.29872078</v>
      </c>
      <c r="Q126" s="186">
        <f>Assumptions!Q37</f>
        <v>7.707228949</v>
      </c>
      <c r="R126" s="186">
        <f>Assumptions!R37</f>
        <v>30.22005565</v>
      </c>
      <c r="S126" s="186">
        <f>Assumptions!S37</f>
        <v>25.23718334</v>
      </c>
      <c r="T126" s="186">
        <f>Assumptions!T37</f>
        <v>37.73570466</v>
      </c>
      <c r="U126" s="185">
        <f t="shared" si="367"/>
        <v>100.9001726</v>
      </c>
      <c r="V126" s="186">
        <f>Assumptions!V37</f>
        <v>8.823838169</v>
      </c>
      <c r="W126" s="186">
        <f>Assumptions!W37</f>
        <v>34.02902005</v>
      </c>
      <c r="X126" s="186">
        <f>Assumptions!X37</f>
        <v>28.35276762</v>
      </c>
      <c r="Y126" s="186">
        <f>Assumptions!Y37</f>
        <v>42.31649959</v>
      </c>
      <c r="Z126" s="185">
        <f t="shared" si="368"/>
        <v>113.5221254</v>
      </c>
      <c r="AA126" s="186">
        <f>Assumptions!AA37</f>
        <v>9.805902317</v>
      </c>
      <c r="AB126" s="186">
        <f>Assumptions!AB37</f>
        <v>37.39707148</v>
      </c>
      <c r="AC126" s="186">
        <f>Assumptions!AC37</f>
        <v>31.13661758</v>
      </c>
      <c r="AD126" s="186">
        <f>Assumptions!AD37</f>
        <v>46.2516325</v>
      </c>
      <c r="AE126" s="185">
        <f t="shared" si="369"/>
        <v>124.5912239</v>
      </c>
      <c r="AF126" s="186">
        <f>Assumptions!AF37</f>
        <v>11.26185931</v>
      </c>
      <c r="AG126" s="186">
        <f>Assumptions!AG37</f>
        <v>40.63426831</v>
      </c>
      <c r="AH126" s="186">
        <f>Assumptions!AH37</f>
        <v>32.86216072</v>
      </c>
      <c r="AI126" s="186">
        <f>Assumptions!AI37</f>
        <v>49.06099923</v>
      </c>
      <c r="AJ126" s="185">
        <f t="shared" si="370"/>
        <v>133.8192876</v>
      </c>
      <c r="AK126" s="186">
        <f>Assumptions!AK37</f>
        <v>12.18008676</v>
      </c>
      <c r="AL126" s="186">
        <f>Assumptions!AL37</f>
        <v>43.60044488</v>
      </c>
      <c r="AM126" s="186">
        <f>Assumptions!AM37</f>
        <v>35.24452283</v>
      </c>
      <c r="AN126" s="186">
        <f>Assumptions!AN37</f>
        <v>52.43892173</v>
      </c>
      <c r="AO126" s="185">
        <f t="shared" si="371"/>
        <v>143.4639762</v>
      </c>
      <c r="AP126" s="165"/>
      <c r="AQ126" s="187"/>
      <c r="AR126" s="188"/>
      <c r="AS126" s="188"/>
      <c r="AT126" s="188"/>
      <c r="AU126" s="164"/>
    </row>
    <row r="127" ht="10.5" customHeight="1">
      <c r="A127" s="202" t="s">
        <v>228</v>
      </c>
      <c r="B127" s="190">
        <v>-15.822</v>
      </c>
      <c r="C127" s="190">
        <v>-17.869</v>
      </c>
      <c r="D127" s="190">
        <v>-18.547</v>
      </c>
      <c r="E127" s="190">
        <v>-16.104</v>
      </c>
      <c r="F127" s="191">
        <f t="shared" si="364"/>
        <v>-68.342</v>
      </c>
      <c r="G127" s="190">
        <v>-17.023</v>
      </c>
      <c r="H127" s="190">
        <v>-18.257</v>
      </c>
      <c r="I127" s="190">
        <v>-20.408</v>
      </c>
      <c r="J127" s="192">
        <f t="shared" si="365"/>
        <v>-18.253</v>
      </c>
      <c r="K127" s="197">
        <v>-73.941</v>
      </c>
      <c r="L127" s="190">
        <v>-21.151</v>
      </c>
      <c r="M127" s="190">
        <v>-21.926</v>
      </c>
      <c r="N127" s="190">
        <v>-19.062</v>
      </c>
      <c r="O127" s="192">
        <f>Assumptions!O42</f>
        <v>-27.77479276</v>
      </c>
      <c r="P127" s="191">
        <f t="shared" si="366"/>
        <v>-89.91379276</v>
      </c>
      <c r="Q127" s="192">
        <f>Assumptions!Q42</f>
        <v>-21.80558891</v>
      </c>
      <c r="R127" s="192">
        <f>Assumptions!R42</f>
        <v>-28.99054768</v>
      </c>
      <c r="S127" s="192">
        <f>Assumptions!S42</f>
        <v>-11.20453826</v>
      </c>
      <c r="T127" s="192">
        <f>Assumptions!T42</f>
        <v>-28.58173696</v>
      </c>
      <c r="U127" s="191">
        <f t="shared" si="367"/>
        <v>-90.58241181</v>
      </c>
      <c r="V127" s="192">
        <f>Assumptions!V42</f>
        <v>-24.96474271</v>
      </c>
      <c r="W127" s="192">
        <f>Assumptions!W42</f>
        <v>-32.64454374</v>
      </c>
      <c r="X127" s="192">
        <f>Assumptions!X42</f>
        <v>-12.58776249</v>
      </c>
      <c r="Y127" s="192">
        <f>Assumptions!Y42</f>
        <v>-32.05131774</v>
      </c>
      <c r="Z127" s="191">
        <f t="shared" si="368"/>
        <v>-102.2483667</v>
      </c>
      <c r="AA127" s="192">
        <f>Assumptions!AA42</f>
        <v>-27.74323641</v>
      </c>
      <c r="AB127" s="192">
        <f>Assumptions!AB42</f>
        <v>-35.87556544</v>
      </c>
      <c r="AC127" s="192">
        <f>Assumptions!AC42</f>
        <v>-13.8237068</v>
      </c>
      <c r="AD127" s="192">
        <f>Assumptions!AD42</f>
        <v>-35.0318619</v>
      </c>
      <c r="AE127" s="191">
        <f t="shared" si="369"/>
        <v>-112.4743706</v>
      </c>
      <c r="AF127" s="192">
        <f>Assumptions!AF42</f>
        <v>-31.86248599</v>
      </c>
      <c r="AG127" s="192">
        <f>Assumptions!AG42</f>
        <v>-38.98105638</v>
      </c>
      <c r="AH127" s="192">
        <f>Assumptions!AH42</f>
        <v>-14.58979523</v>
      </c>
      <c r="AI127" s="192">
        <f>Assumptions!AI42</f>
        <v>-37.15972943</v>
      </c>
      <c r="AJ127" s="191">
        <f t="shared" si="370"/>
        <v>-122.593067</v>
      </c>
      <c r="AK127" s="192">
        <f>Assumptions!AK42</f>
        <v>-34.46037047</v>
      </c>
      <c r="AL127" s="192">
        <f>Assumptions!AL42</f>
        <v>-41.82655356</v>
      </c>
      <c r="AM127" s="192">
        <f>Assumptions!AM42</f>
        <v>-15.64749122</v>
      </c>
      <c r="AN127" s="192">
        <f>Assumptions!AN42</f>
        <v>-39.71823187</v>
      </c>
      <c r="AO127" s="191">
        <f t="shared" si="371"/>
        <v>-131.6526471</v>
      </c>
      <c r="AP127" s="165"/>
      <c r="AQ127" s="187"/>
      <c r="AR127" s="188"/>
      <c r="AS127" s="188"/>
      <c r="AT127" s="188"/>
      <c r="AU127" s="164"/>
    </row>
    <row r="128" ht="10.5" customHeight="1">
      <c r="A128" s="198" t="s">
        <v>229</v>
      </c>
      <c r="B128" s="239">
        <f t="shared" ref="B128:AO128" si="372">SUM(B124:B127)</f>
        <v>88.014</v>
      </c>
      <c r="C128" s="239">
        <f t="shared" si="372"/>
        <v>114.066</v>
      </c>
      <c r="D128" s="239">
        <f t="shared" si="372"/>
        <v>109.734</v>
      </c>
      <c r="E128" s="239">
        <f t="shared" si="372"/>
        <v>114.334</v>
      </c>
      <c r="F128" s="241">
        <f t="shared" si="372"/>
        <v>426.148</v>
      </c>
      <c r="G128" s="239">
        <f t="shared" si="372"/>
        <v>106.311</v>
      </c>
      <c r="H128" s="239">
        <f t="shared" si="372"/>
        <v>127.023</v>
      </c>
      <c r="I128" s="239">
        <f t="shared" si="372"/>
        <v>120.944</v>
      </c>
      <c r="J128" s="239">
        <f t="shared" si="372"/>
        <v>133.432</v>
      </c>
      <c r="K128" s="241">
        <f t="shared" si="372"/>
        <v>487.71</v>
      </c>
      <c r="L128" s="239">
        <f t="shared" si="372"/>
        <v>117.005</v>
      </c>
      <c r="M128" s="239">
        <f t="shared" si="372"/>
        <v>147.609</v>
      </c>
      <c r="N128" s="239">
        <f t="shared" si="372"/>
        <v>140.766</v>
      </c>
      <c r="O128" s="239">
        <f t="shared" si="372"/>
        <v>143.425375</v>
      </c>
      <c r="P128" s="241">
        <f t="shared" si="372"/>
        <v>548.805375</v>
      </c>
      <c r="Q128" s="239">
        <f t="shared" si="372"/>
        <v>136.1026799</v>
      </c>
      <c r="R128" s="239">
        <f t="shared" si="372"/>
        <v>168.8534726</v>
      </c>
      <c r="S128" s="239">
        <f t="shared" si="372"/>
        <v>163.0838218</v>
      </c>
      <c r="T128" s="239">
        <f t="shared" si="372"/>
        <v>165.5441399</v>
      </c>
      <c r="U128" s="241">
        <f t="shared" si="372"/>
        <v>633.5841142</v>
      </c>
      <c r="V128" s="239">
        <f t="shared" si="372"/>
        <v>155.820987</v>
      </c>
      <c r="W128" s="239">
        <f t="shared" si="372"/>
        <v>190.135924</v>
      </c>
      <c r="X128" s="239">
        <f t="shared" si="372"/>
        <v>183.2168685</v>
      </c>
      <c r="Y128" s="239">
        <f t="shared" si="372"/>
        <v>185.6397964</v>
      </c>
      <c r="Z128" s="241">
        <f t="shared" si="372"/>
        <v>714.8135759</v>
      </c>
      <c r="AA128" s="239">
        <f t="shared" si="372"/>
        <v>173.16335</v>
      </c>
      <c r="AB128" s="239">
        <f t="shared" si="372"/>
        <v>208.9547901</v>
      </c>
      <c r="AC128" s="239">
        <f t="shared" si="372"/>
        <v>201.206233</v>
      </c>
      <c r="AD128" s="239">
        <f t="shared" si="372"/>
        <v>202.9029746</v>
      </c>
      <c r="AE128" s="241">
        <f t="shared" si="372"/>
        <v>786.2273478</v>
      </c>
      <c r="AF128" s="239">
        <f t="shared" si="372"/>
        <v>198.8742313</v>
      </c>
      <c r="AG128" s="239">
        <f t="shared" si="372"/>
        <v>227.0425108</v>
      </c>
      <c r="AH128" s="239">
        <f t="shared" si="372"/>
        <v>212.356771</v>
      </c>
      <c r="AI128" s="239">
        <f t="shared" si="372"/>
        <v>215.2274879</v>
      </c>
      <c r="AJ128" s="241">
        <f t="shared" si="372"/>
        <v>853.501001</v>
      </c>
      <c r="AK128" s="239">
        <f t="shared" si="372"/>
        <v>215.0892962</v>
      </c>
      <c r="AL128" s="239">
        <f t="shared" si="372"/>
        <v>243.6159155</v>
      </c>
      <c r="AM128" s="239">
        <f t="shared" si="372"/>
        <v>227.7517028</v>
      </c>
      <c r="AN128" s="239">
        <f t="shared" si="372"/>
        <v>230.0462195</v>
      </c>
      <c r="AO128" s="241">
        <f t="shared" si="372"/>
        <v>916.503134</v>
      </c>
      <c r="AP128" s="165"/>
      <c r="AQ128" s="187"/>
      <c r="AR128" s="188"/>
      <c r="AS128" s="188"/>
      <c r="AT128" s="188"/>
      <c r="AU128" s="164"/>
    </row>
    <row r="129" ht="10.5" customHeight="1">
      <c r="A129" s="164"/>
      <c r="B129" s="186"/>
      <c r="C129" s="186"/>
      <c r="D129" s="186"/>
      <c r="E129" s="186"/>
      <c r="F129" s="185"/>
      <c r="G129" s="186"/>
      <c r="H129" s="186"/>
      <c r="I129" s="186"/>
      <c r="J129" s="186"/>
      <c r="K129" s="185"/>
      <c r="L129" s="186"/>
      <c r="M129" s="186"/>
      <c r="N129" s="186"/>
      <c r="O129" s="186"/>
      <c r="P129" s="244">
        <f>P128/K128-1</f>
        <v>0.1252698837</v>
      </c>
      <c r="Q129" s="186"/>
      <c r="R129" s="186"/>
      <c r="S129" s="186"/>
      <c r="T129" s="186"/>
      <c r="U129" s="185"/>
      <c r="V129" s="186"/>
      <c r="W129" s="186"/>
      <c r="X129" s="186"/>
      <c r="Y129" s="186"/>
      <c r="Z129" s="185"/>
      <c r="AA129" s="186"/>
      <c r="AB129" s="186"/>
      <c r="AC129" s="186"/>
      <c r="AD129" s="186"/>
      <c r="AE129" s="185"/>
      <c r="AF129" s="186"/>
      <c r="AG129" s="186"/>
      <c r="AH129" s="186"/>
      <c r="AI129" s="186"/>
      <c r="AJ129" s="185"/>
      <c r="AK129" s="186"/>
      <c r="AL129" s="186"/>
      <c r="AM129" s="186"/>
      <c r="AN129" s="186"/>
      <c r="AO129" s="185"/>
      <c r="AP129" s="165"/>
      <c r="AQ129" s="187"/>
      <c r="AR129" s="188"/>
      <c r="AS129" s="188"/>
      <c r="AT129" s="188"/>
      <c r="AU129" s="164"/>
    </row>
    <row r="130" ht="10.5" customHeight="1">
      <c r="A130" s="198" t="s">
        <v>230</v>
      </c>
      <c r="B130" s="192"/>
      <c r="C130" s="192"/>
      <c r="D130" s="192"/>
      <c r="E130" s="192"/>
      <c r="F130" s="191"/>
      <c r="G130" s="192"/>
      <c r="H130" s="192"/>
      <c r="I130" s="192"/>
      <c r="J130" s="192"/>
      <c r="K130" s="191"/>
      <c r="L130" s="192"/>
      <c r="M130" s="192"/>
      <c r="N130" s="192"/>
      <c r="O130" s="192"/>
      <c r="P130" s="191"/>
      <c r="Q130" s="192"/>
      <c r="R130" s="192"/>
      <c r="S130" s="192"/>
      <c r="T130" s="192"/>
      <c r="U130" s="191"/>
      <c r="V130" s="192"/>
      <c r="W130" s="192"/>
      <c r="X130" s="192"/>
      <c r="Y130" s="192"/>
      <c r="Z130" s="191"/>
      <c r="AA130" s="192"/>
      <c r="AB130" s="192"/>
      <c r="AC130" s="192"/>
      <c r="AD130" s="192"/>
      <c r="AE130" s="191"/>
      <c r="AF130" s="192"/>
      <c r="AG130" s="192"/>
      <c r="AH130" s="192"/>
      <c r="AI130" s="192"/>
      <c r="AJ130" s="191"/>
      <c r="AK130" s="192"/>
      <c r="AL130" s="192"/>
      <c r="AM130" s="192"/>
      <c r="AN130" s="192"/>
      <c r="AO130" s="191"/>
      <c r="AP130" s="165"/>
      <c r="AQ130" s="187"/>
      <c r="AR130" s="188"/>
      <c r="AS130" s="188"/>
      <c r="AT130" s="188"/>
      <c r="AU130" s="164"/>
    </row>
    <row r="131" ht="10.5" customHeight="1">
      <c r="A131" s="181" t="s">
        <v>231</v>
      </c>
      <c r="B131" s="186"/>
      <c r="C131" s="186"/>
      <c r="D131" s="186"/>
      <c r="E131" s="186"/>
      <c r="F131" s="185"/>
      <c r="G131" s="186"/>
      <c r="H131" s="186"/>
      <c r="I131" s="186"/>
      <c r="J131" s="186"/>
      <c r="K131" s="185"/>
      <c r="L131" s="186"/>
      <c r="M131" s="186"/>
      <c r="N131" s="186"/>
      <c r="O131" s="186"/>
      <c r="P131" s="185"/>
      <c r="Q131" s="186"/>
      <c r="R131" s="186"/>
      <c r="S131" s="186"/>
      <c r="T131" s="186"/>
      <c r="U131" s="185"/>
      <c r="V131" s="186"/>
      <c r="W131" s="186"/>
      <c r="X131" s="186"/>
      <c r="Y131" s="186"/>
      <c r="Z131" s="185"/>
      <c r="AA131" s="186"/>
      <c r="AB131" s="186"/>
      <c r="AC131" s="186"/>
      <c r="AD131" s="186"/>
      <c r="AE131" s="185"/>
      <c r="AF131" s="186"/>
      <c r="AG131" s="186"/>
      <c r="AH131" s="186"/>
      <c r="AI131" s="186"/>
      <c r="AJ131" s="185"/>
      <c r="AK131" s="186"/>
      <c r="AL131" s="186"/>
      <c r="AM131" s="186"/>
      <c r="AN131" s="186"/>
      <c r="AO131" s="185"/>
      <c r="AP131" s="165"/>
      <c r="AQ131" s="187"/>
      <c r="AR131" s="188"/>
      <c r="AS131" s="188"/>
      <c r="AT131" s="188"/>
      <c r="AU131" s="164"/>
    </row>
    <row r="132" ht="10.5" customHeight="1">
      <c r="A132" s="164" t="s">
        <v>232</v>
      </c>
      <c r="B132" s="184">
        <v>2176.0</v>
      </c>
      <c r="C132" s="184">
        <v>2211.0</v>
      </c>
      <c r="D132" s="184">
        <v>2230.0</v>
      </c>
      <c r="E132" s="184">
        <v>2254.0</v>
      </c>
      <c r="F132" s="196">
        <v>2176.0</v>
      </c>
      <c r="G132" s="184">
        <v>2319.0</v>
      </c>
      <c r="H132" s="184">
        <v>2341.0</v>
      </c>
      <c r="I132" s="184">
        <v>2358.0</v>
      </c>
      <c r="J132" s="184">
        <v>2369.0</v>
      </c>
      <c r="K132" s="185">
        <f>F136</f>
        <v>2319</v>
      </c>
      <c r="L132" s="186">
        <f t="shared" ref="L132:O132" si="373">K136</f>
        <v>2445</v>
      </c>
      <c r="M132" s="186">
        <f t="shared" si="373"/>
        <v>2461</v>
      </c>
      <c r="N132" s="186">
        <f t="shared" si="373"/>
        <v>2479</v>
      </c>
      <c r="O132" s="186">
        <f t="shared" si="373"/>
        <v>2514</v>
      </c>
      <c r="P132" s="185">
        <f>K136</f>
        <v>2445</v>
      </c>
      <c r="Q132" s="186">
        <f t="shared" ref="Q132:T132" si="374">P136</f>
        <v>2585</v>
      </c>
      <c r="R132" s="186">
        <f t="shared" si="374"/>
        <v>2605</v>
      </c>
      <c r="S132" s="186">
        <f t="shared" si="374"/>
        <v>2628</v>
      </c>
      <c r="T132" s="186">
        <f t="shared" si="374"/>
        <v>2656</v>
      </c>
      <c r="U132" s="185">
        <f>P136</f>
        <v>2585</v>
      </c>
      <c r="V132" s="186">
        <f t="shared" ref="V132:Y132" si="375">U136</f>
        <v>2741</v>
      </c>
      <c r="W132" s="186">
        <f t="shared" si="375"/>
        <v>2768</v>
      </c>
      <c r="X132" s="186">
        <f t="shared" si="375"/>
        <v>2793</v>
      </c>
      <c r="Y132" s="186">
        <f t="shared" si="375"/>
        <v>2822</v>
      </c>
      <c r="Z132" s="185">
        <f>U136</f>
        <v>2741</v>
      </c>
      <c r="AA132" s="186">
        <f t="shared" ref="AA132:AD132" si="376">Z136</f>
        <v>2907</v>
      </c>
      <c r="AB132" s="186">
        <f t="shared" si="376"/>
        <v>2934</v>
      </c>
      <c r="AC132" s="186">
        <f t="shared" si="376"/>
        <v>2959</v>
      </c>
      <c r="AD132" s="186">
        <f t="shared" si="376"/>
        <v>2988</v>
      </c>
      <c r="AE132" s="185">
        <f>Z136</f>
        <v>2907</v>
      </c>
      <c r="AF132" s="186">
        <f t="shared" ref="AF132:AI132" si="377">AE136</f>
        <v>3073</v>
      </c>
      <c r="AG132" s="186">
        <f t="shared" si="377"/>
        <v>3098</v>
      </c>
      <c r="AH132" s="186">
        <f t="shared" si="377"/>
        <v>3120</v>
      </c>
      <c r="AI132" s="186">
        <f t="shared" si="377"/>
        <v>3145</v>
      </c>
      <c r="AJ132" s="185">
        <f>AE136</f>
        <v>3073</v>
      </c>
      <c r="AK132" s="186">
        <f t="shared" ref="AK132:AN132" si="378">AJ136</f>
        <v>3228</v>
      </c>
      <c r="AL132" s="186">
        <f t="shared" si="378"/>
        <v>3253</v>
      </c>
      <c r="AM132" s="186">
        <f t="shared" si="378"/>
        <v>3275</v>
      </c>
      <c r="AN132" s="186">
        <f t="shared" si="378"/>
        <v>3300</v>
      </c>
      <c r="AO132" s="185">
        <f>AJ136</f>
        <v>3228</v>
      </c>
      <c r="AP132" s="165"/>
      <c r="AQ132" s="187"/>
      <c r="AR132" s="188"/>
      <c r="AS132" s="188"/>
      <c r="AT132" s="188"/>
      <c r="AU132" s="164"/>
    </row>
    <row r="133" ht="10.5" customHeight="1">
      <c r="A133" s="164" t="s">
        <v>233</v>
      </c>
      <c r="B133" s="184">
        <v>35.0</v>
      </c>
      <c r="C133" s="184">
        <v>23.0</v>
      </c>
      <c r="D133" s="184">
        <v>24.0</v>
      </c>
      <c r="E133" s="228">
        <f t="shared" ref="E133:E135" si="379">F133-SUM(B133:D133)</f>
        <v>65</v>
      </c>
      <c r="F133" s="196">
        <v>147.0</v>
      </c>
      <c r="G133" s="184">
        <v>23.0</v>
      </c>
      <c r="H133" s="184">
        <v>17.0</v>
      </c>
      <c r="I133" s="184">
        <v>12.0</v>
      </c>
      <c r="J133" s="228">
        <f t="shared" ref="J133:J135" si="380">K133-SUM(G133:I133)</f>
        <v>77</v>
      </c>
      <c r="K133" s="196">
        <v>129.0</v>
      </c>
      <c r="L133" s="184">
        <v>16.0</v>
      </c>
      <c r="M133" s="184">
        <v>20.0</v>
      </c>
      <c r="N133" s="184">
        <v>29.0</v>
      </c>
      <c r="O133" s="186">
        <f>Assumptions!O54</f>
        <v>79</v>
      </c>
      <c r="P133" s="185">
        <f>SUM(L133:O133)</f>
        <v>144</v>
      </c>
      <c r="Q133" s="186">
        <f>Assumptions!Q54</f>
        <v>20</v>
      </c>
      <c r="R133" s="186">
        <f>Assumptions!R54</f>
        <v>23</v>
      </c>
      <c r="S133" s="186">
        <f>Assumptions!S54</f>
        <v>28</v>
      </c>
      <c r="T133" s="186">
        <f>Assumptions!T54</f>
        <v>85</v>
      </c>
      <c r="U133" s="185">
        <f>SUM(Q133:T133)</f>
        <v>156</v>
      </c>
      <c r="V133" s="186">
        <f>Assumptions!V54</f>
        <v>27</v>
      </c>
      <c r="W133" s="186">
        <f>Assumptions!W54</f>
        <v>25</v>
      </c>
      <c r="X133" s="186">
        <f>Assumptions!X54</f>
        <v>29</v>
      </c>
      <c r="Y133" s="186">
        <f>Assumptions!Y54</f>
        <v>85</v>
      </c>
      <c r="Z133" s="185">
        <f>SUM(V133:Y133)</f>
        <v>166</v>
      </c>
      <c r="AA133" s="186">
        <f>Assumptions!AA54</f>
        <v>27</v>
      </c>
      <c r="AB133" s="186">
        <f>Assumptions!AB54</f>
        <v>25</v>
      </c>
      <c r="AC133" s="186">
        <f>Assumptions!AC54</f>
        <v>29</v>
      </c>
      <c r="AD133" s="186">
        <f>Assumptions!AD54</f>
        <v>85</v>
      </c>
      <c r="AE133" s="185">
        <f>SUM(AA133:AD133)</f>
        <v>166</v>
      </c>
      <c r="AF133" s="186">
        <f>Assumptions!AF54</f>
        <v>25</v>
      </c>
      <c r="AG133" s="186">
        <f>Assumptions!AG54</f>
        <v>22</v>
      </c>
      <c r="AH133" s="186">
        <f>Assumptions!AH54</f>
        <v>25</v>
      </c>
      <c r="AI133" s="186">
        <f>Assumptions!AI54</f>
        <v>83</v>
      </c>
      <c r="AJ133" s="185">
        <f>SUM(AF133:AI133)</f>
        <v>155</v>
      </c>
      <c r="AK133" s="186">
        <f>Assumptions!AK54</f>
        <v>25</v>
      </c>
      <c r="AL133" s="186">
        <f>Assumptions!AL54</f>
        <v>22</v>
      </c>
      <c r="AM133" s="186">
        <f>Assumptions!AM54</f>
        <v>25</v>
      </c>
      <c r="AN133" s="186">
        <f>Assumptions!AN54</f>
        <v>83</v>
      </c>
      <c r="AO133" s="185">
        <f>SUM(AK133:AN133)</f>
        <v>155</v>
      </c>
      <c r="AP133" s="165"/>
      <c r="AQ133" s="187"/>
      <c r="AR133" s="188"/>
      <c r="AS133" s="188"/>
      <c r="AT133" s="188"/>
      <c r="AU133" s="164"/>
    </row>
    <row r="134" ht="10.5" customHeight="1">
      <c r="A134" s="164" t="s">
        <v>234</v>
      </c>
      <c r="B134" s="245">
        <v>0.0</v>
      </c>
      <c r="C134" s="184">
        <v>0.0</v>
      </c>
      <c r="D134" s="184">
        <v>0.0</v>
      </c>
      <c r="E134" s="228">
        <f t="shared" si="379"/>
        <v>5</v>
      </c>
      <c r="F134" s="196">
        <v>5.0</v>
      </c>
      <c r="G134" s="184">
        <v>0.0</v>
      </c>
      <c r="H134" s="184">
        <v>0.0</v>
      </c>
      <c r="I134" s="184">
        <v>0.0</v>
      </c>
      <c r="J134" s="228">
        <f t="shared" si="380"/>
        <v>0</v>
      </c>
      <c r="K134" s="196">
        <v>0.0</v>
      </c>
      <c r="L134" s="246"/>
      <c r="M134" s="184"/>
      <c r="N134" s="184">
        <v>8.0</v>
      </c>
      <c r="O134" s="247"/>
      <c r="P134" s="248"/>
      <c r="Q134" s="247"/>
      <c r="R134" s="247"/>
      <c r="S134" s="247"/>
      <c r="T134" s="247"/>
      <c r="U134" s="248"/>
      <c r="V134" s="247"/>
      <c r="W134" s="247"/>
      <c r="X134" s="247"/>
      <c r="Y134" s="247"/>
      <c r="Z134" s="248"/>
      <c r="AA134" s="247"/>
      <c r="AB134" s="247"/>
      <c r="AC134" s="247"/>
      <c r="AD134" s="247"/>
      <c r="AE134" s="248"/>
      <c r="AF134" s="247"/>
      <c r="AG134" s="247"/>
      <c r="AH134" s="247"/>
      <c r="AI134" s="247"/>
      <c r="AJ134" s="248"/>
      <c r="AK134" s="247"/>
      <c r="AL134" s="247"/>
      <c r="AM134" s="247"/>
      <c r="AN134" s="247"/>
      <c r="AO134" s="248"/>
      <c r="AP134" s="165"/>
      <c r="AQ134" s="187"/>
      <c r="AR134" s="188"/>
      <c r="AS134" s="188"/>
      <c r="AT134" s="188"/>
      <c r="AU134" s="164"/>
    </row>
    <row r="135" ht="10.5" customHeight="1">
      <c r="A135" s="202" t="s">
        <v>235</v>
      </c>
      <c r="B135" s="190">
        <v>0.0</v>
      </c>
      <c r="C135" s="190">
        <v>-4.0</v>
      </c>
      <c r="D135" s="190">
        <v>0.0</v>
      </c>
      <c r="E135" s="231">
        <f t="shared" si="379"/>
        <v>-5</v>
      </c>
      <c r="F135" s="197">
        <v>-9.0</v>
      </c>
      <c r="G135" s="190">
        <v>-1.0</v>
      </c>
      <c r="H135" s="190">
        <v>0.0</v>
      </c>
      <c r="I135" s="190">
        <v>-1.0</v>
      </c>
      <c r="J135" s="231">
        <f t="shared" si="380"/>
        <v>-1</v>
      </c>
      <c r="K135" s="197">
        <v>-3.0</v>
      </c>
      <c r="L135" s="190">
        <v>0.0</v>
      </c>
      <c r="M135" s="190">
        <v>-2.0</v>
      </c>
      <c r="N135" s="190">
        <v>-2.0</v>
      </c>
      <c r="O135" s="192">
        <f>Assumptions!O56</f>
        <v>0</v>
      </c>
      <c r="P135" s="191">
        <f>SUM(L135:O135)</f>
        <v>-4</v>
      </c>
      <c r="Q135" s="192">
        <f>Assumptions!Q56</f>
        <v>0</v>
      </c>
      <c r="R135" s="192">
        <f>Assumptions!R56</f>
        <v>0</v>
      </c>
      <c r="S135" s="192">
        <f>Assumptions!S56</f>
        <v>0</v>
      </c>
      <c r="T135" s="192">
        <f>Assumptions!T56</f>
        <v>0</v>
      </c>
      <c r="U135" s="191">
        <f>SUM(Q135:T135)</f>
        <v>0</v>
      </c>
      <c r="V135" s="192">
        <f>Assumptions!V56</f>
        <v>0</v>
      </c>
      <c r="W135" s="192">
        <f>Assumptions!W56</f>
        <v>0</v>
      </c>
      <c r="X135" s="192">
        <f>Assumptions!X56</f>
        <v>0</v>
      </c>
      <c r="Y135" s="192">
        <f>Assumptions!Y56</f>
        <v>0</v>
      </c>
      <c r="Z135" s="191">
        <f>SUM(V135:Y135)</f>
        <v>0</v>
      </c>
      <c r="AA135" s="192">
        <f>Assumptions!AA56</f>
        <v>0</v>
      </c>
      <c r="AB135" s="192">
        <f>Assumptions!AB56</f>
        <v>0</v>
      </c>
      <c r="AC135" s="192">
        <f>Assumptions!AC56</f>
        <v>0</v>
      </c>
      <c r="AD135" s="192">
        <f>Assumptions!AD56</f>
        <v>0</v>
      </c>
      <c r="AE135" s="191">
        <f>SUM(AA135:AD135)</f>
        <v>0</v>
      </c>
      <c r="AF135" s="192">
        <f>Assumptions!AF56</f>
        <v>0</v>
      </c>
      <c r="AG135" s="192">
        <f>Assumptions!AG56</f>
        <v>0</v>
      </c>
      <c r="AH135" s="192">
        <f>Assumptions!AH56</f>
        <v>0</v>
      </c>
      <c r="AI135" s="192">
        <f>Assumptions!AI56</f>
        <v>0</v>
      </c>
      <c r="AJ135" s="191">
        <f>SUM(AF135:AI135)</f>
        <v>0</v>
      </c>
      <c r="AK135" s="192">
        <f>Assumptions!AK56</f>
        <v>0</v>
      </c>
      <c r="AL135" s="192">
        <f>Assumptions!AL56</f>
        <v>0</v>
      </c>
      <c r="AM135" s="192">
        <f>Assumptions!AM56</f>
        <v>0</v>
      </c>
      <c r="AN135" s="192">
        <f>Assumptions!AN56</f>
        <v>0</v>
      </c>
      <c r="AO135" s="191">
        <f>SUM(AK135:AN135)</f>
        <v>0</v>
      </c>
      <c r="AP135" s="165"/>
      <c r="AQ135" s="187"/>
      <c r="AR135" s="188"/>
      <c r="AS135" s="188"/>
      <c r="AT135" s="188"/>
      <c r="AU135" s="164"/>
    </row>
    <row r="136" ht="10.5" customHeight="1">
      <c r="A136" s="181" t="s">
        <v>236</v>
      </c>
      <c r="B136" s="193">
        <f t="shared" ref="B136:AO136" si="381">SUM(B132:B135)</f>
        <v>2211</v>
      </c>
      <c r="C136" s="193">
        <f t="shared" si="381"/>
        <v>2230</v>
      </c>
      <c r="D136" s="193">
        <f t="shared" si="381"/>
        <v>2254</v>
      </c>
      <c r="E136" s="193">
        <f t="shared" si="381"/>
        <v>2319</v>
      </c>
      <c r="F136" s="194">
        <f t="shared" si="381"/>
        <v>2319</v>
      </c>
      <c r="G136" s="193">
        <f t="shared" si="381"/>
        <v>2341</v>
      </c>
      <c r="H136" s="193">
        <f t="shared" si="381"/>
        <v>2358</v>
      </c>
      <c r="I136" s="193">
        <f t="shared" si="381"/>
        <v>2369</v>
      </c>
      <c r="J136" s="193">
        <f t="shared" si="381"/>
        <v>2445</v>
      </c>
      <c r="K136" s="194">
        <f t="shared" si="381"/>
        <v>2445</v>
      </c>
      <c r="L136" s="193">
        <f t="shared" si="381"/>
        <v>2461</v>
      </c>
      <c r="M136" s="193">
        <f t="shared" si="381"/>
        <v>2479</v>
      </c>
      <c r="N136" s="193">
        <f t="shared" si="381"/>
        <v>2514</v>
      </c>
      <c r="O136" s="193">
        <f t="shared" si="381"/>
        <v>2593</v>
      </c>
      <c r="P136" s="194">
        <f t="shared" si="381"/>
        <v>2585</v>
      </c>
      <c r="Q136" s="193">
        <f t="shared" si="381"/>
        <v>2605</v>
      </c>
      <c r="R136" s="193">
        <f t="shared" si="381"/>
        <v>2628</v>
      </c>
      <c r="S136" s="193">
        <f t="shared" si="381"/>
        <v>2656</v>
      </c>
      <c r="T136" s="193">
        <f t="shared" si="381"/>
        <v>2741</v>
      </c>
      <c r="U136" s="194">
        <f t="shared" si="381"/>
        <v>2741</v>
      </c>
      <c r="V136" s="193">
        <f t="shared" si="381"/>
        <v>2768</v>
      </c>
      <c r="W136" s="193">
        <f t="shared" si="381"/>
        <v>2793</v>
      </c>
      <c r="X136" s="193">
        <f t="shared" si="381"/>
        <v>2822</v>
      </c>
      <c r="Y136" s="193">
        <f t="shared" si="381"/>
        <v>2907</v>
      </c>
      <c r="Z136" s="194">
        <f t="shared" si="381"/>
        <v>2907</v>
      </c>
      <c r="AA136" s="193">
        <f t="shared" si="381"/>
        <v>2934</v>
      </c>
      <c r="AB136" s="193">
        <f t="shared" si="381"/>
        <v>2959</v>
      </c>
      <c r="AC136" s="193">
        <f t="shared" si="381"/>
        <v>2988</v>
      </c>
      <c r="AD136" s="193">
        <f t="shared" si="381"/>
        <v>3073</v>
      </c>
      <c r="AE136" s="194">
        <f t="shared" si="381"/>
        <v>3073</v>
      </c>
      <c r="AF136" s="193">
        <f t="shared" si="381"/>
        <v>3098</v>
      </c>
      <c r="AG136" s="193">
        <f t="shared" si="381"/>
        <v>3120</v>
      </c>
      <c r="AH136" s="193">
        <f t="shared" si="381"/>
        <v>3145</v>
      </c>
      <c r="AI136" s="193">
        <f t="shared" si="381"/>
        <v>3228</v>
      </c>
      <c r="AJ136" s="194">
        <f t="shared" si="381"/>
        <v>3228</v>
      </c>
      <c r="AK136" s="193">
        <f t="shared" si="381"/>
        <v>3253</v>
      </c>
      <c r="AL136" s="193">
        <f t="shared" si="381"/>
        <v>3275</v>
      </c>
      <c r="AM136" s="193">
        <f t="shared" si="381"/>
        <v>3300</v>
      </c>
      <c r="AN136" s="193">
        <f t="shared" si="381"/>
        <v>3383</v>
      </c>
      <c r="AO136" s="194">
        <f t="shared" si="381"/>
        <v>3383</v>
      </c>
      <c r="AP136" s="165"/>
      <c r="AQ136" s="187"/>
      <c r="AR136" s="188"/>
      <c r="AS136" s="188"/>
      <c r="AT136" s="188"/>
      <c r="AU136" s="164"/>
    </row>
    <row r="137" ht="10.5" customHeight="1">
      <c r="A137" s="181" t="s">
        <v>237</v>
      </c>
      <c r="B137" s="186"/>
      <c r="C137" s="186"/>
      <c r="D137" s="186"/>
      <c r="E137" s="186"/>
      <c r="F137" s="185"/>
      <c r="G137" s="186"/>
      <c r="H137" s="186"/>
      <c r="I137" s="186"/>
      <c r="J137" s="186"/>
      <c r="K137" s="185"/>
      <c r="L137" s="186"/>
      <c r="M137" s="186"/>
      <c r="N137" s="186"/>
      <c r="O137" s="186"/>
      <c r="P137" s="185"/>
      <c r="Q137" s="186"/>
      <c r="R137" s="186"/>
      <c r="S137" s="186"/>
      <c r="T137" s="186"/>
      <c r="U137" s="185"/>
      <c r="V137" s="186"/>
      <c r="W137" s="186"/>
      <c r="X137" s="186"/>
      <c r="Y137" s="186"/>
      <c r="Z137" s="185"/>
      <c r="AA137" s="186"/>
      <c r="AB137" s="186"/>
      <c r="AC137" s="186"/>
      <c r="AD137" s="186"/>
      <c r="AE137" s="185"/>
      <c r="AF137" s="186"/>
      <c r="AG137" s="186"/>
      <c r="AH137" s="186"/>
      <c r="AI137" s="186"/>
      <c r="AJ137" s="185"/>
      <c r="AK137" s="186"/>
      <c r="AL137" s="186"/>
      <c r="AM137" s="186"/>
      <c r="AN137" s="186"/>
      <c r="AO137" s="185"/>
      <c r="AP137" s="165"/>
      <c r="AQ137" s="187"/>
      <c r="AR137" s="188"/>
      <c r="AS137" s="188"/>
      <c r="AT137" s="188"/>
      <c r="AU137" s="164"/>
    </row>
    <row r="138" ht="10.5" customHeight="1">
      <c r="A138" s="164" t="s">
        <v>232</v>
      </c>
      <c r="B138" s="186">
        <v>212.0</v>
      </c>
      <c r="C138" s="186">
        <v>213.0</v>
      </c>
      <c r="D138" s="186">
        <v>220.0</v>
      </c>
      <c r="E138" s="186">
        <v>222.0</v>
      </c>
      <c r="F138" s="196">
        <v>234.0</v>
      </c>
      <c r="G138" s="186">
        <f t="shared" ref="G138:J138" si="382">F142</f>
        <v>256</v>
      </c>
      <c r="H138" s="186">
        <f t="shared" si="382"/>
        <v>258</v>
      </c>
      <c r="I138" s="186">
        <f t="shared" si="382"/>
        <v>259</v>
      </c>
      <c r="J138" s="186">
        <f t="shared" si="382"/>
        <v>268</v>
      </c>
      <c r="K138" s="185">
        <f>F142</f>
        <v>256</v>
      </c>
      <c r="L138" s="186">
        <f t="shared" ref="L138:O138" si="383">K142</f>
        <v>277</v>
      </c>
      <c r="M138" s="186">
        <f t="shared" si="383"/>
        <v>280</v>
      </c>
      <c r="N138" s="186">
        <f t="shared" si="383"/>
        <v>283</v>
      </c>
      <c r="O138" s="186">
        <f t="shared" si="383"/>
        <v>281</v>
      </c>
      <c r="P138" s="185">
        <f>K142</f>
        <v>277</v>
      </c>
      <c r="Q138" s="186">
        <f t="shared" ref="Q138:T138" si="384">P142</f>
        <v>298</v>
      </c>
      <c r="R138" s="186">
        <f t="shared" si="384"/>
        <v>298</v>
      </c>
      <c r="S138" s="186">
        <f t="shared" si="384"/>
        <v>301</v>
      </c>
      <c r="T138" s="186">
        <f t="shared" si="384"/>
        <v>305</v>
      </c>
      <c r="U138" s="185">
        <f>P142</f>
        <v>298</v>
      </c>
      <c r="V138" s="186">
        <f t="shared" ref="V138:Y138" si="385">U142</f>
        <v>314</v>
      </c>
      <c r="W138" s="186">
        <f t="shared" si="385"/>
        <v>317</v>
      </c>
      <c r="X138" s="186">
        <f t="shared" si="385"/>
        <v>321</v>
      </c>
      <c r="Y138" s="186">
        <f t="shared" si="385"/>
        <v>327</v>
      </c>
      <c r="Z138" s="185">
        <f>U142</f>
        <v>314</v>
      </c>
      <c r="AA138" s="186">
        <f t="shared" ref="AA138:AD138" si="386">Z142</f>
        <v>336</v>
      </c>
      <c r="AB138" s="186">
        <f t="shared" si="386"/>
        <v>339</v>
      </c>
      <c r="AC138" s="186">
        <f t="shared" si="386"/>
        <v>343</v>
      </c>
      <c r="AD138" s="186">
        <f t="shared" si="386"/>
        <v>349</v>
      </c>
      <c r="AE138" s="185">
        <f>Z142</f>
        <v>336</v>
      </c>
      <c r="AF138" s="186">
        <f t="shared" ref="AF138:AI138" si="387">AE142</f>
        <v>358</v>
      </c>
      <c r="AG138" s="186">
        <f t="shared" si="387"/>
        <v>361</v>
      </c>
      <c r="AH138" s="186">
        <f t="shared" si="387"/>
        <v>364</v>
      </c>
      <c r="AI138" s="186">
        <f t="shared" si="387"/>
        <v>369</v>
      </c>
      <c r="AJ138" s="185">
        <f>AE142</f>
        <v>358</v>
      </c>
      <c r="AK138" s="186">
        <f t="shared" ref="AK138:AN138" si="388">AJ142</f>
        <v>376</v>
      </c>
      <c r="AL138" s="186">
        <f t="shared" si="388"/>
        <v>379</v>
      </c>
      <c r="AM138" s="186">
        <f t="shared" si="388"/>
        <v>382</v>
      </c>
      <c r="AN138" s="186">
        <f t="shared" si="388"/>
        <v>387</v>
      </c>
      <c r="AO138" s="185">
        <f>AJ142</f>
        <v>376</v>
      </c>
      <c r="AP138" s="165"/>
      <c r="AQ138" s="187"/>
      <c r="AR138" s="188"/>
      <c r="AS138" s="188"/>
      <c r="AT138" s="188"/>
      <c r="AU138" s="164"/>
    </row>
    <row r="139" ht="10.5" customHeight="1">
      <c r="A139" s="164" t="s">
        <v>233</v>
      </c>
      <c r="B139" s="184">
        <v>1.0</v>
      </c>
      <c r="C139" s="184">
        <v>3.0</v>
      </c>
      <c r="D139" s="184">
        <v>2.0</v>
      </c>
      <c r="E139" s="228">
        <f t="shared" ref="E139:E141" si="389">F139-SUM(B139:D139)</f>
        <v>12</v>
      </c>
      <c r="F139" s="196">
        <v>18.0</v>
      </c>
      <c r="G139" s="184">
        <v>2.0</v>
      </c>
      <c r="H139" s="184">
        <v>1.0</v>
      </c>
      <c r="I139" s="184">
        <v>9.0</v>
      </c>
      <c r="J139" s="228">
        <f t="shared" ref="J139:J141" si="390">K139-SUM(G139:I139)</f>
        <v>9</v>
      </c>
      <c r="K139" s="196">
        <v>21.0</v>
      </c>
      <c r="L139" s="184">
        <v>3.0</v>
      </c>
      <c r="M139" s="184">
        <v>3.0</v>
      </c>
      <c r="N139" s="184">
        <v>6.0</v>
      </c>
      <c r="O139" s="186">
        <f>Assumptions!O68</f>
        <v>9</v>
      </c>
      <c r="P139" s="185">
        <f>SUM(L139:O139)</f>
        <v>21</v>
      </c>
      <c r="Q139" s="186">
        <f>Assumptions!Q68</f>
        <v>0</v>
      </c>
      <c r="R139" s="186">
        <f>Assumptions!R68</f>
        <v>3</v>
      </c>
      <c r="S139" s="186">
        <f>Assumptions!S68</f>
        <v>4</v>
      </c>
      <c r="T139" s="186">
        <f>Assumptions!T68</f>
        <v>9</v>
      </c>
      <c r="U139" s="185">
        <f>SUM(Q139:T139)</f>
        <v>16</v>
      </c>
      <c r="V139" s="186">
        <f>Assumptions!V68</f>
        <v>3</v>
      </c>
      <c r="W139" s="186">
        <f>Assumptions!W68</f>
        <v>4</v>
      </c>
      <c r="X139" s="186">
        <f>Assumptions!X68</f>
        <v>6</v>
      </c>
      <c r="Y139" s="186">
        <f>Assumptions!Y68</f>
        <v>9</v>
      </c>
      <c r="Z139" s="185">
        <f>SUM(V139:Y139)</f>
        <v>22</v>
      </c>
      <c r="AA139" s="186">
        <f>Assumptions!AA68</f>
        <v>3</v>
      </c>
      <c r="AB139" s="186">
        <f>Assumptions!AB68</f>
        <v>4</v>
      </c>
      <c r="AC139" s="186">
        <f>Assumptions!AC68</f>
        <v>6</v>
      </c>
      <c r="AD139" s="186">
        <f>Assumptions!AD68</f>
        <v>9</v>
      </c>
      <c r="AE139" s="185">
        <f>SUM(AA139:AD139)</f>
        <v>22</v>
      </c>
      <c r="AF139" s="186">
        <f>Assumptions!AF68</f>
        <v>3</v>
      </c>
      <c r="AG139" s="186">
        <f>Assumptions!AG68</f>
        <v>3</v>
      </c>
      <c r="AH139" s="186">
        <f>Assumptions!AH68</f>
        <v>5</v>
      </c>
      <c r="AI139" s="186">
        <f>Assumptions!AI68</f>
        <v>7</v>
      </c>
      <c r="AJ139" s="185">
        <f>SUM(AF139:AI139)</f>
        <v>18</v>
      </c>
      <c r="AK139" s="186">
        <f>Assumptions!AK68</f>
        <v>3</v>
      </c>
      <c r="AL139" s="186">
        <f>Assumptions!AL68</f>
        <v>3</v>
      </c>
      <c r="AM139" s="186">
        <f>Assumptions!AM68</f>
        <v>5</v>
      </c>
      <c r="AN139" s="186">
        <f>Assumptions!AN68</f>
        <v>7</v>
      </c>
      <c r="AO139" s="185">
        <f>SUM(AK139:AN139)</f>
        <v>18</v>
      </c>
      <c r="AP139" s="165"/>
      <c r="AQ139" s="187"/>
      <c r="AR139" s="188"/>
      <c r="AS139" s="188"/>
      <c r="AT139" s="188"/>
      <c r="AU139" s="164"/>
    </row>
    <row r="140" ht="10.5" customHeight="1">
      <c r="A140" s="164" t="s">
        <v>238</v>
      </c>
      <c r="B140" s="245">
        <v>0.0</v>
      </c>
      <c r="C140" s="184">
        <v>0.0</v>
      </c>
      <c r="D140" s="184">
        <v>0.0</v>
      </c>
      <c r="E140" s="228">
        <f t="shared" si="389"/>
        <v>-5</v>
      </c>
      <c r="F140" s="196">
        <v>-5.0</v>
      </c>
      <c r="G140" s="245">
        <v>0.0</v>
      </c>
      <c r="H140" s="184">
        <v>0.0</v>
      </c>
      <c r="I140" s="184">
        <v>0.0</v>
      </c>
      <c r="J140" s="228">
        <f t="shared" si="390"/>
        <v>0</v>
      </c>
      <c r="K140" s="196">
        <v>0.0</v>
      </c>
      <c r="L140" s="247"/>
      <c r="M140" s="247"/>
      <c r="N140" s="247">
        <v>-8.0</v>
      </c>
      <c r="O140" s="247"/>
      <c r="P140" s="248"/>
      <c r="Q140" s="247"/>
      <c r="R140" s="247"/>
      <c r="S140" s="247"/>
      <c r="T140" s="247"/>
      <c r="U140" s="248"/>
      <c r="V140" s="247"/>
      <c r="W140" s="247"/>
      <c r="X140" s="247"/>
      <c r="Y140" s="247"/>
      <c r="Z140" s="248"/>
      <c r="AA140" s="247"/>
      <c r="AB140" s="247"/>
      <c r="AC140" s="247"/>
      <c r="AD140" s="247"/>
      <c r="AE140" s="248"/>
      <c r="AF140" s="247"/>
      <c r="AG140" s="247"/>
      <c r="AH140" s="247"/>
      <c r="AI140" s="247"/>
      <c r="AJ140" s="248"/>
      <c r="AK140" s="247"/>
      <c r="AL140" s="247"/>
      <c r="AM140" s="247"/>
      <c r="AN140" s="247"/>
      <c r="AO140" s="248"/>
      <c r="AP140" s="165"/>
      <c r="AQ140" s="187"/>
      <c r="AR140" s="188"/>
      <c r="AS140" s="188"/>
      <c r="AT140" s="188"/>
      <c r="AU140" s="164"/>
    </row>
    <row r="141" ht="10.5" customHeight="1">
      <c r="A141" s="202" t="s">
        <v>239</v>
      </c>
      <c r="B141" s="190">
        <v>0.0</v>
      </c>
      <c r="C141" s="190">
        <v>4.0</v>
      </c>
      <c r="D141" s="190">
        <v>0.0</v>
      </c>
      <c r="E141" s="192">
        <f t="shared" si="389"/>
        <v>5</v>
      </c>
      <c r="F141" s="197">
        <v>9.0</v>
      </c>
      <c r="G141" s="190">
        <v>0.0</v>
      </c>
      <c r="H141" s="190">
        <v>0.0</v>
      </c>
      <c r="I141" s="190">
        <v>0.0</v>
      </c>
      <c r="J141" s="192">
        <f t="shared" si="390"/>
        <v>0</v>
      </c>
      <c r="K141" s="197">
        <v>0.0</v>
      </c>
      <c r="L141" s="192">
        <v>0.0</v>
      </c>
      <c r="M141" s="192"/>
      <c r="N141" s="192"/>
      <c r="O141" s="192">
        <f>Assumptions!O70</f>
        <v>0</v>
      </c>
      <c r="P141" s="191">
        <f>SUM(L141:O141)</f>
        <v>0</v>
      </c>
      <c r="Q141" s="192">
        <f>Assumptions!Q70</f>
        <v>0</v>
      </c>
      <c r="R141" s="192">
        <f>Assumptions!R70</f>
        <v>0</v>
      </c>
      <c r="S141" s="192">
        <f>Assumptions!S70</f>
        <v>0</v>
      </c>
      <c r="T141" s="192">
        <f>Assumptions!T70</f>
        <v>0</v>
      </c>
      <c r="U141" s="191">
        <f>SUM(Q141:T141)</f>
        <v>0</v>
      </c>
      <c r="V141" s="192">
        <f>Assumptions!V70</f>
        <v>0</v>
      </c>
      <c r="W141" s="192">
        <f>Assumptions!W70</f>
        <v>0</v>
      </c>
      <c r="X141" s="192">
        <f>Assumptions!X70</f>
        <v>0</v>
      </c>
      <c r="Y141" s="192">
        <f>Assumptions!Y70</f>
        <v>0</v>
      </c>
      <c r="Z141" s="191">
        <f>SUM(V141:Y141)</f>
        <v>0</v>
      </c>
      <c r="AA141" s="192">
        <f>Assumptions!AA70</f>
        <v>0</v>
      </c>
      <c r="AB141" s="192">
        <f>Assumptions!AB70</f>
        <v>0</v>
      </c>
      <c r="AC141" s="192">
        <f>Assumptions!AC70</f>
        <v>0</v>
      </c>
      <c r="AD141" s="192">
        <f>Assumptions!AD70</f>
        <v>0</v>
      </c>
      <c r="AE141" s="191">
        <f>SUM(AA141:AD141)</f>
        <v>0</v>
      </c>
      <c r="AF141" s="192">
        <f>Assumptions!AF70</f>
        <v>0</v>
      </c>
      <c r="AG141" s="192">
        <f>Assumptions!AG70</f>
        <v>0</v>
      </c>
      <c r="AH141" s="192">
        <f>Assumptions!AH70</f>
        <v>0</v>
      </c>
      <c r="AI141" s="192">
        <f>Assumptions!AI70</f>
        <v>0</v>
      </c>
      <c r="AJ141" s="191">
        <f>SUM(AF141:AI141)</f>
        <v>0</v>
      </c>
      <c r="AK141" s="192">
        <f>Assumptions!AK70</f>
        <v>0</v>
      </c>
      <c r="AL141" s="192">
        <f>Assumptions!AL70</f>
        <v>0</v>
      </c>
      <c r="AM141" s="192">
        <f>Assumptions!AM70</f>
        <v>0</v>
      </c>
      <c r="AN141" s="192">
        <f>Assumptions!AN70</f>
        <v>0</v>
      </c>
      <c r="AO141" s="191">
        <f>SUM(AK141:AN141)</f>
        <v>0</v>
      </c>
      <c r="AP141" s="165"/>
      <c r="AQ141" s="187"/>
      <c r="AR141" s="188"/>
      <c r="AS141" s="188"/>
      <c r="AT141" s="188"/>
      <c r="AU141" s="164"/>
    </row>
    <row r="142" ht="10.5" customHeight="1">
      <c r="A142" s="181" t="s">
        <v>236</v>
      </c>
      <c r="B142" s="193">
        <f t="shared" ref="B142:AO142" si="391">SUM(B138:B141)</f>
        <v>213</v>
      </c>
      <c r="C142" s="193">
        <f t="shared" si="391"/>
        <v>220</v>
      </c>
      <c r="D142" s="193">
        <f t="shared" si="391"/>
        <v>222</v>
      </c>
      <c r="E142" s="193">
        <f t="shared" si="391"/>
        <v>234</v>
      </c>
      <c r="F142" s="194">
        <f t="shared" si="391"/>
        <v>256</v>
      </c>
      <c r="G142" s="193">
        <f t="shared" si="391"/>
        <v>258</v>
      </c>
      <c r="H142" s="193">
        <f t="shared" si="391"/>
        <v>259</v>
      </c>
      <c r="I142" s="193">
        <f t="shared" si="391"/>
        <v>268</v>
      </c>
      <c r="J142" s="193">
        <f t="shared" si="391"/>
        <v>277</v>
      </c>
      <c r="K142" s="194">
        <f t="shared" si="391"/>
        <v>277</v>
      </c>
      <c r="L142" s="193">
        <f t="shared" si="391"/>
        <v>280</v>
      </c>
      <c r="M142" s="193">
        <f t="shared" si="391"/>
        <v>283</v>
      </c>
      <c r="N142" s="193">
        <f t="shared" si="391"/>
        <v>281</v>
      </c>
      <c r="O142" s="193">
        <f t="shared" si="391"/>
        <v>290</v>
      </c>
      <c r="P142" s="194">
        <f t="shared" si="391"/>
        <v>298</v>
      </c>
      <c r="Q142" s="193">
        <f t="shared" si="391"/>
        <v>298</v>
      </c>
      <c r="R142" s="193">
        <f t="shared" si="391"/>
        <v>301</v>
      </c>
      <c r="S142" s="193">
        <f t="shared" si="391"/>
        <v>305</v>
      </c>
      <c r="T142" s="193">
        <f t="shared" si="391"/>
        <v>314</v>
      </c>
      <c r="U142" s="194">
        <f t="shared" si="391"/>
        <v>314</v>
      </c>
      <c r="V142" s="193">
        <f t="shared" si="391"/>
        <v>317</v>
      </c>
      <c r="W142" s="193">
        <f t="shared" si="391"/>
        <v>321</v>
      </c>
      <c r="X142" s="193">
        <f t="shared" si="391"/>
        <v>327</v>
      </c>
      <c r="Y142" s="193">
        <f t="shared" si="391"/>
        <v>336</v>
      </c>
      <c r="Z142" s="194">
        <f t="shared" si="391"/>
        <v>336</v>
      </c>
      <c r="AA142" s="193">
        <f t="shared" si="391"/>
        <v>339</v>
      </c>
      <c r="AB142" s="193">
        <f t="shared" si="391"/>
        <v>343</v>
      </c>
      <c r="AC142" s="193">
        <f t="shared" si="391"/>
        <v>349</v>
      </c>
      <c r="AD142" s="193">
        <f t="shared" si="391"/>
        <v>358</v>
      </c>
      <c r="AE142" s="194">
        <f t="shared" si="391"/>
        <v>358</v>
      </c>
      <c r="AF142" s="193">
        <f t="shared" si="391"/>
        <v>361</v>
      </c>
      <c r="AG142" s="193">
        <f t="shared" si="391"/>
        <v>364</v>
      </c>
      <c r="AH142" s="193">
        <f t="shared" si="391"/>
        <v>369</v>
      </c>
      <c r="AI142" s="193">
        <f t="shared" si="391"/>
        <v>376</v>
      </c>
      <c r="AJ142" s="194">
        <f t="shared" si="391"/>
        <v>376</v>
      </c>
      <c r="AK142" s="193">
        <f t="shared" si="391"/>
        <v>379</v>
      </c>
      <c r="AL142" s="193">
        <f t="shared" si="391"/>
        <v>382</v>
      </c>
      <c r="AM142" s="193">
        <f t="shared" si="391"/>
        <v>387</v>
      </c>
      <c r="AN142" s="193">
        <f t="shared" si="391"/>
        <v>394</v>
      </c>
      <c r="AO142" s="194">
        <f t="shared" si="391"/>
        <v>394</v>
      </c>
      <c r="AP142" s="165"/>
      <c r="AQ142" s="187"/>
      <c r="AR142" s="188"/>
      <c r="AS142" s="188"/>
      <c r="AT142" s="188"/>
      <c r="AU142" s="164"/>
    </row>
    <row r="143" ht="10.5" customHeight="1">
      <c r="A143" s="181" t="s">
        <v>240</v>
      </c>
      <c r="B143" s="186"/>
      <c r="C143" s="186"/>
      <c r="D143" s="186"/>
      <c r="E143" s="186"/>
      <c r="F143" s="185"/>
      <c r="G143" s="186"/>
      <c r="H143" s="186"/>
      <c r="I143" s="186"/>
      <c r="J143" s="186"/>
      <c r="K143" s="185"/>
      <c r="L143" s="186"/>
      <c r="M143" s="186"/>
      <c r="N143" s="186"/>
      <c r="O143" s="186"/>
      <c r="P143" s="185"/>
      <c r="Q143" s="186"/>
      <c r="R143" s="186"/>
      <c r="S143" s="186"/>
      <c r="T143" s="186"/>
      <c r="U143" s="185"/>
      <c r="V143" s="186"/>
      <c r="W143" s="186"/>
      <c r="X143" s="186"/>
      <c r="Y143" s="186"/>
      <c r="Z143" s="185"/>
      <c r="AA143" s="186"/>
      <c r="AB143" s="186"/>
      <c r="AC143" s="186"/>
      <c r="AD143" s="186"/>
      <c r="AE143" s="185"/>
      <c r="AF143" s="186"/>
      <c r="AG143" s="186"/>
      <c r="AH143" s="186"/>
      <c r="AI143" s="186"/>
      <c r="AJ143" s="185"/>
      <c r="AK143" s="186"/>
      <c r="AL143" s="186"/>
      <c r="AM143" s="186"/>
      <c r="AN143" s="186"/>
      <c r="AO143" s="185"/>
      <c r="AP143" s="165"/>
      <c r="AQ143" s="187"/>
      <c r="AR143" s="188"/>
      <c r="AS143" s="188"/>
      <c r="AT143" s="188"/>
      <c r="AU143" s="164"/>
    </row>
    <row r="144" ht="10.5" customHeight="1">
      <c r="A144" s="164" t="s">
        <v>232</v>
      </c>
      <c r="B144" s="184">
        <v>2410.0</v>
      </c>
      <c r="C144" s="184">
        <v>2446.0</v>
      </c>
      <c r="D144" s="184">
        <v>2472.0</v>
      </c>
      <c r="E144" s="249">
        <v>2498.0</v>
      </c>
      <c r="F144" s="196">
        <v>2410.0</v>
      </c>
      <c r="G144" s="186">
        <f t="shared" ref="G144:J144" si="392">F147</f>
        <v>2575</v>
      </c>
      <c r="H144" s="186">
        <f t="shared" si="392"/>
        <v>2599</v>
      </c>
      <c r="I144" s="186">
        <f t="shared" si="392"/>
        <v>2617</v>
      </c>
      <c r="J144" s="186">
        <f t="shared" si="392"/>
        <v>2637</v>
      </c>
      <c r="K144" s="185">
        <f>F147</f>
        <v>2575</v>
      </c>
      <c r="L144" s="186">
        <f t="shared" ref="L144:O144" si="393">K147</f>
        <v>2722</v>
      </c>
      <c r="M144" s="186">
        <f t="shared" si="393"/>
        <v>2741</v>
      </c>
      <c r="N144" s="186">
        <f t="shared" si="393"/>
        <v>2762</v>
      </c>
      <c r="O144" s="186">
        <f t="shared" si="393"/>
        <v>2795</v>
      </c>
      <c r="P144" s="185">
        <f>K147</f>
        <v>2722</v>
      </c>
      <c r="Q144" s="186">
        <f t="shared" ref="Q144:T144" si="394">P147</f>
        <v>2883</v>
      </c>
      <c r="R144" s="186">
        <f t="shared" si="394"/>
        <v>2903</v>
      </c>
      <c r="S144" s="186">
        <f t="shared" si="394"/>
        <v>2929</v>
      </c>
      <c r="T144" s="186">
        <f t="shared" si="394"/>
        <v>2961</v>
      </c>
      <c r="U144" s="185">
        <f>P147</f>
        <v>2883</v>
      </c>
      <c r="V144" s="186">
        <f t="shared" ref="V144:Y144" si="395">U147</f>
        <v>3055</v>
      </c>
      <c r="W144" s="186">
        <f t="shared" si="395"/>
        <v>3085</v>
      </c>
      <c r="X144" s="186">
        <f t="shared" si="395"/>
        <v>3114</v>
      </c>
      <c r="Y144" s="186">
        <f t="shared" si="395"/>
        <v>3149</v>
      </c>
      <c r="Z144" s="185">
        <f>U147</f>
        <v>3055</v>
      </c>
      <c r="AA144" s="186">
        <f t="shared" ref="AA144:AD144" si="396">Z147</f>
        <v>3243</v>
      </c>
      <c r="AB144" s="186">
        <f t="shared" si="396"/>
        <v>3273</v>
      </c>
      <c r="AC144" s="186">
        <f t="shared" si="396"/>
        <v>3302</v>
      </c>
      <c r="AD144" s="186">
        <f t="shared" si="396"/>
        <v>3337</v>
      </c>
      <c r="AE144" s="185">
        <f>Z147</f>
        <v>3243</v>
      </c>
      <c r="AF144" s="186">
        <f t="shared" ref="AF144:AI144" si="397">AE147</f>
        <v>3431</v>
      </c>
      <c r="AG144" s="186">
        <f t="shared" si="397"/>
        <v>3459</v>
      </c>
      <c r="AH144" s="186">
        <f t="shared" si="397"/>
        <v>3484</v>
      </c>
      <c r="AI144" s="186">
        <f t="shared" si="397"/>
        <v>3514</v>
      </c>
      <c r="AJ144" s="185">
        <f>AE147</f>
        <v>3431</v>
      </c>
      <c r="AK144" s="186">
        <f t="shared" ref="AK144:AN144" si="398">AJ147</f>
        <v>3604</v>
      </c>
      <c r="AL144" s="186">
        <f t="shared" si="398"/>
        <v>3632</v>
      </c>
      <c r="AM144" s="186">
        <f t="shared" si="398"/>
        <v>3657</v>
      </c>
      <c r="AN144" s="186">
        <f t="shared" si="398"/>
        <v>3687</v>
      </c>
      <c r="AO144" s="185">
        <f>AJ147</f>
        <v>3604</v>
      </c>
      <c r="AP144" s="165"/>
      <c r="AQ144" s="187"/>
      <c r="AR144" s="188"/>
      <c r="AS144" s="188"/>
      <c r="AT144" s="188"/>
      <c r="AU144" s="164"/>
    </row>
    <row r="145" ht="10.5" customHeight="1">
      <c r="A145" s="164" t="s">
        <v>233</v>
      </c>
      <c r="B145" s="186">
        <f t="shared" ref="B145:E145" si="399">B133+B139</f>
        <v>36</v>
      </c>
      <c r="C145" s="186">
        <f t="shared" si="399"/>
        <v>26</v>
      </c>
      <c r="D145" s="186">
        <f t="shared" si="399"/>
        <v>26</v>
      </c>
      <c r="E145" s="186">
        <f t="shared" si="399"/>
        <v>77</v>
      </c>
      <c r="F145" s="185">
        <f>SUM(B145:E145)</f>
        <v>165</v>
      </c>
      <c r="G145" s="184">
        <v>25.0</v>
      </c>
      <c r="H145" s="184">
        <v>18.0</v>
      </c>
      <c r="I145" s="184">
        <v>21.0</v>
      </c>
      <c r="J145" s="228">
        <f t="shared" ref="J145:J146" si="400">K145-SUM(G145:I145)</f>
        <v>86</v>
      </c>
      <c r="K145" s="196">
        <v>150.0</v>
      </c>
      <c r="L145" s="184">
        <v>19.0</v>
      </c>
      <c r="M145" s="184">
        <v>23.0</v>
      </c>
      <c r="N145" s="184">
        <v>35.0</v>
      </c>
      <c r="O145" s="186">
        <f>Assumptions!O82</f>
        <v>88</v>
      </c>
      <c r="P145" s="185">
        <f t="shared" ref="P145:P146" si="401">SUM(L145:O145)</f>
        <v>165</v>
      </c>
      <c r="Q145" s="186">
        <f>Assumptions!Q82</f>
        <v>20</v>
      </c>
      <c r="R145" s="186">
        <f>Assumptions!R82</f>
        <v>26</v>
      </c>
      <c r="S145" s="186">
        <f>Assumptions!S82</f>
        <v>32</v>
      </c>
      <c r="T145" s="186">
        <f>Assumptions!T82</f>
        <v>94</v>
      </c>
      <c r="U145" s="185">
        <f t="shared" ref="U145:U146" si="402">SUM(Q145:T145)</f>
        <v>172</v>
      </c>
      <c r="V145" s="186">
        <f>Assumptions!V82</f>
        <v>30</v>
      </c>
      <c r="W145" s="186">
        <f>Assumptions!W82</f>
        <v>29</v>
      </c>
      <c r="X145" s="186">
        <f>Assumptions!X82</f>
        <v>35</v>
      </c>
      <c r="Y145" s="186">
        <f>Assumptions!Y82</f>
        <v>94</v>
      </c>
      <c r="Z145" s="185">
        <f t="shared" ref="Z145:Z146" si="403">SUM(V145:Y145)</f>
        <v>188</v>
      </c>
      <c r="AA145" s="186">
        <f>Assumptions!AA82</f>
        <v>30</v>
      </c>
      <c r="AB145" s="186">
        <f>Assumptions!AB82</f>
        <v>29</v>
      </c>
      <c r="AC145" s="186">
        <f>Assumptions!AC82</f>
        <v>35</v>
      </c>
      <c r="AD145" s="186">
        <f>Assumptions!AD82</f>
        <v>94</v>
      </c>
      <c r="AE145" s="185">
        <f t="shared" ref="AE145:AE146" si="404">SUM(AA145:AD145)</f>
        <v>188</v>
      </c>
      <c r="AF145" s="186">
        <f>Assumptions!AF82</f>
        <v>28</v>
      </c>
      <c r="AG145" s="186">
        <f>Assumptions!AG82</f>
        <v>25</v>
      </c>
      <c r="AH145" s="186">
        <f>Assumptions!AH82</f>
        <v>30</v>
      </c>
      <c r="AI145" s="186">
        <f>Assumptions!AI82</f>
        <v>90</v>
      </c>
      <c r="AJ145" s="185">
        <f t="shared" ref="AJ145:AJ146" si="405">SUM(AF145:AI145)</f>
        <v>173</v>
      </c>
      <c r="AK145" s="186">
        <f>Assumptions!AK82</f>
        <v>28</v>
      </c>
      <c r="AL145" s="186">
        <f>Assumptions!AL82</f>
        <v>25</v>
      </c>
      <c r="AM145" s="186">
        <f>Assumptions!AM82</f>
        <v>30</v>
      </c>
      <c r="AN145" s="186">
        <f>Assumptions!AN82</f>
        <v>90</v>
      </c>
      <c r="AO145" s="185">
        <f t="shared" ref="AO145:AO146" si="406">SUM(AK145:AN145)</f>
        <v>173</v>
      </c>
      <c r="AP145" s="165"/>
      <c r="AQ145" s="187"/>
      <c r="AR145" s="188"/>
      <c r="AS145" s="188"/>
      <c r="AT145" s="188"/>
      <c r="AU145" s="164"/>
    </row>
    <row r="146" ht="10.5" customHeight="1">
      <c r="A146" s="202" t="s">
        <v>235</v>
      </c>
      <c r="B146" s="190">
        <v>0.0</v>
      </c>
      <c r="C146" s="190">
        <v>0.0</v>
      </c>
      <c r="D146" s="190">
        <v>0.0</v>
      </c>
      <c r="E146" s="231">
        <f>F146-SUM(B146:D146)</f>
        <v>0</v>
      </c>
      <c r="F146" s="197">
        <v>0.0</v>
      </c>
      <c r="G146" s="190">
        <v>-1.0</v>
      </c>
      <c r="H146" s="190">
        <v>0.0</v>
      </c>
      <c r="I146" s="190">
        <v>-1.0</v>
      </c>
      <c r="J146" s="231">
        <f t="shared" si="400"/>
        <v>-1</v>
      </c>
      <c r="K146" s="197">
        <v>-3.0</v>
      </c>
      <c r="L146" s="190">
        <v>0.0</v>
      </c>
      <c r="M146" s="190">
        <v>-2.0</v>
      </c>
      <c r="N146" s="190">
        <v>-2.0</v>
      </c>
      <c r="O146" s="192">
        <f>Assumptions!O84</f>
        <v>0</v>
      </c>
      <c r="P146" s="191">
        <f t="shared" si="401"/>
        <v>-4</v>
      </c>
      <c r="Q146" s="192">
        <f>Assumptions!Q84</f>
        <v>0</v>
      </c>
      <c r="R146" s="192">
        <f>Assumptions!R84</f>
        <v>0</v>
      </c>
      <c r="S146" s="192">
        <f>Assumptions!S84</f>
        <v>0</v>
      </c>
      <c r="T146" s="192">
        <f>Assumptions!T84</f>
        <v>0</v>
      </c>
      <c r="U146" s="191">
        <f t="shared" si="402"/>
        <v>0</v>
      </c>
      <c r="V146" s="192">
        <f>Assumptions!V84</f>
        <v>0</v>
      </c>
      <c r="W146" s="192">
        <f>Assumptions!W84</f>
        <v>0</v>
      </c>
      <c r="X146" s="192">
        <f>Assumptions!X84</f>
        <v>0</v>
      </c>
      <c r="Y146" s="192">
        <f>Assumptions!Y84</f>
        <v>0</v>
      </c>
      <c r="Z146" s="191">
        <f t="shared" si="403"/>
        <v>0</v>
      </c>
      <c r="AA146" s="192">
        <f>Assumptions!AA84</f>
        <v>0</v>
      </c>
      <c r="AB146" s="192">
        <f>Assumptions!AB84</f>
        <v>0</v>
      </c>
      <c r="AC146" s="192">
        <f>Assumptions!AC84</f>
        <v>0</v>
      </c>
      <c r="AD146" s="192">
        <f>Assumptions!AD84</f>
        <v>0</v>
      </c>
      <c r="AE146" s="191">
        <f t="shared" si="404"/>
        <v>0</v>
      </c>
      <c r="AF146" s="192">
        <f>Assumptions!AF84</f>
        <v>0</v>
      </c>
      <c r="AG146" s="192">
        <f>Assumptions!AG84</f>
        <v>0</v>
      </c>
      <c r="AH146" s="192">
        <f>Assumptions!AH84</f>
        <v>0</v>
      </c>
      <c r="AI146" s="192">
        <f>Assumptions!AI84</f>
        <v>0</v>
      </c>
      <c r="AJ146" s="191">
        <f t="shared" si="405"/>
        <v>0</v>
      </c>
      <c r="AK146" s="192">
        <f>Assumptions!AK84</f>
        <v>0</v>
      </c>
      <c r="AL146" s="192">
        <f>Assumptions!AL84</f>
        <v>0</v>
      </c>
      <c r="AM146" s="192">
        <f>Assumptions!AM84</f>
        <v>0</v>
      </c>
      <c r="AN146" s="192">
        <f>Assumptions!AN84</f>
        <v>0</v>
      </c>
      <c r="AO146" s="191">
        <f t="shared" si="406"/>
        <v>0</v>
      </c>
      <c r="AP146" s="165"/>
      <c r="AQ146" s="187"/>
      <c r="AR146" s="188"/>
      <c r="AS146" s="188"/>
      <c r="AT146" s="188"/>
      <c r="AU146" s="164"/>
    </row>
    <row r="147" ht="10.5" customHeight="1">
      <c r="A147" s="198" t="s">
        <v>236</v>
      </c>
      <c r="B147" s="239">
        <f t="shared" ref="B147:AO147" si="407">SUM(B144:B146)</f>
        <v>2446</v>
      </c>
      <c r="C147" s="239">
        <f t="shared" si="407"/>
        <v>2472</v>
      </c>
      <c r="D147" s="239">
        <f t="shared" si="407"/>
        <v>2498</v>
      </c>
      <c r="E147" s="239">
        <f t="shared" si="407"/>
        <v>2575</v>
      </c>
      <c r="F147" s="241">
        <f t="shared" si="407"/>
        <v>2575</v>
      </c>
      <c r="G147" s="239">
        <f t="shared" si="407"/>
        <v>2599</v>
      </c>
      <c r="H147" s="239">
        <f t="shared" si="407"/>
        <v>2617</v>
      </c>
      <c r="I147" s="239">
        <f t="shared" si="407"/>
        <v>2637</v>
      </c>
      <c r="J147" s="239">
        <f t="shared" si="407"/>
        <v>2722</v>
      </c>
      <c r="K147" s="241">
        <f t="shared" si="407"/>
        <v>2722</v>
      </c>
      <c r="L147" s="239">
        <f t="shared" si="407"/>
        <v>2741</v>
      </c>
      <c r="M147" s="239">
        <f t="shared" si="407"/>
        <v>2762</v>
      </c>
      <c r="N147" s="239">
        <f t="shared" si="407"/>
        <v>2795</v>
      </c>
      <c r="O147" s="239">
        <f t="shared" si="407"/>
        <v>2883</v>
      </c>
      <c r="P147" s="206">
        <f t="shared" si="407"/>
        <v>2883</v>
      </c>
      <c r="Q147" s="239">
        <f t="shared" si="407"/>
        <v>2903</v>
      </c>
      <c r="R147" s="239">
        <f t="shared" si="407"/>
        <v>2929</v>
      </c>
      <c r="S147" s="239">
        <f t="shared" si="407"/>
        <v>2961</v>
      </c>
      <c r="T147" s="239">
        <f t="shared" si="407"/>
        <v>3055</v>
      </c>
      <c r="U147" s="206">
        <f t="shared" si="407"/>
        <v>3055</v>
      </c>
      <c r="V147" s="239">
        <f t="shared" si="407"/>
        <v>3085</v>
      </c>
      <c r="W147" s="239">
        <f t="shared" si="407"/>
        <v>3114</v>
      </c>
      <c r="X147" s="239">
        <f t="shared" si="407"/>
        <v>3149</v>
      </c>
      <c r="Y147" s="239">
        <f t="shared" si="407"/>
        <v>3243</v>
      </c>
      <c r="Z147" s="206">
        <f t="shared" si="407"/>
        <v>3243</v>
      </c>
      <c r="AA147" s="239">
        <f t="shared" si="407"/>
        <v>3273</v>
      </c>
      <c r="AB147" s="239">
        <f t="shared" si="407"/>
        <v>3302</v>
      </c>
      <c r="AC147" s="239">
        <f t="shared" si="407"/>
        <v>3337</v>
      </c>
      <c r="AD147" s="239">
        <f t="shared" si="407"/>
        <v>3431</v>
      </c>
      <c r="AE147" s="206">
        <f t="shared" si="407"/>
        <v>3431</v>
      </c>
      <c r="AF147" s="239">
        <f t="shared" si="407"/>
        <v>3459</v>
      </c>
      <c r="AG147" s="239">
        <f t="shared" si="407"/>
        <v>3484</v>
      </c>
      <c r="AH147" s="239">
        <f t="shared" si="407"/>
        <v>3514</v>
      </c>
      <c r="AI147" s="239">
        <f t="shared" si="407"/>
        <v>3604</v>
      </c>
      <c r="AJ147" s="206">
        <f t="shared" si="407"/>
        <v>3604</v>
      </c>
      <c r="AK147" s="239">
        <f t="shared" si="407"/>
        <v>3632</v>
      </c>
      <c r="AL147" s="239">
        <f t="shared" si="407"/>
        <v>3657</v>
      </c>
      <c r="AM147" s="239">
        <f t="shared" si="407"/>
        <v>3687</v>
      </c>
      <c r="AN147" s="239">
        <f t="shared" si="407"/>
        <v>3777</v>
      </c>
      <c r="AO147" s="206">
        <f t="shared" si="407"/>
        <v>3777</v>
      </c>
      <c r="AP147" s="165"/>
      <c r="AQ147" s="187"/>
      <c r="AR147" s="188"/>
      <c r="AS147" s="188"/>
      <c r="AT147" s="188"/>
      <c r="AU147" s="164"/>
    </row>
    <row r="148" ht="10.5" customHeight="1">
      <c r="A148" s="164"/>
      <c r="B148" s="165"/>
      <c r="C148" s="165"/>
      <c r="D148" s="165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250">
        <f>P147/K147-1</f>
        <v>0.05914768553</v>
      </c>
      <c r="Q148" s="165"/>
      <c r="R148" s="165"/>
      <c r="S148" s="165"/>
      <c r="T148" s="165"/>
      <c r="U148" s="250">
        <f>U147/P147-1</f>
        <v>0.05966007631</v>
      </c>
      <c r="V148" s="165"/>
      <c r="W148" s="165"/>
      <c r="X148" s="165"/>
      <c r="Y148" s="165"/>
      <c r="Z148" s="250">
        <f>Z147/U147-1</f>
        <v>0.06153846154</v>
      </c>
      <c r="AA148" s="165"/>
      <c r="AB148" s="165"/>
      <c r="AC148" s="165"/>
      <c r="AD148" s="165"/>
      <c r="AE148" s="250">
        <f>AE147/Z147-1</f>
        <v>0.05797101449</v>
      </c>
      <c r="AF148" s="165"/>
      <c r="AG148" s="165"/>
      <c r="AH148" s="165"/>
      <c r="AI148" s="165"/>
      <c r="AJ148" s="250">
        <f>AJ147/AE147-1</f>
        <v>0.05042261731</v>
      </c>
      <c r="AK148" s="165"/>
      <c r="AL148" s="165"/>
      <c r="AM148" s="165"/>
      <c r="AN148" s="165"/>
      <c r="AO148" s="250">
        <f>AO147/AJ147-1</f>
        <v>0.04800221976</v>
      </c>
      <c r="AP148" s="165"/>
      <c r="AQ148" s="165"/>
      <c r="AR148" s="164"/>
      <c r="AS148" s="164"/>
      <c r="AT148" s="164"/>
      <c r="AU148" s="164"/>
    </row>
    <row r="149" ht="10.5" customHeight="1">
      <c r="A149" s="164"/>
      <c r="B149" s="165"/>
      <c r="C149" s="165"/>
      <c r="D149" s="165"/>
      <c r="E149" s="165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65"/>
      <c r="AB149" s="165"/>
      <c r="AC149" s="165"/>
      <c r="AD149" s="165"/>
      <c r="AE149" s="165"/>
      <c r="AF149" s="165"/>
      <c r="AG149" s="165"/>
      <c r="AH149" s="165"/>
      <c r="AI149" s="165"/>
      <c r="AJ149" s="165"/>
      <c r="AK149" s="165"/>
      <c r="AL149" s="165"/>
      <c r="AM149" s="165"/>
      <c r="AN149" s="165"/>
      <c r="AO149" s="165"/>
      <c r="AP149" s="165"/>
      <c r="AQ149" s="165"/>
      <c r="AR149" s="164"/>
      <c r="AS149" s="164"/>
      <c r="AT149" s="164"/>
      <c r="AU149" s="164"/>
    </row>
    <row r="150" ht="10.5" customHeight="1">
      <c r="A150" s="164"/>
      <c r="B150" s="165"/>
      <c r="C150" s="165"/>
      <c r="D150" s="165"/>
      <c r="E150" s="165"/>
      <c r="F150" s="165"/>
      <c r="G150" s="165"/>
      <c r="H150" s="165"/>
      <c r="I150" s="165"/>
      <c r="J150" s="165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  <c r="AA150" s="165"/>
      <c r="AB150" s="165"/>
      <c r="AC150" s="165"/>
      <c r="AD150" s="165"/>
      <c r="AE150" s="165"/>
      <c r="AF150" s="165"/>
      <c r="AG150" s="165"/>
      <c r="AH150" s="165"/>
      <c r="AI150" s="165"/>
      <c r="AJ150" s="165"/>
      <c r="AK150" s="165"/>
      <c r="AL150" s="165"/>
      <c r="AM150" s="165"/>
      <c r="AN150" s="165"/>
      <c r="AO150" s="165"/>
      <c r="AP150" s="165"/>
      <c r="AQ150" s="165"/>
      <c r="AR150" s="164"/>
      <c r="AS150" s="164"/>
      <c r="AT150" s="164"/>
      <c r="AU150" s="164"/>
    </row>
    <row r="151" ht="10.5" customHeight="1">
      <c r="A151" s="164"/>
      <c r="B151" s="165"/>
      <c r="C151" s="165"/>
      <c r="D151" s="165"/>
      <c r="E151" s="165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  <c r="AA151" s="165"/>
      <c r="AB151" s="165"/>
      <c r="AC151" s="165"/>
      <c r="AD151" s="165"/>
      <c r="AE151" s="165"/>
      <c r="AF151" s="165"/>
      <c r="AG151" s="165"/>
      <c r="AH151" s="165"/>
      <c r="AI151" s="165"/>
      <c r="AJ151" s="165"/>
      <c r="AK151" s="165"/>
      <c r="AL151" s="165"/>
      <c r="AM151" s="165"/>
      <c r="AN151" s="165"/>
      <c r="AO151" s="165"/>
      <c r="AP151" s="165"/>
      <c r="AQ151" s="165"/>
      <c r="AR151" s="164"/>
      <c r="AS151" s="164"/>
      <c r="AT151" s="164"/>
      <c r="AU151" s="164"/>
    </row>
    <row r="152" ht="10.5" customHeight="1">
      <c r="A152" s="164"/>
      <c r="B152" s="165"/>
      <c r="C152" s="165"/>
      <c r="D152" s="165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  <c r="AA152" s="165"/>
      <c r="AB152" s="165"/>
      <c r="AC152" s="165"/>
      <c r="AD152" s="165"/>
      <c r="AE152" s="165"/>
      <c r="AF152" s="165"/>
      <c r="AG152" s="165"/>
      <c r="AH152" s="165"/>
      <c r="AI152" s="165"/>
      <c r="AJ152" s="165"/>
      <c r="AK152" s="165"/>
      <c r="AL152" s="165"/>
      <c r="AM152" s="165"/>
      <c r="AN152" s="165"/>
      <c r="AO152" s="165"/>
      <c r="AP152" s="165"/>
      <c r="AQ152" s="165"/>
      <c r="AR152" s="164"/>
      <c r="AS152" s="164"/>
      <c r="AT152" s="164"/>
      <c r="AU152" s="164"/>
    </row>
    <row r="153" ht="10.5" customHeight="1">
      <c r="A153" s="164"/>
      <c r="B153" s="165"/>
      <c r="C153" s="165"/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  <c r="AA153" s="165"/>
      <c r="AB153" s="165"/>
      <c r="AC153" s="165"/>
      <c r="AD153" s="165"/>
      <c r="AE153" s="165"/>
      <c r="AF153" s="165"/>
      <c r="AG153" s="165"/>
      <c r="AH153" s="165"/>
      <c r="AI153" s="165"/>
      <c r="AJ153" s="165"/>
      <c r="AK153" s="165"/>
      <c r="AL153" s="165"/>
      <c r="AM153" s="165"/>
      <c r="AN153" s="165"/>
      <c r="AO153" s="165"/>
      <c r="AP153" s="165"/>
      <c r="AQ153" s="165"/>
      <c r="AR153" s="164"/>
      <c r="AS153" s="164"/>
      <c r="AT153" s="164"/>
      <c r="AU153" s="164"/>
    </row>
    <row r="154" ht="10.5" customHeight="1">
      <c r="A154" s="164"/>
      <c r="B154" s="165"/>
      <c r="C154" s="165"/>
      <c r="D154" s="165"/>
      <c r="E154" s="165"/>
      <c r="F154" s="165"/>
      <c r="G154" s="165"/>
      <c r="H154" s="165"/>
      <c r="I154" s="165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  <c r="AA154" s="165"/>
      <c r="AB154" s="165"/>
      <c r="AC154" s="165"/>
      <c r="AD154" s="165"/>
      <c r="AE154" s="165"/>
      <c r="AF154" s="165"/>
      <c r="AG154" s="165"/>
      <c r="AH154" s="165"/>
      <c r="AI154" s="165"/>
      <c r="AJ154" s="165"/>
      <c r="AK154" s="165"/>
      <c r="AL154" s="165"/>
      <c r="AM154" s="165"/>
      <c r="AN154" s="165"/>
      <c r="AO154" s="165"/>
      <c r="AP154" s="165"/>
      <c r="AQ154" s="165"/>
      <c r="AR154" s="164"/>
      <c r="AS154" s="164"/>
      <c r="AT154" s="164"/>
      <c r="AU154" s="164"/>
    </row>
    <row r="155" ht="10.5" customHeight="1">
      <c r="A155" s="164"/>
      <c r="B155" s="165"/>
      <c r="C155" s="165"/>
      <c r="D155" s="165"/>
      <c r="E155" s="165"/>
      <c r="F155" s="165"/>
      <c r="G155" s="165"/>
      <c r="H155" s="165"/>
      <c r="I155" s="165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  <c r="AA155" s="165"/>
      <c r="AB155" s="165"/>
      <c r="AC155" s="165"/>
      <c r="AD155" s="165"/>
      <c r="AE155" s="165"/>
      <c r="AF155" s="165"/>
      <c r="AG155" s="165"/>
      <c r="AH155" s="165"/>
      <c r="AI155" s="165"/>
      <c r="AJ155" s="165"/>
      <c r="AK155" s="165"/>
      <c r="AL155" s="165"/>
      <c r="AM155" s="165"/>
      <c r="AN155" s="165"/>
      <c r="AO155" s="165"/>
      <c r="AP155" s="165"/>
      <c r="AQ155" s="165"/>
      <c r="AR155" s="164"/>
      <c r="AS155" s="164"/>
      <c r="AT155" s="164"/>
      <c r="AU155" s="164"/>
    </row>
    <row r="156" ht="10.5" customHeight="1">
      <c r="A156" s="164"/>
      <c r="B156" s="165"/>
      <c r="C156" s="165"/>
      <c r="D156" s="165"/>
      <c r="E156" s="165"/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  <c r="AA156" s="165"/>
      <c r="AB156" s="165"/>
      <c r="AC156" s="165"/>
      <c r="AD156" s="165"/>
      <c r="AE156" s="165"/>
      <c r="AF156" s="165"/>
      <c r="AG156" s="165"/>
      <c r="AH156" s="165"/>
      <c r="AI156" s="165"/>
      <c r="AJ156" s="165"/>
      <c r="AK156" s="165"/>
      <c r="AL156" s="165"/>
      <c r="AM156" s="165"/>
      <c r="AN156" s="165"/>
      <c r="AO156" s="165"/>
      <c r="AP156" s="165"/>
      <c r="AQ156" s="165"/>
      <c r="AR156" s="164"/>
      <c r="AS156" s="164"/>
      <c r="AT156" s="164"/>
      <c r="AU156" s="164"/>
    </row>
    <row r="157" ht="10.5" customHeight="1">
      <c r="A157" s="164"/>
      <c r="B157" s="165"/>
      <c r="C157" s="165"/>
      <c r="D157" s="165"/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  <c r="AA157" s="165"/>
      <c r="AB157" s="165"/>
      <c r="AC157" s="165"/>
      <c r="AD157" s="165"/>
      <c r="AE157" s="165"/>
      <c r="AF157" s="165"/>
      <c r="AG157" s="165"/>
      <c r="AH157" s="165"/>
      <c r="AI157" s="165"/>
      <c r="AJ157" s="165"/>
      <c r="AK157" s="165"/>
      <c r="AL157" s="165"/>
      <c r="AM157" s="165"/>
      <c r="AN157" s="165"/>
      <c r="AO157" s="165"/>
      <c r="AP157" s="165"/>
      <c r="AQ157" s="165"/>
      <c r="AR157" s="164"/>
      <c r="AS157" s="164"/>
      <c r="AT157" s="164"/>
      <c r="AU157" s="164"/>
    </row>
    <row r="158" ht="10.5" customHeight="1">
      <c r="A158" s="164"/>
      <c r="B158" s="165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5"/>
      <c r="AJ158" s="165"/>
      <c r="AK158" s="165"/>
      <c r="AL158" s="165"/>
      <c r="AM158" s="165"/>
      <c r="AN158" s="165"/>
      <c r="AO158" s="165"/>
      <c r="AP158" s="165"/>
      <c r="AQ158" s="165"/>
      <c r="AR158" s="164"/>
      <c r="AS158" s="164"/>
      <c r="AT158" s="164"/>
      <c r="AU158" s="164"/>
    </row>
    <row r="159" ht="10.5" customHeight="1">
      <c r="A159" s="164"/>
      <c r="B159" s="165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5"/>
      <c r="AJ159" s="165"/>
      <c r="AK159" s="165"/>
      <c r="AL159" s="165"/>
      <c r="AM159" s="165"/>
      <c r="AN159" s="165"/>
      <c r="AO159" s="165"/>
      <c r="AP159" s="165"/>
      <c r="AQ159" s="165"/>
      <c r="AR159" s="164"/>
      <c r="AS159" s="164"/>
      <c r="AT159" s="164"/>
      <c r="AU159" s="164"/>
    </row>
    <row r="160" ht="10.5" customHeight="1">
      <c r="A160" s="164"/>
      <c r="B160" s="165"/>
      <c r="C160" s="165"/>
      <c r="D160" s="165"/>
      <c r="E160" s="165"/>
      <c r="F160" s="165"/>
      <c r="G160" s="165"/>
      <c r="H160" s="165"/>
      <c r="I160" s="165"/>
      <c r="J160" s="165"/>
      <c r="K160" s="165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  <c r="AA160" s="165"/>
      <c r="AB160" s="165"/>
      <c r="AC160" s="165"/>
      <c r="AD160" s="165"/>
      <c r="AE160" s="165"/>
      <c r="AF160" s="165"/>
      <c r="AG160" s="165"/>
      <c r="AH160" s="165"/>
      <c r="AI160" s="165"/>
      <c r="AJ160" s="165"/>
      <c r="AK160" s="165"/>
      <c r="AL160" s="165"/>
      <c r="AM160" s="165"/>
      <c r="AN160" s="165"/>
      <c r="AO160" s="165"/>
      <c r="AP160" s="165"/>
      <c r="AQ160" s="165"/>
      <c r="AR160" s="164"/>
      <c r="AS160" s="164"/>
      <c r="AT160" s="164"/>
      <c r="AU160" s="164"/>
    </row>
    <row r="161" ht="10.5" customHeight="1">
      <c r="A161" s="164"/>
      <c r="B161" s="165"/>
      <c r="C161" s="165"/>
      <c r="D161" s="165"/>
      <c r="E161" s="165"/>
      <c r="F161" s="165"/>
      <c r="G161" s="165"/>
      <c r="H161" s="165"/>
      <c r="I161" s="165"/>
      <c r="J161" s="165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  <c r="AA161" s="165"/>
      <c r="AB161" s="165"/>
      <c r="AC161" s="165"/>
      <c r="AD161" s="165"/>
      <c r="AE161" s="165"/>
      <c r="AF161" s="165"/>
      <c r="AG161" s="165"/>
      <c r="AH161" s="165"/>
      <c r="AI161" s="165"/>
      <c r="AJ161" s="165"/>
      <c r="AK161" s="165"/>
      <c r="AL161" s="165"/>
      <c r="AM161" s="165"/>
      <c r="AN161" s="165"/>
      <c r="AO161" s="165"/>
      <c r="AP161" s="165"/>
      <c r="AQ161" s="165"/>
      <c r="AR161" s="164"/>
      <c r="AS161" s="164"/>
      <c r="AT161" s="164"/>
      <c r="AU161" s="164"/>
    </row>
    <row r="162" ht="10.5" customHeight="1">
      <c r="A162" s="164"/>
      <c r="B162" s="165"/>
      <c r="C162" s="165"/>
      <c r="D162" s="165"/>
      <c r="E162" s="165"/>
      <c r="F162" s="165"/>
      <c r="G162" s="165"/>
      <c r="H162" s="165"/>
      <c r="I162" s="165"/>
      <c r="J162" s="165"/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  <c r="AD162" s="165"/>
      <c r="AE162" s="165"/>
      <c r="AF162" s="165"/>
      <c r="AG162" s="165"/>
      <c r="AH162" s="165"/>
      <c r="AI162" s="165"/>
      <c r="AJ162" s="165"/>
      <c r="AK162" s="165"/>
      <c r="AL162" s="165"/>
      <c r="AM162" s="165"/>
      <c r="AN162" s="165"/>
      <c r="AO162" s="165"/>
      <c r="AP162" s="165"/>
      <c r="AQ162" s="165"/>
      <c r="AR162" s="164"/>
      <c r="AS162" s="164"/>
      <c r="AT162" s="164"/>
      <c r="AU162" s="164"/>
    </row>
    <row r="163" ht="10.5" customHeight="1">
      <c r="A163" s="164"/>
      <c r="B163" s="165"/>
      <c r="C163" s="165"/>
      <c r="D163" s="165"/>
      <c r="E163" s="165"/>
      <c r="F163" s="165"/>
      <c r="G163" s="165"/>
      <c r="H163" s="165"/>
      <c r="I163" s="165"/>
      <c r="J163" s="165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  <c r="AA163" s="165"/>
      <c r="AB163" s="165"/>
      <c r="AC163" s="165"/>
      <c r="AD163" s="165"/>
      <c r="AE163" s="165"/>
      <c r="AF163" s="165"/>
      <c r="AG163" s="165"/>
      <c r="AH163" s="165"/>
      <c r="AI163" s="165"/>
      <c r="AJ163" s="165"/>
      <c r="AK163" s="165"/>
      <c r="AL163" s="165"/>
      <c r="AM163" s="165"/>
      <c r="AN163" s="165"/>
      <c r="AO163" s="165"/>
      <c r="AP163" s="165"/>
      <c r="AQ163" s="165"/>
      <c r="AR163" s="164"/>
      <c r="AS163" s="164"/>
      <c r="AT163" s="164"/>
      <c r="AU163" s="164"/>
    </row>
    <row r="164" ht="10.5" customHeight="1">
      <c r="A164" s="164"/>
      <c r="B164" s="165"/>
      <c r="C164" s="165"/>
      <c r="D164" s="165"/>
      <c r="E164" s="165"/>
      <c r="F164" s="165"/>
      <c r="G164" s="165"/>
      <c r="H164" s="165"/>
      <c r="I164" s="165"/>
      <c r="J164" s="165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  <c r="AA164" s="165"/>
      <c r="AB164" s="165"/>
      <c r="AC164" s="165"/>
      <c r="AD164" s="165"/>
      <c r="AE164" s="165"/>
      <c r="AF164" s="165"/>
      <c r="AG164" s="165"/>
      <c r="AH164" s="165"/>
      <c r="AI164" s="165"/>
      <c r="AJ164" s="165"/>
      <c r="AK164" s="165"/>
      <c r="AL164" s="165"/>
      <c r="AM164" s="165"/>
      <c r="AN164" s="165"/>
      <c r="AO164" s="165"/>
      <c r="AP164" s="165"/>
      <c r="AQ164" s="165"/>
      <c r="AR164" s="164"/>
      <c r="AS164" s="164"/>
      <c r="AT164" s="164"/>
      <c r="AU164" s="164"/>
    </row>
    <row r="165" ht="10.5" customHeight="1">
      <c r="A165" s="164"/>
      <c r="B165" s="165"/>
      <c r="C165" s="165"/>
      <c r="D165" s="165"/>
      <c r="E165" s="165"/>
      <c r="F165" s="165"/>
      <c r="G165" s="165"/>
      <c r="H165" s="165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  <c r="AA165" s="165"/>
      <c r="AB165" s="165"/>
      <c r="AC165" s="165"/>
      <c r="AD165" s="165"/>
      <c r="AE165" s="165"/>
      <c r="AF165" s="165"/>
      <c r="AG165" s="165"/>
      <c r="AH165" s="165"/>
      <c r="AI165" s="165"/>
      <c r="AJ165" s="165"/>
      <c r="AK165" s="165"/>
      <c r="AL165" s="165"/>
      <c r="AM165" s="165"/>
      <c r="AN165" s="165"/>
      <c r="AO165" s="165"/>
      <c r="AP165" s="165"/>
      <c r="AQ165" s="165"/>
      <c r="AR165" s="164"/>
      <c r="AS165" s="164"/>
      <c r="AT165" s="164"/>
      <c r="AU165" s="164"/>
    </row>
    <row r="166" ht="10.5" customHeight="1">
      <c r="A166" s="164"/>
      <c r="B166" s="165"/>
      <c r="C166" s="165"/>
      <c r="D166" s="165"/>
      <c r="E166" s="165"/>
      <c r="F166" s="165"/>
      <c r="G166" s="165"/>
      <c r="H166" s="165"/>
      <c r="I166" s="165"/>
      <c r="J166" s="165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  <c r="AA166" s="165"/>
      <c r="AB166" s="165"/>
      <c r="AC166" s="165"/>
      <c r="AD166" s="165"/>
      <c r="AE166" s="165"/>
      <c r="AF166" s="165"/>
      <c r="AG166" s="165"/>
      <c r="AH166" s="165"/>
      <c r="AI166" s="165"/>
      <c r="AJ166" s="165"/>
      <c r="AK166" s="165"/>
      <c r="AL166" s="165"/>
      <c r="AM166" s="165"/>
      <c r="AN166" s="165"/>
      <c r="AO166" s="165"/>
      <c r="AP166" s="165"/>
      <c r="AQ166" s="165"/>
      <c r="AR166" s="164"/>
      <c r="AS166" s="164"/>
      <c r="AT166" s="164"/>
      <c r="AU166" s="164"/>
    </row>
    <row r="167" ht="10.5" customHeight="1">
      <c r="A167" s="164"/>
      <c r="B167" s="165"/>
      <c r="C167" s="165"/>
      <c r="D167" s="165"/>
      <c r="E167" s="165"/>
      <c r="F167" s="165"/>
      <c r="G167" s="165"/>
      <c r="H167" s="165"/>
      <c r="I167" s="165"/>
      <c r="J167" s="165"/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  <c r="AA167" s="165"/>
      <c r="AB167" s="165"/>
      <c r="AC167" s="165"/>
      <c r="AD167" s="165"/>
      <c r="AE167" s="165"/>
      <c r="AF167" s="165"/>
      <c r="AG167" s="165"/>
      <c r="AH167" s="165"/>
      <c r="AI167" s="165"/>
      <c r="AJ167" s="165"/>
      <c r="AK167" s="165"/>
      <c r="AL167" s="165"/>
      <c r="AM167" s="165"/>
      <c r="AN167" s="165"/>
      <c r="AO167" s="165"/>
      <c r="AP167" s="165"/>
      <c r="AQ167" s="165"/>
      <c r="AR167" s="164"/>
      <c r="AS167" s="164"/>
      <c r="AT167" s="164"/>
      <c r="AU167" s="164"/>
    </row>
    <row r="168" ht="10.5" customHeight="1">
      <c r="A168" s="164"/>
      <c r="B168" s="165"/>
      <c r="C168" s="165"/>
      <c r="D168" s="165"/>
      <c r="E168" s="165"/>
      <c r="F168" s="165"/>
      <c r="G168" s="165"/>
      <c r="H168" s="165"/>
      <c r="I168" s="165"/>
      <c r="J168" s="165"/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  <c r="AA168" s="165"/>
      <c r="AB168" s="165"/>
      <c r="AC168" s="165"/>
      <c r="AD168" s="165"/>
      <c r="AE168" s="165"/>
      <c r="AF168" s="165"/>
      <c r="AG168" s="165"/>
      <c r="AH168" s="165"/>
      <c r="AI168" s="165"/>
      <c r="AJ168" s="165"/>
      <c r="AK168" s="165"/>
      <c r="AL168" s="165"/>
      <c r="AM168" s="165"/>
      <c r="AN168" s="165"/>
      <c r="AO168" s="165"/>
      <c r="AP168" s="165"/>
      <c r="AQ168" s="165"/>
      <c r="AR168" s="164"/>
      <c r="AS168" s="164"/>
      <c r="AT168" s="164"/>
      <c r="AU168" s="164"/>
    </row>
    <row r="169" ht="10.5" customHeight="1">
      <c r="A169" s="164"/>
      <c r="B169" s="165"/>
      <c r="C169" s="165"/>
      <c r="D169" s="165"/>
      <c r="E169" s="165"/>
      <c r="F169" s="165"/>
      <c r="G169" s="165"/>
      <c r="H169" s="165"/>
      <c r="I169" s="165"/>
      <c r="J169" s="165"/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  <c r="AA169" s="165"/>
      <c r="AB169" s="165"/>
      <c r="AC169" s="165"/>
      <c r="AD169" s="165"/>
      <c r="AE169" s="165"/>
      <c r="AF169" s="165"/>
      <c r="AG169" s="165"/>
      <c r="AH169" s="165"/>
      <c r="AI169" s="165"/>
      <c r="AJ169" s="165"/>
      <c r="AK169" s="165"/>
      <c r="AL169" s="165"/>
      <c r="AM169" s="165"/>
      <c r="AN169" s="165"/>
      <c r="AO169" s="165"/>
      <c r="AP169" s="165"/>
      <c r="AQ169" s="165"/>
      <c r="AR169" s="164"/>
      <c r="AS169" s="164"/>
      <c r="AT169" s="164"/>
      <c r="AU169" s="164"/>
    </row>
    <row r="170" ht="10.5" customHeight="1">
      <c r="A170" s="164"/>
      <c r="B170" s="165"/>
      <c r="C170" s="165"/>
      <c r="D170" s="165"/>
      <c r="E170" s="165"/>
      <c r="F170" s="165"/>
      <c r="G170" s="165"/>
      <c r="H170" s="165"/>
      <c r="I170" s="165"/>
      <c r="J170" s="165"/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  <c r="AA170" s="165"/>
      <c r="AB170" s="165"/>
      <c r="AC170" s="165"/>
      <c r="AD170" s="165"/>
      <c r="AE170" s="165"/>
      <c r="AF170" s="165"/>
      <c r="AG170" s="165"/>
      <c r="AH170" s="165"/>
      <c r="AI170" s="165"/>
      <c r="AJ170" s="165"/>
      <c r="AK170" s="165"/>
      <c r="AL170" s="165"/>
      <c r="AM170" s="165"/>
      <c r="AN170" s="165"/>
      <c r="AO170" s="165"/>
      <c r="AP170" s="165"/>
      <c r="AQ170" s="165"/>
      <c r="AR170" s="164"/>
      <c r="AS170" s="164"/>
      <c r="AT170" s="164"/>
      <c r="AU170" s="164"/>
    </row>
    <row r="171" ht="10.5" customHeight="1">
      <c r="A171" s="164"/>
      <c r="B171" s="165"/>
      <c r="C171" s="165"/>
      <c r="D171" s="165"/>
      <c r="E171" s="165"/>
      <c r="F171" s="165"/>
      <c r="G171" s="165"/>
      <c r="H171" s="165"/>
      <c r="I171" s="165"/>
      <c r="J171" s="165"/>
      <c r="K171" s="165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  <c r="AA171" s="165"/>
      <c r="AB171" s="165"/>
      <c r="AC171" s="165"/>
      <c r="AD171" s="165"/>
      <c r="AE171" s="165"/>
      <c r="AF171" s="165"/>
      <c r="AG171" s="165"/>
      <c r="AH171" s="165"/>
      <c r="AI171" s="165"/>
      <c r="AJ171" s="165"/>
      <c r="AK171" s="165"/>
      <c r="AL171" s="165"/>
      <c r="AM171" s="165"/>
      <c r="AN171" s="165"/>
      <c r="AO171" s="165"/>
      <c r="AP171" s="165"/>
      <c r="AQ171" s="165"/>
      <c r="AR171" s="164"/>
      <c r="AS171" s="164"/>
      <c r="AT171" s="164"/>
      <c r="AU171" s="164"/>
    </row>
    <row r="172" ht="10.5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5"/>
      <c r="AH172" s="165"/>
      <c r="AI172" s="165"/>
      <c r="AJ172" s="165"/>
      <c r="AK172" s="165"/>
      <c r="AL172" s="165"/>
      <c r="AM172" s="165"/>
      <c r="AN172" s="165"/>
      <c r="AO172" s="165"/>
      <c r="AP172" s="165"/>
      <c r="AQ172" s="165"/>
      <c r="AR172" s="164"/>
      <c r="AS172" s="164"/>
      <c r="AT172" s="164"/>
      <c r="AU172" s="164"/>
    </row>
    <row r="173" ht="10.5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5"/>
      <c r="AH173" s="165"/>
      <c r="AI173" s="165"/>
      <c r="AJ173" s="165"/>
      <c r="AK173" s="165"/>
      <c r="AL173" s="165"/>
      <c r="AM173" s="165"/>
      <c r="AN173" s="165"/>
      <c r="AO173" s="165"/>
      <c r="AP173" s="165"/>
      <c r="AQ173" s="165"/>
      <c r="AR173" s="164"/>
      <c r="AS173" s="164"/>
      <c r="AT173" s="164"/>
      <c r="AU173" s="164"/>
    </row>
    <row r="174" ht="10.5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5"/>
      <c r="AH174" s="165"/>
      <c r="AI174" s="165"/>
      <c r="AJ174" s="165"/>
      <c r="AK174" s="165"/>
      <c r="AL174" s="165"/>
      <c r="AM174" s="165"/>
      <c r="AN174" s="165"/>
      <c r="AO174" s="165"/>
      <c r="AP174" s="165"/>
      <c r="AQ174" s="165"/>
      <c r="AR174" s="164"/>
      <c r="AS174" s="164"/>
      <c r="AT174" s="164"/>
      <c r="AU174" s="164"/>
    </row>
    <row r="175" ht="10.5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5"/>
      <c r="AH175" s="165"/>
      <c r="AI175" s="165"/>
      <c r="AJ175" s="165"/>
      <c r="AK175" s="165"/>
      <c r="AL175" s="165"/>
      <c r="AM175" s="165"/>
      <c r="AN175" s="165"/>
      <c r="AO175" s="165"/>
      <c r="AP175" s="165"/>
      <c r="AQ175" s="165"/>
      <c r="AR175" s="164"/>
      <c r="AS175" s="164"/>
      <c r="AT175" s="164"/>
      <c r="AU175" s="164"/>
    </row>
    <row r="176" ht="10.5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65"/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5"/>
      <c r="AH176" s="165"/>
      <c r="AI176" s="165"/>
      <c r="AJ176" s="165"/>
      <c r="AK176" s="165"/>
      <c r="AL176" s="165"/>
      <c r="AM176" s="165"/>
      <c r="AN176" s="165"/>
      <c r="AO176" s="165"/>
      <c r="AP176" s="165"/>
      <c r="AQ176" s="165"/>
      <c r="AR176" s="164"/>
      <c r="AS176" s="164"/>
      <c r="AT176" s="164"/>
      <c r="AU176" s="164"/>
    </row>
    <row r="177" ht="10.5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65"/>
      <c r="K177" s="165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5"/>
      <c r="AH177" s="165"/>
      <c r="AI177" s="165"/>
      <c r="AJ177" s="165"/>
      <c r="AK177" s="165"/>
      <c r="AL177" s="165"/>
      <c r="AM177" s="165"/>
      <c r="AN177" s="165"/>
      <c r="AO177" s="165"/>
      <c r="AP177" s="165"/>
      <c r="AQ177" s="165"/>
      <c r="AR177" s="164"/>
      <c r="AS177" s="164"/>
      <c r="AT177" s="164"/>
      <c r="AU177" s="164"/>
    </row>
    <row r="178" ht="10.5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5"/>
      <c r="AH178" s="165"/>
      <c r="AI178" s="165"/>
      <c r="AJ178" s="165"/>
      <c r="AK178" s="165"/>
      <c r="AL178" s="165"/>
      <c r="AM178" s="165"/>
      <c r="AN178" s="165"/>
      <c r="AO178" s="165"/>
      <c r="AP178" s="165"/>
      <c r="AQ178" s="165"/>
      <c r="AR178" s="164"/>
      <c r="AS178" s="164"/>
      <c r="AT178" s="164"/>
      <c r="AU178" s="164"/>
    </row>
    <row r="179" ht="10.5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5"/>
      <c r="AH179" s="165"/>
      <c r="AI179" s="165"/>
      <c r="AJ179" s="165"/>
      <c r="AK179" s="165"/>
      <c r="AL179" s="165"/>
      <c r="AM179" s="165"/>
      <c r="AN179" s="165"/>
      <c r="AO179" s="165"/>
      <c r="AP179" s="165"/>
      <c r="AQ179" s="165"/>
      <c r="AR179" s="164"/>
      <c r="AS179" s="164"/>
      <c r="AT179" s="164"/>
      <c r="AU179" s="164"/>
    </row>
    <row r="180" ht="10.5" customHeight="1">
      <c r="A180" s="164"/>
      <c r="B180" s="165"/>
      <c r="C180" s="165"/>
      <c r="D180" s="165"/>
      <c r="E180" s="165"/>
      <c r="F180" s="165"/>
      <c r="G180" s="165"/>
      <c r="H180" s="165"/>
      <c r="I180" s="165"/>
      <c r="J180" s="165"/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  <c r="AA180" s="165"/>
      <c r="AB180" s="165"/>
      <c r="AC180" s="165"/>
      <c r="AD180" s="165"/>
      <c r="AE180" s="165"/>
      <c r="AF180" s="165"/>
      <c r="AG180" s="165"/>
      <c r="AH180" s="165"/>
      <c r="AI180" s="165"/>
      <c r="AJ180" s="165"/>
      <c r="AK180" s="165"/>
      <c r="AL180" s="165"/>
      <c r="AM180" s="165"/>
      <c r="AN180" s="165"/>
      <c r="AO180" s="165"/>
      <c r="AP180" s="165"/>
      <c r="AQ180" s="165"/>
      <c r="AR180" s="164"/>
      <c r="AS180" s="164"/>
      <c r="AT180" s="164"/>
      <c r="AU180" s="164"/>
    </row>
    <row r="181" ht="10.5" customHeight="1">
      <c r="A181" s="164"/>
      <c r="B181" s="165"/>
      <c r="C181" s="165"/>
      <c r="D181" s="165"/>
      <c r="E181" s="165"/>
      <c r="F181" s="165"/>
      <c r="G181" s="165"/>
      <c r="H181" s="165"/>
      <c r="I181" s="165"/>
      <c r="J181" s="165"/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  <c r="AA181" s="165"/>
      <c r="AB181" s="165"/>
      <c r="AC181" s="165"/>
      <c r="AD181" s="165"/>
      <c r="AE181" s="165"/>
      <c r="AF181" s="165"/>
      <c r="AG181" s="165"/>
      <c r="AH181" s="165"/>
      <c r="AI181" s="165"/>
      <c r="AJ181" s="165"/>
      <c r="AK181" s="165"/>
      <c r="AL181" s="165"/>
      <c r="AM181" s="165"/>
      <c r="AN181" s="165"/>
      <c r="AO181" s="165"/>
      <c r="AP181" s="165"/>
      <c r="AQ181" s="165"/>
      <c r="AR181" s="164"/>
      <c r="AS181" s="164"/>
      <c r="AT181" s="164"/>
      <c r="AU181" s="164"/>
    </row>
    <row r="182" ht="10.5" customHeight="1">
      <c r="A182" s="164"/>
      <c r="B182" s="165"/>
      <c r="C182" s="165"/>
      <c r="D182" s="165"/>
      <c r="E182" s="165"/>
      <c r="F182" s="165"/>
      <c r="G182" s="165"/>
      <c r="H182" s="165"/>
      <c r="I182" s="165"/>
      <c r="J182" s="165"/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  <c r="AA182" s="165"/>
      <c r="AB182" s="165"/>
      <c r="AC182" s="165"/>
      <c r="AD182" s="165"/>
      <c r="AE182" s="165"/>
      <c r="AF182" s="165"/>
      <c r="AG182" s="165"/>
      <c r="AH182" s="165"/>
      <c r="AI182" s="165"/>
      <c r="AJ182" s="165"/>
      <c r="AK182" s="165"/>
      <c r="AL182" s="165"/>
      <c r="AM182" s="165"/>
      <c r="AN182" s="165"/>
      <c r="AO182" s="165"/>
      <c r="AP182" s="165"/>
      <c r="AQ182" s="165"/>
      <c r="AR182" s="164"/>
      <c r="AS182" s="164"/>
      <c r="AT182" s="164"/>
      <c r="AU182" s="164"/>
    </row>
    <row r="183" ht="10.5" customHeight="1">
      <c r="A183" s="164"/>
      <c r="B183" s="165"/>
      <c r="C183" s="165"/>
      <c r="D183" s="165"/>
      <c r="E183" s="165"/>
      <c r="F183" s="165"/>
      <c r="G183" s="165"/>
      <c r="H183" s="165"/>
      <c r="I183" s="165"/>
      <c r="J183" s="165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  <c r="AA183" s="165"/>
      <c r="AB183" s="165"/>
      <c r="AC183" s="165"/>
      <c r="AD183" s="165"/>
      <c r="AE183" s="165"/>
      <c r="AF183" s="165"/>
      <c r="AG183" s="165"/>
      <c r="AH183" s="165"/>
      <c r="AI183" s="165"/>
      <c r="AJ183" s="165"/>
      <c r="AK183" s="165"/>
      <c r="AL183" s="165"/>
      <c r="AM183" s="165"/>
      <c r="AN183" s="165"/>
      <c r="AO183" s="165"/>
      <c r="AP183" s="165"/>
      <c r="AQ183" s="165"/>
      <c r="AR183" s="164"/>
      <c r="AS183" s="164"/>
      <c r="AT183" s="164"/>
      <c r="AU183" s="164"/>
    </row>
    <row r="184" ht="10.5" customHeight="1">
      <c r="A184" s="164"/>
      <c r="B184" s="165"/>
      <c r="C184" s="165"/>
      <c r="D184" s="165"/>
      <c r="E184" s="165"/>
      <c r="F184" s="165"/>
      <c r="G184" s="165"/>
      <c r="H184" s="165"/>
      <c r="I184" s="165"/>
      <c r="J184" s="165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  <c r="AA184" s="165"/>
      <c r="AB184" s="165"/>
      <c r="AC184" s="165"/>
      <c r="AD184" s="165"/>
      <c r="AE184" s="165"/>
      <c r="AF184" s="165"/>
      <c r="AG184" s="165"/>
      <c r="AH184" s="165"/>
      <c r="AI184" s="165"/>
      <c r="AJ184" s="165"/>
      <c r="AK184" s="165"/>
      <c r="AL184" s="165"/>
      <c r="AM184" s="165"/>
      <c r="AN184" s="165"/>
      <c r="AO184" s="165"/>
      <c r="AP184" s="165"/>
      <c r="AQ184" s="165"/>
      <c r="AR184" s="164"/>
      <c r="AS184" s="164"/>
      <c r="AT184" s="164"/>
      <c r="AU184" s="164"/>
    </row>
    <row r="185" ht="10.5" customHeight="1">
      <c r="A185" s="164"/>
      <c r="B185" s="165"/>
      <c r="C185" s="165"/>
      <c r="D185" s="165"/>
      <c r="E185" s="165"/>
      <c r="F185" s="165"/>
      <c r="G185" s="165"/>
      <c r="H185" s="165"/>
      <c r="I185" s="165"/>
      <c r="J185" s="165"/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  <c r="AA185" s="165"/>
      <c r="AB185" s="165"/>
      <c r="AC185" s="165"/>
      <c r="AD185" s="165"/>
      <c r="AE185" s="165"/>
      <c r="AF185" s="165"/>
      <c r="AG185" s="165"/>
      <c r="AH185" s="165"/>
      <c r="AI185" s="165"/>
      <c r="AJ185" s="165"/>
      <c r="AK185" s="165"/>
      <c r="AL185" s="165"/>
      <c r="AM185" s="165"/>
      <c r="AN185" s="165"/>
      <c r="AO185" s="165"/>
      <c r="AP185" s="165"/>
      <c r="AQ185" s="165"/>
      <c r="AR185" s="164"/>
      <c r="AS185" s="164"/>
      <c r="AT185" s="164"/>
      <c r="AU185" s="164"/>
    </row>
    <row r="186" ht="10.5" customHeight="1">
      <c r="A186" s="164"/>
      <c r="B186" s="165"/>
      <c r="C186" s="165"/>
      <c r="D186" s="165"/>
      <c r="E186" s="165"/>
      <c r="F186" s="165"/>
      <c r="G186" s="165"/>
      <c r="H186" s="165"/>
      <c r="I186" s="165"/>
      <c r="J186" s="165"/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  <c r="AA186" s="165"/>
      <c r="AB186" s="165"/>
      <c r="AC186" s="165"/>
      <c r="AD186" s="165"/>
      <c r="AE186" s="165"/>
      <c r="AF186" s="165"/>
      <c r="AG186" s="165"/>
      <c r="AH186" s="165"/>
      <c r="AI186" s="165"/>
      <c r="AJ186" s="165"/>
      <c r="AK186" s="165"/>
      <c r="AL186" s="165"/>
      <c r="AM186" s="165"/>
      <c r="AN186" s="165"/>
      <c r="AO186" s="165"/>
      <c r="AP186" s="165"/>
      <c r="AQ186" s="165"/>
      <c r="AR186" s="164"/>
      <c r="AS186" s="164"/>
      <c r="AT186" s="164"/>
      <c r="AU186" s="164"/>
    </row>
    <row r="187" ht="10.5" customHeight="1">
      <c r="A187" s="164"/>
      <c r="B187" s="165"/>
      <c r="C187" s="165"/>
      <c r="D187" s="165"/>
      <c r="E187" s="165"/>
      <c r="F187" s="165"/>
      <c r="G187" s="165"/>
      <c r="H187" s="165"/>
      <c r="I187" s="165"/>
      <c r="J187" s="165"/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65"/>
      <c r="AB187" s="165"/>
      <c r="AC187" s="165"/>
      <c r="AD187" s="165"/>
      <c r="AE187" s="165"/>
      <c r="AF187" s="165"/>
      <c r="AG187" s="165"/>
      <c r="AH187" s="165"/>
      <c r="AI187" s="165"/>
      <c r="AJ187" s="165"/>
      <c r="AK187" s="165"/>
      <c r="AL187" s="165"/>
      <c r="AM187" s="165"/>
      <c r="AN187" s="165"/>
      <c r="AO187" s="165"/>
      <c r="AP187" s="165"/>
      <c r="AQ187" s="165"/>
      <c r="AR187" s="164"/>
      <c r="AS187" s="164"/>
      <c r="AT187" s="164"/>
      <c r="AU187" s="164"/>
    </row>
    <row r="188" ht="10.5" customHeight="1">
      <c r="A188" s="164"/>
      <c r="B188" s="165"/>
      <c r="C188" s="165"/>
      <c r="D188" s="165"/>
      <c r="E188" s="165"/>
      <c r="F188" s="165"/>
      <c r="G188" s="165"/>
      <c r="H188" s="165"/>
      <c r="I188" s="165"/>
      <c r="J188" s="165"/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165"/>
      <c r="AB188" s="165"/>
      <c r="AC188" s="165"/>
      <c r="AD188" s="165"/>
      <c r="AE188" s="165"/>
      <c r="AF188" s="165"/>
      <c r="AG188" s="165"/>
      <c r="AH188" s="165"/>
      <c r="AI188" s="165"/>
      <c r="AJ188" s="165"/>
      <c r="AK188" s="165"/>
      <c r="AL188" s="165"/>
      <c r="AM188" s="165"/>
      <c r="AN188" s="165"/>
      <c r="AO188" s="165"/>
      <c r="AP188" s="165"/>
      <c r="AQ188" s="165"/>
      <c r="AR188" s="164"/>
      <c r="AS188" s="164"/>
      <c r="AT188" s="164"/>
      <c r="AU188" s="164"/>
    </row>
    <row r="189" ht="10.5" customHeight="1">
      <c r="A189" s="164"/>
      <c r="B189" s="165"/>
      <c r="C189" s="165"/>
      <c r="D189" s="165"/>
      <c r="E189" s="165"/>
      <c r="F189" s="165"/>
      <c r="G189" s="165"/>
      <c r="H189" s="165"/>
      <c r="I189" s="165"/>
      <c r="J189" s="165"/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  <c r="AA189" s="165"/>
      <c r="AB189" s="165"/>
      <c r="AC189" s="165"/>
      <c r="AD189" s="165"/>
      <c r="AE189" s="165"/>
      <c r="AF189" s="165"/>
      <c r="AG189" s="165"/>
      <c r="AH189" s="165"/>
      <c r="AI189" s="165"/>
      <c r="AJ189" s="165"/>
      <c r="AK189" s="165"/>
      <c r="AL189" s="165"/>
      <c r="AM189" s="165"/>
      <c r="AN189" s="165"/>
      <c r="AO189" s="165"/>
      <c r="AP189" s="165"/>
      <c r="AQ189" s="165"/>
      <c r="AR189" s="164"/>
      <c r="AS189" s="164"/>
      <c r="AT189" s="164"/>
      <c r="AU189" s="164"/>
    </row>
    <row r="190" ht="10.5" customHeight="1">
      <c r="A190" s="164"/>
      <c r="B190" s="165"/>
      <c r="C190" s="165"/>
      <c r="D190" s="165"/>
      <c r="E190" s="165"/>
      <c r="F190" s="165"/>
      <c r="G190" s="165"/>
      <c r="H190" s="165"/>
      <c r="I190" s="165"/>
      <c r="J190" s="165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  <c r="AA190" s="165"/>
      <c r="AB190" s="165"/>
      <c r="AC190" s="165"/>
      <c r="AD190" s="165"/>
      <c r="AE190" s="165"/>
      <c r="AF190" s="165"/>
      <c r="AG190" s="165"/>
      <c r="AH190" s="165"/>
      <c r="AI190" s="165"/>
      <c r="AJ190" s="165"/>
      <c r="AK190" s="165"/>
      <c r="AL190" s="165"/>
      <c r="AM190" s="165"/>
      <c r="AN190" s="165"/>
      <c r="AO190" s="165"/>
      <c r="AP190" s="165"/>
      <c r="AQ190" s="165"/>
      <c r="AR190" s="164"/>
      <c r="AS190" s="164"/>
      <c r="AT190" s="164"/>
      <c r="AU190" s="164"/>
    </row>
    <row r="191" ht="10.5" customHeight="1">
      <c r="A191" s="164"/>
      <c r="B191" s="165"/>
      <c r="C191" s="165"/>
      <c r="D191" s="165"/>
      <c r="E191" s="165"/>
      <c r="F191" s="165"/>
      <c r="G191" s="165"/>
      <c r="H191" s="165"/>
      <c r="I191" s="165"/>
      <c r="J191" s="165"/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  <c r="AA191" s="165"/>
      <c r="AB191" s="165"/>
      <c r="AC191" s="165"/>
      <c r="AD191" s="165"/>
      <c r="AE191" s="165"/>
      <c r="AF191" s="165"/>
      <c r="AG191" s="165"/>
      <c r="AH191" s="165"/>
      <c r="AI191" s="165"/>
      <c r="AJ191" s="165"/>
      <c r="AK191" s="165"/>
      <c r="AL191" s="165"/>
      <c r="AM191" s="165"/>
      <c r="AN191" s="165"/>
      <c r="AO191" s="165"/>
      <c r="AP191" s="165"/>
      <c r="AQ191" s="165"/>
      <c r="AR191" s="164"/>
      <c r="AS191" s="164"/>
      <c r="AT191" s="164"/>
      <c r="AU191" s="164"/>
    </row>
    <row r="192" ht="10.5" customHeight="1">
      <c r="A192" s="164"/>
      <c r="B192" s="165"/>
      <c r="C192" s="165"/>
      <c r="D192" s="165"/>
      <c r="E192" s="165"/>
      <c r="F192" s="165"/>
      <c r="G192" s="165"/>
      <c r="H192" s="165"/>
      <c r="I192" s="165"/>
      <c r="J192" s="165"/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  <c r="AA192" s="165"/>
      <c r="AB192" s="165"/>
      <c r="AC192" s="165"/>
      <c r="AD192" s="165"/>
      <c r="AE192" s="165"/>
      <c r="AF192" s="165"/>
      <c r="AG192" s="165"/>
      <c r="AH192" s="165"/>
      <c r="AI192" s="165"/>
      <c r="AJ192" s="165"/>
      <c r="AK192" s="165"/>
      <c r="AL192" s="165"/>
      <c r="AM192" s="165"/>
      <c r="AN192" s="165"/>
      <c r="AO192" s="165"/>
      <c r="AP192" s="165"/>
      <c r="AQ192" s="165"/>
      <c r="AR192" s="164"/>
      <c r="AS192" s="164"/>
      <c r="AT192" s="164"/>
      <c r="AU192" s="164"/>
    </row>
    <row r="193" ht="10.5" customHeight="1">
      <c r="A193" s="164"/>
      <c r="B193" s="165"/>
      <c r="C193" s="165"/>
      <c r="D193" s="165"/>
      <c r="E193" s="165"/>
      <c r="F193" s="165"/>
      <c r="G193" s="165"/>
      <c r="H193" s="165"/>
      <c r="I193" s="165"/>
      <c r="J193" s="165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  <c r="AA193" s="165"/>
      <c r="AB193" s="165"/>
      <c r="AC193" s="165"/>
      <c r="AD193" s="165"/>
      <c r="AE193" s="165"/>
      <c r="AF193" s="165"/>
      <c r="AG193" s="165"/>
      <c r="AH193" s="165"/>
      <c r="AI193" s="165"/>
      <c r="AJ193" s="165"/>
      <c r="AK193" s="165"/>
      <c r="AL193" s="165"/>
      <c r="AM193" s="165"/>
      <c r="AN193" s="165"/>
      <c r="AO193" s="165"/>
      <c r="AP193" s="165"/>
      <c r="AQ193" s="165"/>
      <c r="AR193" s="164"/>
      <c r="AS193" s="164"/>
      <c r="AT193" s="164"/>
      <c r="AU193" s="164"/>
    </row>
    <row r="194" ht="10.5" customHeight="1">
      <c r="A194" s="164"/>
      <c r="B194" s="165"/>
      <c r="C194" s="165"/>
      <c r="D194" s="165"/>
      <c r="E194" s="165"/>
      <c r="F194" s="165"/>
      <c r="G194" s="165"/>
      <c r="H194" s="165"/>
      <c r="I194" s="165"/>
      <c r="J194" s="165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  <c r="AA194" s="165"/>
      <c r="AB194" s="165"/>
      <c r="AC194" s="165"/>
      <c r="AD194" s="165"/>
      <c r="AE194" s="165"/>
      <c r="AF194" s="165"/>
      <c r="AG194" s="165"/>
      <c r="AH194" s="165"/>
      <c r="AI194" s="165"/>
      <c r="AJ194" s="165"/>
      <c r="AK194" s="165"/>
      <c r="AL194" s="165"/>
      <c r="AM194" s="165"/>
      <c r="AN194" s="165"/>
      <c r="AO194" s="165"/>
      <c r="AP194" s="165"/>
      <c r="AQ194" s="165"/>
      <c r="AR194" s="164"/>
      <c r="AS194" s="164"/>
      <c r="AT194" s="164"/>
      <c r="AU194" s="164"/>
    </row>
    <row r="195" ht="10.5" customHeight="1">
      <c r="A195" s="164"/>
      <c r="B195" s="165"/>
      <c r="C195" s="165"/>
      <c r="D195" s="165"/>
      <c r="E195" s="165"/>
      <c r="F195" s="165"/>
      <c r="G195" s="165"/>
      <c r="H195" s="165"/>
      <c r="I195" s="165"/>
      <c r="J195" s="165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  <c r="AA195" s="165"/>
      <c r="AB195" s="165"/>
      <c r="AC195" s="165"/>
      <c r="AD195" s="165"/>
      <c r="AE195" s="165"/>
      <c r="AF195" s="165"/>
      <c r="AG195" s="165"/>
      <c r="AH195" s="165"/>
      <c r="AI195" s="165"/>
      <c r="AJ195" s="165"/>
      <c r="AK195" s="165"/>
      <c r="AL195" s="165"/>
      <c r="AM195" s="165"/>
      <c r="AN195" s="165"/>
      <c r="AO195" s="165"/>
      <c r="AP195" s="165"/>
      <c r="AQ195" s="165"/>
      <c r="AR195" s="164"/>
      <c r="AS195" s="164"/>
      <c r="AT195" s="164"/>
      <c r="AU195" s="164"/>
    </row>
    <row r="196" ht="10.5" customHeight="1">
      <c r="A196" s="164"/>
      <c r="B196" s="165"/>
      <c r="C196" s="165"/>
      <c r="D196" s="165"/>
      <c r="E196" s="165"/>
      <c r="F196" s="165"/>
      <c r="G196" s="165"/>
      <c r="H196" s="165"/>
      <c r="I196" s="165"/>
      <c r="J196" s="165"/>
      <c r="K196" s="165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  <c r="AA196" s="165"/>
      <c r="AB196" s="165"/>
      <c r="AC196" s="165"/>
      <c r="AD196" s="165"/>
      <c r="AE196" s="165"/>
      <c r="AF196" s="165"/>
      <c r="AG196" s="165"/>
      <c r="AH196" s="165"/>
      <c r="AI196" s="165"/>
      <c r="AJ196" s="165"/>
      <c r="AK196" s="165"/>
      <c r="AL196" s="165"/>
      <c r="AM196" s="165"/>
      <c r="AN196" s="165"/>
      <c r="AO196" s="165"/>
      <c r="AP196" s="165"/>
      <c r="AQ196" s="165"/>
      <c r="AR196" s="164"/>
      <c r="AS196" s="164"/>
      <c r="AT196" s="164"/>
      <c r="AU196" s="164"/>
    </row>
    <row r="197" ht="10.5" customHeight="1">
      <c r="A197" s="164"/>
      <c r="B197" s="165"/>
      <c r="C197" s="165"/>
      <c r="D197" s="165"/>
      <c r="E197" s="165"/>
      <c r="F197" s="165"/>
      <c r="G197" s="165"/>
      <c r="H197" s="165"/>
      <c r="I197" s="165"/>
      <c r="J197" s="165"/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  <c r="AA197" s="165"/>
      <c r="AB197" s="165"/>
      <c r="AC197" s="165"/>
      <c r="AD197" s="165"/>
      <c r="AE197" s="165"/>
      <c r="AF197" s="165"/>
      <c r="AG197" s="165"/>
      <c r="AH197" s="165"/>
      <c r="AI197" s="165"/>
      <c r="AJ197" s="165"/>
      <c r="AK197" s="165"/>
      <c r="AL197" s="165"/>
      <c r="AM197" s="165"/>
      <c r="AN197" s="165"/>
      <c r="AO197" s="165"/>
      <c r="AP197" s="165"/>
      <c r="AQ197" s="165"/>
      <c r="AR197" s="164"/>
      <c r="AS197" s="164"/>
      <c r="AT197" s="164"/>
      <c r="AU197" s="164"/>
    </row>
    <row r="198" ht="10.5" customHeight="1">
      <c r="A198" s="164"/>
      <c r="B198" s="165"/>
      <c r="C198" s="165"/>
      <c r="D198" s="165"/>
      <c r="E198" s="165"/>
      <c r="F198" s="165"/>
      <c r="G198" s="165"/>
      <c r="H198" s="165"/>
      <c r="I198" s="165"/>
      <c r="J198" s="165"/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  <c r="AA198" s="165"/>
      <c r="AB198" s="165"/>
      <c r="AC198" s="165"/>
      <c r="AD198" s="165"/>
      <c r="AE198" s="165"/>
      <c r="AF198" s="165"/>
      <c r="AG198" s="165"/>
      <c r="AH198" s="165"/>
      <c r="AI198" s="165"/>
      <c r="AJ198" s="165"/>
      <c r="AK198" s="165"/>
      <c r="AL198" s="165"/>
      <c r="AM198" s="165"/>
      <c r="AN198" s="165"/>
      <c r="AO198" s="165"/>
      <c r="AP198" s="165"/>
      <c r="AQ198" s="165"/>
      <c r="AR198" s="164"/>
      <c r="AS198" s="164"/>
      <c r="AT198" s="164"/>
      <c r="AU198" s="164"/>
    </row>
    <row r="199" ht="10.5" customHeight="1">
      <c r="A199" s="164"/>
      <c r="B199" s="165"/>
      <c r="C199" s="165"/>
      <c r="D199" s="165"/>
      <c r="E199" s="165"/>
      <c r="F199" s="165"/>
      <c r="G199" s="165"/>
      <c r="H199" s="165"/>
      <c r="I199" s="165"/>
      <c r="J199" s="165"/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  <c r="AA199" s="165"/>
      <c r="AB199" s="165"/>
      <c r="AC199" s="165"/>
      <c r="AD199" s="165"/>
      <c r="AE199" s="165"/>
      <c r="AF199" s="165"/>
      <c r="AG199" s="165"/>
      <c r="AH199" s="165"/>
      <c r="AI199" s="165"/>
      <c r="AJ199" s="165"/>
      <c r="AK199" s="165"/>
      <c r="AL199" s="165"/>
      <c r="AM199" s="165"/>
      <c r="AN199" s="165"/>
      <c r="AO199" s="165"/>
      <c r="AP199" s="165"/>
      <c r="AQ199" s="165"/>
      <c r="AR199" s="164"/>
      <c r="AS199" s="164"/>
      <c r="AT199" s="164"/>
      <c r="AU199" s="164"/>
    </row>
    <row r="200" ht="10.5" customHeight="1">
      <c r="A200" s="164"/>
      <c r="B200" s="165"/>
      <c r="C200" s="165"/>
      <c r="D200" s="165"/>
      <c r="E200" s="165"/>
      <c r="F200" s="165"/>
      <c r="G200" s="165"/>
      <c r="H200" s="165"/>
      <c r="I200" s="165"/>
      <c r="J200" s="165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  <c r="AA200" s="165"/>
      <c r="AB200" s="165"/>
      <c r="AC200" s="165"/>
      <c r="AD200" s="165"/>
      <c r="AE200" s="165"/>
      <c r="AF200" s="165"/>
      <c r="AG200" s="165"/>
      <c r="AH200" s="165"/>
      <c r="AI200" s="165"/>
      <c r="AJ200" s="165"/>
      <c r="AK200" s="165"/>
      <c r="AL200" s="165"/>
      <c r="AM200" s="165"/>
      <c r="AN200" s="165"/>
      <c r="AO200" s="165"/>
      <c r="AP200" s="165"/>
      <c r="AQ200" s="165"/>
      <c r="AR200" s="164"/>
      <c r="AS200" s="164"/>
      <c r="AT200" s="164"/>
      <c r="AU200" s="164"/>
    </row>
    <row r="201" ht="10.5" customHeight="1">
      <c r="A201" s="164"/>
      <c r="B201" s="165"/>
      <c r="C201" s="165"/>
      <c r="D201" s="165"/>
      <c r="E201" s="165"/>
      <c r="F201" s="165"/>
      <c r="G201" s="165"/>
      <c r="H201" s="165"/>
      <c r="I201" s="165"/>
      <c r="J201" s="165"/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  <c r="AA201" s="165"/>
      <c r="AB201" s="165"/>
      <c r="AC201" s="165"/>
      <c r="AD201" s="165"/>
      <c r="AE201" s="165"/>
      <c r="AF201" s="165"/>
      <c r="AG201" s="165"/>
      <c r="AH201" s="165"/>
      <c r="AI201" s="165"/>
      <c r="AJ201" s="165"/>
      <c r="AK201" s="165"/>
      <c r="AL201" s="165"/>
      <c r="AM201" s="165"/>
      <c r="AN201" s="165"/>
      <c r="AO201" s="165"/>
      <c r="AP201" s="165"/>
      <c r="AQ201" s="165"/>
      <c r="AR201" s="164"/>
      <c r="AS201" s="164"/>
      <c r="AT201" s="164"/>
      <c r="AU201" s="164"/>
    </row>
    <row r="202" ht="10.5" customHeight="1">
      <c r="A202" s="164"/>
      <c r="B202" s="165"/>
      <c r="C202" s="165"/>
      <c r="D202" s="165"/>
      <c r="E202" s="165"/>
      <c r="F202" s="165"/>
      <c r="G202" s="165"/>
      <c r="H202" s="165"/>
      <c r="I202" s="165"/>
      <c r="J202" s="165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  <c r="AA202" s="165"/>
      <c r="AB202" s="165"/>
      <c r="AC202" s="165"/>
      <c r="AD202" s="165"/>
      <c r="AE202" s="165"/>
      <c r="AF202" s="165"/>
      <c r="AG202" s="165"/>
      <c r="AH202" s="165"/>
      <c r="AI202" s="165"/>
      <c r="AJ202" s="165"/>
      <c r="AK202" s="165"/>
      <c r="AL202" s="165"/>
      <c r="AM202" s="165"/>
      <c r="AN202" s="165"/>
      <c r="AO202" s="165"/>
      <c r="AP202" s="165"/>
      <c r="AQ202" s="165"/>
      <c r="AR202" s="164"/>
      <c r="AS202" s="164"/>
      <c r="AT202" s="164"/>
      <c r="AU202" s="164"/>
    </row>
    <row r="203" ht="10.5" customHeight="1">
      <c r="A203" s="164"/>
      <c r="B203" s="165"/>
      <c r="C203" s="165"/>
      <c r="D203" s="165"/>
      <c r="E203" s="165"/>
      <c r="F203" s="165"/>
      <c r="G203" s="165"/>
      <c r="H203" s="165"/>
      <c r="I203" s="165"/>
      <c r="J203" s="165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  <c r="AA203" s="165"/>
      <c r="AB203" s="165"/>
      <c r="AC203" s="165"/>
      <c r="AD203" s="165"/>
      <c r="AE203" s="165"/>
      <c r="AF203" s="165"/>
      <c r="AG203" s="165"/>
      <c r="AH203" s="165"/>
      <c r="AI203" s="165"/>
      <c r="AJ203" s="165"/>
      <c r="AK203" s="165"/>
      <c r="AL203" s="165"/>
      <c r="AM203" s="165"/>
      <c r="AN203" s="165"/>
      <c r="AO203" s="165"/>
      <c r="AP203" s="165"/>
      <c r="AQ203" s="165"/>
      <c r="AR203" s="164"/>
      <c r="AS203" s="164"/>
      <c r="AT203" s="164"/>
      <c r="AU203" s="164"/>
    </row>
    <row r="204" ht="10.5" customHeight="1">
      <c r="A204" s="164"/>
      <c r="B204" s="165"/>
      <c r="C204" s="165"/>
      <c r="D204" s="165"/>
      <c r="E204" s="165"/>
      <c r="F204" s="165"/>
      <c r="G204" s="165"/>
      <c r="H204" s="165"/>
      <c r="I204" s="165"/>
      <c r="J204" s="165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  <c r="AA204" s="165"/>
      <c r="AB204" s="165"/>
      <c r="AC204" s="165"/>
      <c r="AD204" s="165"/>
      <c r="AE204" s="165"/>
      <c r="AF204" s="165"/>
      <c r="AG204" s="165"/>
      <c r="AH204" s="165"/>
      <c r="AI204" s="165"/>
      <c r="AJ204" s="165"/>
      <c r="AK204" s="165"/>
      <c r="AL204" s="165"/>
      <c r="AM204" s="165"/>
      <c r="AN204" s="165"/>
      <c r="AO204" s="165"/>
      <c r="AP204" s="165"/>
      <c r="AQ204" s="165"/>
      <c r="AR204" s="164"/>
      <c r="AS204" s="164"/>
      <c r="AT204" s="164"/>
      <c r="AU204" s="164"/>
    </row>
    <row r="205" ht="10.5" customHeight="1">
      <c r="A205" s="164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5"/>
      <c r="AO205" s="165"/>
      <c r="AP205" s="165"/>
      <c r="AQ205" s="165"/>
      <c r="AR205" s="164"/>
      <c r="AS205" s="164"/>
      <c r="AT205" s="164"/>
      <c r="AU205" s="164"/>
    </row>
    <row r="206" ht="10.5" customHeight="1">
      <c r="A206" s="164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  <c r="AA206" s="165"/>
      <c r="AB206" s="165"/>
      <c r="AC206" s="165"/>
      <c r="AD206" s="165"/>
      <c r="AE206" s="165"/>
      <c r="AF206" s="165"/>
      <c r="AG206" s="165"/>
      <c r="AH206" s="165"/>
      <c r="AI206" s="165"/>
      <c r="AJ206" s="165"/>
      <c r="AK206" s="165"/>
      <c r="AL206" s="165"/>
      <c r="AM206" s="165"/>
      <c r="AN206" s="165"/>
      <c r="AO206" s="165"/>
      <c r="AP206" s="165"/>
      <c r="AQ206" s="165"/>
      <c r="AR206" s="164"/>
      <c r="AS206" s="164"/>
      <c r="AT206" s="164"/>
      <c r="AU206" s="164"/>
    </row>
    <row r="207" ht="10.5" customHeight="1">
      <c r="A207" s="164"/>
      <c r="B207" s="165"/>
      <c r="C207" s="165"/>
      <c r="D207" s="165"/>
      <c r="E207" s="165"/>
      <c r="F207" s="165"/>
      <c r="G207" s="165"/>
      <c r="H207" s="165"/>
      <c r="I207" s="165"/>
      <c r="J207" s="165"/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  <c r="AA207" s="165"/>
      <c r="AB207" s="165"/>
      <c r="AC207" s="165"/>
      <c r="AD207" s="165"/>
      <c r="AE207" s="165"/>
      <c r="AF207" s="165"/>
      <c r="AG207" s="165"/>
      <c r="AH207" s="165"/>
      <c r="AI207" s="165"/>
      <c r="AJ207" s="165"/>
      <c r="AK207" s="165"/>
      <c r="AL207" s="165"/>
      <c r="AM207" s="165"/>
      <c r="AN207" s="165"/>
      <c r="AO207" s="165"/>
      <c r="AP207" s="165"/>
      <c r="AQ207" s="165"/>
      <c r="AR207" s="164"/>
      <c r="AS207" s="164"/>
      <c r="AT207" s="164"/>
      <c r="AU207" s="164"/>
    </row>
    <row r="208" ht="10.5" customHeight="1">
      <c r="A208" s="164"/>
      <c r="B208" s="165"/>
      <c r="C208" s="165"/>
      <c r="D208" s="165"/>
      <c r="E208" s="165"/>
      <c r="F208" s="165"/>
      <c r="G208" s="165"/>
      <c r="H208" s="165"/>
      <c r="I208" s="165"/>
      <c r="J208" s="165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  <c r="AA208" s="165"/>
      <c r="AB208" s="165"/>
      <c r="AC208" s="165"/>
      <c r="AD208" s="165"/>
      <c r="AE208" s="165"/>
      <c r="AF208" s="165"/>
      <c r="AG208" s="165"/>
      <c r="AH208" s="165"/>
      <c r="AI208" s="165"/>
      <c r="AJ208" s="165"/>
      <c r="AK208" s="165"/>
      <c r="AL208" s="165"/>
      <c r="AM208" s="165"/>
      <c r="AN208" s="165"/>
      <c r="AO208" s="165"/>
      <c r="AP208" s="165"/>
      <c r="AQ208" s="165"/>
      <c r="AR208" s="164"/>
      <c r="AS208" s="164"/>
      <c r="AT208" s="164"/>
      <c r="AU208" s="164"/>
    </row>
    <row r="209" ht="10.5" customHeight="1">
      <c r="A209" s="164"/>
      <c r="B209" s="165"/>
      <c r="C209" s="165"/>
      <c r="D209" s="165"/>
      <c r="E209" s="165"/>
      <c r="F209" s="165"/>
      <c r="G209" s="165"/>
      <c r="H209" s="165"/>
      <c r="I209" s="165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  <c r="AA209" s="165"/>
      <c r="AB209" s="165"/>
      <c r="AC209" s="165"/>
      <c r="AD209" s="165"/>
      <c r="AE209" s="165"/>
      <c r="AF209" s="165"/>
      <c r="AG209" s="165"/>
      <c r="AH209" s="165"/>
      <c r="AI209" s="165"/>
      <c r="AJ209" s="165"/>
      <c r="AK209" s="165"/>
      <c r="AL209" s="165"/>
      <c r="AM209" s="165"/>
      <c r="AN209" s="165"/>
      <c r="AO209" s="165"/>
      <c r="AP209" s="165"/>
      <c r="AQ209" s="165"/>
      <c r="AR209" s="164"/>
      <c r="AS209" s="164"/>
      <c r="AT209" s="164"/>
      <c r="AU209" s="164"/>
    </row>
    <row r="210" ht="10.5" customHeight="1">
      <c r="A210" s="164"/>
      <c r="B210" s="165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5"/>
      <c r="AJ210" s="165"/>
      <c r="AK210" s="165"/>
      <c r="AL210" s="165"/>
      <c r="AM210" s="165"/>
      <c r="AN210" s="165"/>
      <c r="AO210" s="165"/>
      <c r="AP210" s="165"/>
      <c r="AQ210" s="165"/>
      <c r="AR210" s="164"/>
      <c r="AS210" s="164"/>
      <c r="AT210" s="164"/>
      <c r="AU210" s="164"/>
    </row>
    <row r="211" ht="10.5" customHeight="1">
      <c r="A211" s="164"/>
      <c r="B211" s="165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5"/>
      <c r="AJ211" s="165"/>
      <c r="AK211" s="165"/>
      <c r="AL211" s="165"/>
      <c r="AM211" s="165"/>
      <c r="AN211" s="165"/>
      <c r="AO211" s="165"/>
      <c r="AP211" s="165"/>
      <c r="AQ211" s="165"/>
      <c r="AR211" s="164"/>
      <c r="AS211" s="164"/>
      <c r="AT211" s="164"/>
      <c r="AU211" s="164"/>
    </row>
    <row r="212" ht="10.5" customHeight="1">
      <c r="A212" s="164"/>
      <c r="B212" s="165"/>
      <c r="C212" s="165"/>
      <c r="D212" s="165"/>
      <c r="E212" s="165"/>
      <c r="F212" s="165"/>
      <c r="G212" s="165"/>
      <c r="H212" s="165"/>
      <c r="I212" s="165"/>
      <c r="J212" s="165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  <c r="AA212" s="165"/>
      <c r="AB212" s="165"/>
      <c r="AC212" s="165"/>
      <c r="AD212" s="165"/>
      <c r="AE212" s="165"/>
      <c r="AF212" s="165"/>
      <c r="AG212" s="165"/>
      <c r="AH212" s="165"/>
      <c r="AI212" s="165"/>
      <c r="AJ212" s="165"/>
      <c r="AK212" s="165"/>
      <c r="AL212" s="165"/>
      <c r="AM212" s="165"/>
      <c r="AN212" s="165"/>
      <c r="AO212" s="165"/>
      <c r="AP212" s="165"/>
      <c r="AQ212" s="165"/>
      <c r="AR212" s="164"/>
      <c r="AS212" s="164"/>
      <c r="AT212" s="164"/>
      <c r="AU212" s="164"/>
    </row>
    <row r="213" ht="10.5" customHeight="1">
      <c r="A213" s="164"/>
      <c r="B213" s="165"/>
      <c r="C213" s="165"/>
      <c r="D213" s="165"/>
      <c r="E213" s="165"/>
      <c r="F213" s="165"/>
      <c r="G213" s="165"/>
      <c r="H213" s="165"/>
      <c r="I213" s="165"/>
      <c r="J213" s="165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  <c r="AA213" s="165"/>
      <c r="AB213" s="165"/>
      <c r="AC213" s="165"/>
      <c r="AD213" s="165"/>
      <c r="AE213" s="165"/>
      <c r="AF213" s="165"/>
      <c r="AG213" s="165"/>
      <c r="AH213" s="165"/>
      <c r="AI213" s="165"/>
      <c r="AJ213" s="165"/>
      <c r="AK213" s="165"/>
      <c r="AL213" s="165"/>
      <c r="AM213" s="165"/>
      <c r="AN213" s="165"/>
      <c r="AO213" s="165"/>
      <c r="AP213" s="165"/>
      <c r="AQ213" s="165"/>
      <c r="AR213" s="164"/>
      <c r="AS213" s="164"/>
      <c r="AT213" s="164"/>
      <c r="AU213" s="164"/>
    </row>
    <row r="214" ht="10.5" customHeight="1">
      <c r="A214" s="164"/>
      <c r="B214" s="165"/>
      <c r="C214" s="165"/>
      <c r="D214" s="165"/>
      <c r="E214" s="165"/>
      <c r="F214" s="165"/>
      <c r="G214" s="165"/>
      <c r="H214" s="165"/>
      <c r="I214" s="165"/>
      <c r="J214" s="165"/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  <c r="AA214" s="165"/>
      <c r="AB214" s="165"/>
      <c r="AC214" s="165"/>
      <c r="AD214" s="165"/>
      <c r="AE214" s="165"/>
      <c r="AF214" s="165"/>
      <c r="AG214" s="165"/>
      <c r="AH214" s="165"/>
      <c r="AI214" s="165"/>
      <c r="AJ214" s="165"/>
      <c r="AK214" s="165"/>
      <c r="AL214" s="165"/>
      <c r="AM214" s="165"/>
      <c r="AN214" s="165"/>
      <c r="AO214" s="165"/>
      <c r="AP214" s="165"/>
      <c r="AQ214" s="165"/>
      <c r="AR214" s="164"/>
      <c r="AS214" s="164"/>
      <c r="AT214" s="164"/>
      <c r="AU214" s="164"/>
    </row>
    <row r="215" ht="10.5" customHeight="1">
      <c r="A215" s="164"/>
      <c r="B215" s="165"/>
      <c r="C215" s="165"/>
      <c r="D215" s="165"/>
      <c r="E215" s="165"/>
      <c r="F215" s="165"/>
      <c r="G215" s="165"/>
      <c r="H215" s="165"/>
      <c r="I215" s="165"/>
      <c r="J215" s="165"/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  <c r="AA215" s="165"/>
      <c r="AB215" s="165"/>
      <c r="AC215" s="165"/>
      <c r="AD215" s="165"/>
      <c r="AE215" s="165"/>
      <c r="AF215" s="165"/>
      <c r="AG215" s="165"/>
      <c r="AH215" s="165"/>
      <c r="AI215" s="165"/>
      <c r="AJ215" s="165"/>
      <c r="AK215" s="165"/>
      <c r="AL215" s="165"/>
      <c r="AM215" s="165"/>
      <c r="AN215" s="165"/>
      <c r="AO215" s="165"/>
      <c r="AP215" s="165"/>
      <c r="AQ215" s="165"/>
      <c r="AR215" s="164"/>
      <c r="AS215" s="164"/>
      <c r="AT215" s="164"/>
      <c r="AU215" s="164"/>
    </row>
    <row r="216" ht="10.5" customHeight="1">
      <c r="A216" s="164"/>
      <c r="B216" s="165"/>
      <c r="C216" s="165"/>
      <c r="D216" s="165"/>
      <c r="E216" s="165"/>
      <c r="F216" s="165"/>
      <c r="G216" s="165"/>
      <c r="H216" s="165"/>
      <c r="I216" s="165"/>
      <c r="J216" s="165"/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  <c r="AA216" s="165"/>
      <c r="AB216" s="165"/>
      <c r="AC216" s="165"/>
      <c r="AD216" s="165"/>
      <c r="AE216" s="165"/>
      <c r="AF216" s="165"/>
      <c r="AG216" s="165"/>
      <c r="AH216" s="165"/>
      <c r="AI216" s="165"/>
      <c r="AJ216" s="165"/>
      <c r="AK216" s="165"/>
      <c r="AL216" s="165"/>
      <c r="AM216" s="165"/>
      <c r="AN216" s="165"/>
      <c r="AO216" s="165"/>
      <c r="AP216" s="165"/>
      <c r="AQ216" s="165"/>
      <c r="AR216" s="164"/>
      <c r="AS216" s="164"/>
      <c r="AT216" s="164"/>
      <c r="AU216" s="164"/>
    </row>
    <row r="217" ht="10.5" customHeight="1">
      <c r="A217" s="164"/>
      <c r="B217" s="165"/>
      <c r="C217" s="165"/>
      <c r="D217" s="165"/>
      <c r="E217" s="165"/>
      <c r="F217" s="165"/>
      <c r="G217" s="165"/>
      <c r="H217" s="165"/>
      <c r="I217" s="165"/>
      <c r="J217" s="165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  <c r="AA217" s="165"/>
      <c r="AB217" s="165"/>
      <c r="AC217" s="165"/>
      <c r="AD217" s="165"/>
      <c r="AE217" s="165"/>
      <c r="AF217" s="165"/>
      <c r="AG217" s="165"/>
      <c r="AH217" s="165"/>
      <c r="AI217" s="165"/>
      <c r="AJ217" s="165"/>
      <c r="AK217" s="165"/>
      <c r="AL217" s="165"/>
      <c r="AM217" s="165"/>
      <c r="AN217" s="165"/>
      <c r="AO217" s="165"/>
      <c r="AP217" s="165"/>
      <c r="AQ217" s="165"/>
      <c r="AR217" s="164"/>
      <c r="AS217" s="164"/>
      <c r="AT217" s="164"/>
      <c r="AU217" s="164"/>
    </row>
    <row r="218" ht="10.5" customHeight="1">
      <c r="A218" s="164"/>
      <c r="B218" s="165"/>
      <c r="C218" s="165"/>
      <c r="D218" s="165"/>
      <c r="E218" s="165"/>
      <c r="F218" s="165"/>
      <c r="G218" s="165"/>
      <c r="H218" s="165"/>
      <c r="I218" s="165"/>
      <c r="J218" s="165"/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  <c r="AA218" s="165"/>
      <c r="AB218" s="165"/>
      <c r="AC218" s="165"/>
      <c r="AD218" s="165"/>
      <c r="AE218" s="165"/>
      <c r="AF218" s="165"/>
      <c r="AG218" s="165"/>
      <c r="AH218" s="165"/>
      <c r="AI218" s="165"/>
      <c r="AJ218" s="165"/>
      <c r="AK218" s="165"/>
      <c r="AL218" s="165"/>
      <c r="AM218" s="165"/>
      <c r="AN218" s="165"/>
      <c r="AO218" s="165"/>
      <c r="AP218" s="165"/>
      <c r="AQ218" s="165"/>
      <c r="AR218" s="164"/>
      <c r="AS218" s="164"/>
      <c r="AT218" s="164"/>
      <c r="AU218" s="164"/>
    </row>
    <row r="219" ht="10.5" customHeight="1">
      <c r="A219" s="164"/>
      <c r="B219" s="165"/>
      <c r="C219" s="165"/>
      <c r="D219" s="165"/>
      <c r="E219" s="165"/>
      <c r="F219" s="165"/>
      <c r="G219" s="165"/>
      <c r="H219" s="165"/>
      <c r="I219" s="165"/>
      <c r="J219" s="165"/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  <c r="AA219" s="165"/>
      <c r="AB219" s="165"/>
      <c r="AC219" s="165"/>
      <c r="AD219" s="165"/>
      <c r="AE219" s="165"/>
      <c r="AF219" s="165"/>
      <c r="AG219" s="165"/>
      <c r="AH219" s="165"/>
      <c r="AI219" s="165"/>
      <c r="AJ219" s="165"/>
      <c r="AK219" s="165"/>
      <c r="AL219" s="165"/>
      <c r="AM219" s="165"/>
      <c r="AN219" s="165"/>
      <c r="AO219" s="165"/>
      <c r="AP219" s="165"/>
      <c r="AQ219" s="165"/>
      <c r="AR219" s="164"/>
      <c r="AS219" s="164"/>
      <c r="AT219" s="164"/>
      <c r="AU219" s="164"/>
    </row>
    <row r="220" ht="10.5" customHeight="1">
      <c r="A220" s="164"/>
      <c r="B220" s="165"/>
      <c r="C220" s="165"/>
      <c r="D220" s="165"/>
      <c r="E220" s="165"/>
      <c r="F220" s="165"/>
      <c r="G220" s="165"/>
      <c r="H220" s="165"/>
      <c r="I220" s="165"/>
      <c r="J220" s="165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  <c r="AA220" s="165"/>
      <c r="AB220" s="165"/>
      <c r="AC220" s="165"/>
      <c r="AD220" s="165"/>
      <c r="AE220" s="165"/>
      <c r="AF220" s="165"/>
      <c r="AG220" s="165"/>
      <c r="AH220" s="165"/>
      <c r="AI220" s="165"/>
      <c r="AJ220" s="165"/>
      <c r="AK220" s="165"/>
      <c r="AL220" s="165"/>
      <c r="AM220" s="165"/>
      <c r="AN220" s="165"/>
      <c r="AO220" s="165"/>
      <c r="AP220" s="165"/>
      <c r="AQ220" s="165"/>
      <c r="AR220" s="164"/>
      <c r="AS220" s="164"/>
      <c r="AT220" s="164"/>
      <c r="AU220" s="164"/>
    </row>
    <row r="221" ht="10.5" customHeight="1">
      <c r="A221" s="164"/>
      <c r="B221" s="165"/>
      <c r="C221" s="165"/>
      <c r="D221" s="165"/>
      <c r="E221" s="165"/>
      <c r="F221" s="165"/>
      <c r="G221" s="165"/>
      <c r="H221" s="165"/>
      <c r="I221" s="165"/>
      <c r="J221" s="165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  <c r="AA221" s="165"/>
      <c r="AB221" s="165"/>
      <c r="AC221" s="165"/>
      <c r="AD221" s="165"/>
      <c r="AE221" s="165"/>
      <c r="AF221" s="165"/>
      <c r="AG221" s="165"/>
      <c r="AH221" s="165"/>
      <c r="AI221" s="165"/>
      <c r="AJ221" s="165"/>
      <c r="AK221" s="165"/>
      <c r="AL221" s="165"/>
      <c r="AM221" s="165"/>
      <c r="AN221" s="165"/>
      <c r="AO221" s="165"/>
      <c r="AP221" s="165"/>
      <c r="AQ221" s="165"/>
      <c r="AR221" s="164"/>
      <c r="AS221" s="164"/>
      <c r="AT221" s="164"/>
      <c r="AU221" s="164"/>
    </row>
    <row r="222" ht="10.5" customHeight="1">
      <c r="A222" s="164"/>
      <c r="B222" s="165"/>
      <c r="C222" s="165"/>
      <c r="D222" s="165"/>
      <c r="E222" s="165"/>
      <c r="F222" s="165"/>
      <c r="G222" s="165"/>
      <c r="H222" s="165"/>
      <c r="I222" s="165"/>
      <c r="J222" s="165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  <c r="AA222" s="165"/>
      <c r="AB222" s="165"/>
      <c r="AC222" s="165"/>
      <c r="AD222" s="165"/>
      <c r="AE222" s="165"/>
      <c r="AF222" s="165"/>
      <c r="AG222" s="165"/>
      <c r="AH222" s="165"/>
      <c r="AI222" s="165"/>
      <c r="AJ222" s="165"/>
      <c r="AK222" s="165"/>
      <c r="AL222" s="165"/>
      <c r="AM222" s="165"/>
      <c r="AN222" s="165"/>
      <c r="AO222" s="165"/>
      <c r="AP222" s="165"/>
      <c r="AQ222" s="165"/>
      <c r="AR222" s="164"/>
      <c r="AS222" s="164"/>
      <c r="AT222" s="164"/>
      <c r="AU222" s="164"/>
    </row>
    <row r="223" ht="10.5" customHeight="1">
      <c r="A223" s="164"/>
      <c r="B223" s="165"/>
      <c r="C223" s="165"/>
      <c r="D223" s="165"/>
      <c r="E223" s="165"/>
      <c r="F223" s="165"/>
      <c r="G223" s="165"/>
      <c r="H223" s="165"/>
      <c r="I223" s="165"/>
      <c r="J223" s="165"/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  <c r="AA223" s="165"/>
      <c r="AB223" s="165"/>
      <c r="AC223" s="165"/>
      <c r="AD223" s="165"/>
      <c r="AE223" s="165"/>
      <c r="AF223" s="165"/>
      <c r="AG223" s="165"/>
      <c r="AH223" s="165"/>
      <c r="AI223" s="165"/>
      <c r="AJ223" s="165"/>
      <c r="AK223" s="165"/>
      <c r="AL223" s="165"/>
      <c r="AM223" s="165"/>
      <c r="AN223" s="165"/>
      <c r="AO223" s="165"/>
      <c r="AP223" s="165"/>
      <c r="AQ223" s="165"/>
      <c r="AR223" s="164"/>
      <c r="AS223" s="164"/>
      <c r="AT223" s="164"/>
      <c r="AU223" s="164"/>
    </row>
    <row r="224" ht="10.5" customHeight="1">
      <c r="A224" s="164"/>
      <c r="B224" s="165"/>
      <c r="C224" s="165"/>
      <c r="D224" s="165"/>
      <c r="E224" s="165"/>
      <c r="F224" s="165"/>
      <c r="G224" s="165"/>
      <c r="H224" s="165"/>
      <c r="I224" s="165"/>
      <c r="J224" s="165"/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  <c r="AA224" s="165"/>
      <c r="AB224" s="165"/>
      <c r="AC224" s="165"/>
      <c r="AD224" s="165"/>
      <c r="AE224" s="165"/>
      <c r="AF224" s="165"/>
      <c r="AG224" s="165"/>
      <c r="AH224" s="165"/>
      <c r="AI224" s="165"/>
      <c r="AJ224" s="165"/>
      <c r="AK224" s="165"/>
      <c r="AL224" s="165"/>
      <c r="AM224" s="165"/>
      <c r="AN224" s="165"/>
      <c r="AO224" s="165"/>
      <c r="AP224" s="165"/>
      <c r="AQ224" s="165"/>
      <c r="AR224" s="164"/>
      <c r="AS224" s="164"/>
      <c r="AT224" s="164"/>
      <c r="AU224" s="164"/>
    </row>
    <row r="225" ht="10.5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5"/>
      <c r="AH225" s="165"/>
      <c r="AI225" s="165"/>
      <c r="AJ225" s="165"/>
      <c r="AK225" s="165"/>
      <c r="AL225" s="165"/>
      <c r="AM225" s="165"/>
      <c r="AN225" s="165"/>
      <c r="AO225" s="165"/>
      <c r="AP225" s="165"/>
      <c r="AQ225" s="165"/>
      <c r="AR225" s="164"/>
      <c r="AS225" s="164"/>
      <c r="AT225" s="164"/>
      <c r="AU225" s="164"/>
    </row>
    <row r="226" ht="10.5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5"/>
      <c r="AH226" s="165"/>
      <c r="AI226" s="165"/>
      <c r="AJ226" s="165"/>
      <c r="AK226" s="165"/>
      <c r="AL226" s="165"/>
      <c r="AM226" s="165"/>
      <c r="AN226" s="165"/>
      <c r="AO226" s="165"/>
      <c r="AP226" s="165"/>
      <c r="AQ226" s="165"/>
      <c r="AR226" s="164"/>
      <c r="AS226" s="164"/>
      <c r="AT226" s="164"/>
      <c r="AU226" s="164"/>
    </row>
    <row r="227" ht="10.5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5"/>
      <c r="AH227" s="165"/>
      <c r="AI227" s="165"/>
      <c r="AJ227" s="165"/>
      <c r="AK227" s="165"/>
      <c r="AL227" s="165"/>
      <c r="AM227" s="165"/>
      <c r="AN227" s="165"/>
      <c r="AO227" s="165"/>
      <c r="AP227" s="165"/>
      <c r="AQ227" s="165"/>
      <c r="AR227" s="164"/>
      <c r="AS227" s="164"/>
      <c r="AT227" s="164"/>
      <c r="AU227" s="164"/>
    </row>
    <row r="228" ht="10.5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5"/>
      <c r="AH228" s="165"/>
      <c r="AI228" s="165"/>
      <c r="AJ228" s="165"/>
      <c r="AK228" s="165"/>
      <c r="AL228" s="165"/>
      <c r="AM228" s="165"/>
      <c r="AN228" s="165"/>
      <c r="AO228" s="165"/>
      <c r="AP228" s="165"/>
      <c r="AQ228" s="165"/>
      <c r="AR228" s="164"/>
      <c r="AS228" s="164"/>
      <c r="AT228" s="164"/>
      <c r="AU228" s="164"/>
    </row>
    <row r="229" ht="10.5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65"/>
      <c r="K229" s="165"/>
      <c r="L229" s="165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5"/>
      <c r="AH229" s="165"/>
      <c r="AI229" s="165"/>
      <c r="AJ229" s="165"/>
      <c r="AK229" s="165"/>
      <c r="AL229" s="165"/>
      <c r="AM229" s="165"/>
      <c r="AN229" s="165"/>
      <c r="AO229" s="165"/>
      <c r="AP229" s="165"/>
      <c r="AQ229" s="165"/>
      <c r="AR229" s="164"/>
      <c r="AS229" s="164"/>
      <c r="AT229" s="164"/>
      <c r="AU229" s="164"/>
    </row>
    <row r="230" ht="10.5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65"/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5"/>
      <c r="AH230" s="165"/>
      <c r="AI230" s="165"/>
      <c r="AJ230" s="165"/>
      <c r="AK230" s="165"/>
      <c r="AL230" s="165"/>
      <c r="AM230" s="165"/>
      <c r="AN230" s="165"/>
      <c r="AO230" s="165"/>
      <c r="AP230" s="165"/>
      <c r="AQ230" s="165"/>
      <c r="AR230" s="164"/>
      <c r="AS230" s="164"/>
      <c r="AT230" s="164"/>
      <c r="AU230" s="164"/>
    </row>
    <row r="231" ht="10.5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5"/>
      <c r="AH231" s="165"/>
      <c r="AI231" s="165"/>
      <c r="AJ231" s="165"/>
      <c r="AK231" s="165"/>
      <c r="AL231" s="165"/>
      <c r="AM231" s="165"/>
      <c r="AN231" s="165"/>
      <c r="AO231" s="165"/>
      <c r="AP231" s="165"/>
      <c r="AQ231" s="165"/>
      <c r="AR231" s="164"/>
      <c r="AS231" s="164"/>
      <c r="AT231" s="164"/>
      <c r="AU231" s="164"/>
    </row>
    <row r="232" ht="10.5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5"/>
      <c r="AH232" s="165"/>
      <c r="AI232" s="165"/>
      <c r="AJ232" s="165"/>
      <c r="AK232" s="165"/>
      <c r="AL232" s="165"/>
      <c r="AM232" s="165"/>
      <c r="AN232" s="165"/>
      <c r="AO232" s="165"/>
      <c r="AP232" s="165"/>
      <c r="AQ232" s="165"/>
      <c r="AR232" s="164"/>
      <c r="AS232" s="164"/>
      <c r="AT232" s="164"/>
      <c r="AU232" s="164"/>
    </row>
    <row r="233" ht="10.5" customHeight="1">
      <c r="A233" s="164"/>
      <c r="B233" s="165"/>
      <c r="C233" s="165"/>
      <c r="D233" s="165"/>
      <c r="E233" s="165"/>
      <c r="F233" s="165"/>
      <c r="G233" s="165"/>
      <c r="H233" s="165"/>
      <c r="I233" s="165"/>
      <c r="J233" s="165"/>
      <c r="K233" s="165"/>
      <c r="L233" s="165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  <c r="AA233" s="165"/>
      <c r="AB233" s="165"/>
      <c r="AC233" s="165"/>
      <c r="AD233" s="165"/>
      <c r="AE233" s="165"/>
      <c r="AF233" s="165"/>
      <c r="AG233" s="165"/>
      <c r="AH233" s="165"/>
      <c r="AI233" s="165"/>
      <c r="AJ233" s="165"/>
      <c r="AK233" s="165"/>
      <c r="AL233" s="165"/>
      <c r="AM233" s="165"/>
      <c r="AN233" s="165"/>
      <c r="AO233" s="165"/>
      <c r="AP233" s="165"/>
      <c r="AQ233" s="165"/>
      <c r="AR233" s="164"/>
      <c r="AS233" s="164"/>
      <c r="AT233" s="164"/>
      <c r="AU233" s="164"/>
    </row>
    <row r="234" ht="10.5" customHeight="1">
      <c r="A234" s="164"/>
      <c r="B234" s="165"/>
      <c r="C234" s="165"/>
      <c r="D234" s="165"/>
      <c r="E234" s="165"/>
      <c r="F234" s="165"/>
      <c r="G234" s="165"/>
      <c r="H234" s="165"/>
      <c r="I234" s="165"/>
      <c r="J234" s="165"/>
      <c r="K234" s="165"/>
      <c r="L234" s="165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  <c r="AA234" s="165"/>
      <c r="AB234" s="165"/>
      <c r="AC234" s="165"/>
      <c r="AD234" s="165"/>
      <c r="AE234" s="165"/>
      <c r="AF234" s="165"/>
      <c r="AG234" s="165"/>
      <c r="AH234" s="165"/>
      <c r="AI234" s="165"/>
      <c r="AJ234" s="165"/>
      <c r="AK234" s="165"/>
      <c r="AL234" s="165"/>
      <c r="AM234" s="165"/>
      <c r="AN234" s="165"/>
      <c r="AO234" s="165"/>
      <c r="AP234" s="165"/>
      <c r="AQ234" s="165"/>
      <c r="AR234" s="164"/>
      <c r="AS234" s="164"/>
      <c r="AT234" s="164"/>
      <c r="AU234" s="164"/>
    </row>
    <row r="235" ht="10.5" customHeight="1">
      <c r="A235" s="164"/>
      <c r="B235" s="165"/>
      <c r="C235" s="165"/>
      <c r="D235" s="165"/>
      <c r="E235" s="165"/>
      <c r="F235" s="165"/>
      <c r="G235" s="165"/>
      <c r="H235" s="165"/>
      <c r="I235" s="165"/>
      <c r="J235" s="165"/>
      <c r="K235" s="165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  <c r="AA235" s="165"/>
      <c r="AB235" s="165"/>
      <c r="AC235" s="165"/>
      <c r="AD235" s="165"/>
      <c r="AE235" s="165"/>
      <c r="AF235" s="165"/>
      <c r="AG235" s="165"/>
      <c r="AH235" s="165"/>
      <c r="AI235" s="165"/>
      <c r="AJ235" s="165"/>
      <c r="AK235" s="165"/>
      <c r="AL235" s="165"/>
      <c r="AM235" s="165"/>
      <c r="AN235" s="165"/>
      <c r="AO235" s="165"/>
      <c r="AP235" s="165"/>
      <c r="AQ235" s="165"/>
      <c r="AR235" s="164"/>
      <c r="AS235" s="164"/>
      <c r="AT235" s="164"/>
      <c r="AU235" s="164"/>
    </row>
    <row r="236" ht="10.5" customHeight="1">
      <c r="A236" s="164"/>
      <c r="B236" s="165"/>
      <c r="C236" s="165"/>
      <c r="D236" s="165"/>
      <c r="E236" s="165"/>
      <c r="F236" s="165"/>
      <c r="G236" s="165"/>
      <c r="H236" s="165"/>
      <c r="I236" s="165"/>
      <c r="J236" s="165"/>
      <c r="K236" s="165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  <c r="AA236" s="165"/>
      <c r="AB236" s="165"/>
      <c r="AC236" s="165"/>
      <c r="AD236" s="165"/>
      <c r="AE236" s="165"/>
      <c r="AF236" s="165"/>
      <c r="AG236" s="165"/>
      <c r="AH236" s="165"/>
      <c r="AI236" s="165"/>
      <c r="AJ236" s="165"/>
      <c r="AK236" s="165"/>
      <c r="AL236" s="165"/>
      <c r="AM236" s="165"/>
      <c r="AN236" s="165"/>
      <c r="AO236" s="165"/>
      <c r="AP236" s="165"/>
      <c r="AQ236" s="165"/>
      <c r="AR236" s="164"/>
      <c r="AS236" s="164"/>
      <c r="AT236" s="164"/>
      <c r="AU236" s="164"/>
    </row>
    <row r="237" ht="10.5" customHeight="1">
      <c r="A237" s="164"/>
      <c r="B237" s="165"/>
      <c r="C237" s="165"/>
      <c r="D237" s="165"/>
      <c r="E237" s="165"/>
      <c r="F237" s="165"/>
      <c r="G237" s="165"/>
      <c r="H237" s="165"/>
      <c r="I237" s="165"/>
      <c r="J237" s="165"/>
      <c r="K237" s="165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  <c r="AA237" s="165"/>
      <c r="AB237" s="165"/>
      <c r="AC237" s="165"/>
      <c r="AD237" s="165"/>
      <c r="AE237" s="165"/>
      <c r="AF237" s="165"/>
      <c r="AG237" s="165"/>
      <c r="AH237" s="165"/>
      <c r="AI237" s="165"/>
      <c r="AJ237" s="165"/>
      <c r="AK237" s="165"/>
      <c r="AL237" s="165"/>
      <c r="AM237" s="165"/>
      <c r="AN237" s="165"/>
      <c r="AO237" s="165"/>
      <c r="AP237" s="165"/>
      <c r="AQ237" s="165"/>
      <c r="AR237" s="164"/>
      <c r="AS237" s="164"/>
      <c r="AT237" s="164"/>
      <c r="AU237" s="164"/>
    </row>
    <row r="238" ht="10.5" customHeight="1">
      <c r="A238" s="164"/>
      <c r="B238" s="165"/>
      <c r="C238" s="165"/>
      <c r="D238" s="165"/>
      <c r="E238" s="165"/>
      <c r="F238" s="165"/>
      <c r="G238" s="165"/>
      <c r="H238" s="165"/>
      <c r="I238" s="165"/>
      <c r="J238" s="165"/>
      <c r="K238" s="165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  <c r="AA238" s="165"/>
      <c r="AB238" s="165"/>
      <c r="AC238" s="165"/>
      <c r="AD238" s="165"/>
      <c r="AE238" s="165"/>
      <c r="AF238" s="165"/>
      <c r="AG238" s="165"/>
      <c r="AH238" s="165"/>
      <c r="AI238" s="165"/>
      <c r="AJ238" s="165"/>
      <c r="AK238" s="165"/>
      <c r="AL238" s="165"/>
      <c r="AM238" s="165"/>
      <c r="AN238" s="165"/>
      <c r="AO238" s="165"/>
      <c r="AP238" s="165"/>
      <c r="AQ238" s="165"/>
      <c r="AR238" s="164"/>
      <c r="AS238" s="164"/>
      <c r="AT238" s="164"/>
      <c r="AU238" s="164"/>
    </row>
    <row r="239" ht="10.5" customHeight="1">
      <c r="A239" s="164"/>
      <c r="B239" s="165"/>
      <c r="C239" s="165"/>
      <c r="D239" s="165"/>
      <c r="E239" s="165"/>
      <c r="F239" s="165"/>
      <c r="G239" s="165"/>
      <c r="H239" s="165"/>
      <c r="I239" s="165"/>
      <c r="J239" s="165"/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  <c r="AA239" s="165"/>
      <c r="AB239" s="165"/>
      <c r="AC239" s="165"/>
      <c r="AD239" s="165"/>
      <c r="AE239" s="165"/>
      <c r="AF239" s="165"/>
      <c r="AG239" s="165"/>
      <c r="AH239" s="165"/>
      <c r="AI239" s="165"/>
      <c r="AJ239" s="165"/>
      <c r="AK239" s="165"/>
      <c r="AL239" s="165"/>
      <c r="AM239" s="165"/>
      <c r="AN239" s="165"/>
      <c r="AO239" s="165"/>
      <c r="AP239" s="165"/>
      <c r="AQ239" s="165"/>
      <c r="AR239" s="164"/>
      <c r="AS239" s="164"/>
      <c r="AT239" s="164"/>
      <c r="AU239" s="164"/>
    </row>
    <row r="240" ht="10.5" customHeight="1">
      <c r="A240" s="164"/>
      <c r="B240" s="165"/>
      <c r="C240" s="165"/>
      <c r="D240" s="165"/>
      <c r="E240" s="165"/>
      <c r="F240" s="165"/>
      <c r="G240" s="165"/>
      <c r="H240" s="165"/>
      <c r="I240" s="165"/>
      <c r="J240" s="165"/>
      <c r="K240" s="165"/>
      <c r="L240" s="165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  <c r="AA240" s="165"/>
      <c r="AB240" s="165"/>
      <c r="AC240" s="165"/>
      <c r="AD240" s="165"/>
      <c r="AE240" s="165"/>
      <c r="AF240" s="165"/>
      <c r="AG240" s="165"/>
      <c r="AH240" s="165"/>
      <c r="AI240" s="165"/>
      <c r="AJ240" s="165"/>
      <c r="AK240" s="165"/>
      <c r="AL240" s="165"/>
      <c r="AM240" s="165"/>
      <c r="AN240" s="165"/>
      <c r="AO240" s="165"/>
      <c r="AP240" s="165"/>
      <c r="AQ240" s="165"/>
      <c r="AR240" s="164"/>
      <c r="AS240" s="164"/>
      <c r="AT240" s="164"/>
      <c r="AU240" s="164"/>
    </row>
    <row r="241" ht="10.5" customHeight="1">
      <c r="A241" s="164"/>
      <c r="B241" s="165"/>
      <c r="C241" s="165"/>
      <c r="D241" s="165"/>
      <c r="E241" s="165"/>
      <c r="F241" s="165"/>
      <c r="G241" s="165"/>
      <c r="H241" s="165"/>
      <c r="I241" s="165"/>
      <c r="J241" s="165"/>
      <c r="K241" s="165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  <c r="AA241" s="165"/>
      <c r="AB241" s="165"/>
      <c r="AC241" s="165"/>
      <c r="AD241" s="165"/>
      <c r="AE241" s="165"/>
      <c r="AF241" s="165"/>
      <c r="AG241" s="165"/>
      <c r="AH241" s="165"/>
      <c r="AI241" s="165"/>
      <c r="AJ241" s="165"/>
      <c r="AK241" s="165"/>
      <c r="AL241" s="165"/>
      <c r="AM241" s="165"/>
      <c r="AN241" s="165"/>
      <c r="AO241" s="165"/>
      <c r="AP241" s="165"/>
      <c r="AQ241" s="165"/>
      <c r="AR241" s="164"/>
      <c r="AS241" s="164"/>
      <c r="AT241" s="164"/>
      <c r="AU241" s="164"/>
    </row>
    <row r="242" ht="10.5" customHeight="1">
      <c r="A242" s="164"/>
      <c r="B242" s="165"/>
      <c r="C242" s="165"/>
      <c r="D242" s="165"/>
      <c r="E242" s="165"/>
      <c r="F242" s="165"/>
      <c r="G242" s="165"/>
      <c r="H242" s="165"/>
      <c r="I242" s="165"/>
      <c r="J242" s="165"/>
      <c r="K242" s="165"/>
      <c r="L242" s="165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  <c r="AA242" s="165"/>
      <c r="AB242" s="165"/>
      <c r="AC242" s="165"/>
      <c r="AD242" s="165"/>
      <c r="AE242" s="165"/>
      <c r="AF242" s="165"/>
      <c r="AG242" s="165"/>
      <c r="AH242" s="165"/>
      <c r="AI242" s="165"/>
      <c r="AJ242" s="165"/>
      <c r="AK242" s="165"/>
      <c r="AL242" s="165"/>
      <c r="AM242" s="165"/>
      <c r="AN242" s="165"/>
      <c r="AO242" s="165"/>
      <c r="AP242" s="165"/>
      <c r="AQ242" s="165"/>
      <c r="AR242" s="164"/>
      <c r="AS242" s="164"/>
      <c r="AT242" s="164"/>
      <c r="AU242" s="164"/>
    </row>
    <row r="243" ht="10.5" customHeight="1">
      <c r="A243" s="164"/>
      <c r="B243" s="165"/>
      <c r="C243" s="165"/>
      <c r="D243" s="165"/>
      <c r="E243" s="165"/>
      <c r="F243" s="165"/>
      <c r="G243" s="165"/>
      <c r="H243" s="165"/>
      <c r="I243" s="165"/>
      <c r="J243" s="165"/>
      <c r="K243" s="165"/>
      <c r="L243" s="165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  <c r="AA243" s="165"/>
      <c r="AB243" s="165"/>
      <c r="AC243" s="165"/>
      <c r="AD243" s="165"/>
      <c r="AE243" s="165"/>
      <c r="AF243" s="165"/>
      <c r="AG243" s="165"/>
      <c r="AH243" s="165"/>
      <c r="AI243" s="165"/>
      <c r="AJ243" s="165"/>
      <c r="AK243" s="165"/>
      <c r="AL243" s="165"/>
      <c r="AM243" s="165"/>
      <c r="AN243" s="165"/>
      <c r="AO243" s="165"/>
      <c r="AP243" s="165"/>
      <c r="AQ243" s="165"/>
      <c r="AR243" s="164"/>
      <c r="AS243" s="164"/>
      <c r="AT243" s="164"/>
      <c r="AU243" s="164"/>
    </row>
    <row r="244" ht="10.5" customHeight="1">
      <c r="A244" s="164"/>
      <c r="B244" s="165"/>
      <c r="C244" s="165"/>
      <c r="D244" s="165"/>
      <c r="E244" s="165"/>
      <c r="F244" s="165"/>
      <c r="G244" s="165"/>
      <c r="H244" s="165"/>
      <c r="I244" s="165"/>
      <c r="J244" s="165"/>
      <c r="K244" s="165"/>
      <c r="L244" s="165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  <c r="AA244" s="165"/>
      <c r="AB244" s="165"/>
      <c r="AC244" s="165"/>
      <c r="AD244" s="165"/>
      <c r="AE244" s="165"/>
      <c r="AF244" s="165"/>
      <c r="AG244" s="165"/>
      <c r="AH244" s="165"/>
      <c r="AI244" s="165"/>
      <c r="AJ244" s="165"/>
      <c r="AK244" s="165"/>
      <c r="AL244" s="165"/>
      <c r="AM244" s="165"/>
      <c r="AN244" s="165"/>
      <c r="AO244" s="165"/>
      <c r="AP244" s="165"/>
      <c r="AQ244" s="165"/>
      <c r="AR244" s="164"/>
      <c r="AS244" s="164"/>
      <c r="AT244" s="164"/>
      <c r="AU244" s="164"/>
    </row>
    <row r="245" ht="10.5" customHeight="1">
      <c r="A245" s="164"/>
      <c r="B245" s="165"/>
      <c r="C245" s="165"/>
      <c r="D245" s="165"/>
      <c r="E245" s="165"/>
      <c r="F245" s="165"/>
      <c r="G245" s="165"/>
      <c r="H245" s="165"/>
      <c r="I245" s="165"/>
      <c r="J245" s="165"/>
      <c r="K245" s="165"/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  <c r="AA245" s="165"/>
      <c r="AB245" s="165"/>
      <c r="AC245" s="165"/>
      <c r="AD245" s="165"/>
      <c r="AE245" s="165"/>
      <c r="AF245" s="165"/>
      <c r="AG245" s="165"/>
      <c r="AH245" s="165"/>
      <c r="AI245" s="165"/>
      <c r="AJ245" s="165"/>
      <c r="AK245" s="165"/>
      <c r="AL245" s="165"/>
      <c r="AM245" s="165"/>
      <c r="AN245" s="165"/>
      <c r="AO245" s="165"/>
      <c r="AP245" s="165"/>
      <c r="AQ245" s="165"/>
      <c r="AR245" s="164"/>
      <c r="AS245" s="164"/>
      <c r="AT245" s="164"/>
      <c r="AU245" s="164"/>
    </row>
    <row r="246" ht="10.5" customHeight="1">
      <c r="A246" s="164"/>
      <c r="B246" s="165"/>
      <c r="C246" s="165"/>
      <c r="D246" s="165"/>
      <c r="E246" s="165"/>
      <c r="F246" s="165"/>
      <c r="G246" s="165"/>
      <c r="H246" s="165"/>
      <c r="I246" s="165"/>
      <c r="J246" s="165"/>
      <c r="K246" s="165"/>
      <c r="L246" s="165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  <c r="AA246" s="165"/>
      <c r="AB246" s="165"/>
      <c r="AC246" s="165"/>
      <c r="AD246" s="165"/>
      <c r="AE246" s="165"/>
      <c r="AF246" s="165"/>
      <c r="AG246" s="165"/>
      <c r="AH246" s="165"/>
      <c r="AI246" s="165"/>
      <c r="AJ246" s="165"/>
      <c r="AK246" s="165"/>
      <c r="AL246" s="165"/>
      <c r="AM246" s="165"/>
      <c r="AN246" s="165"/>
      <c r="AO246" s="165"/>
      <c r="AP246" s="165"/>
      <c r="AQ246" s="165"/>
      <c r="AR246" s="164"/>
      <c r="AS246" s="164"/>
      <c r="AT246" s="164"/>
      <c r="AU246" s="164"/>
    </row>
    <row r="247" ht="10.5" customHeight="1">
      <c r="A247" s="164"/>
      <c r="B247" s="165"/>
      <c r="C247" s="165"/>
      <c r="D247" s="165"/>
      <c r="E247" s="165"/>
      <c r="F247" s="165"/>
      <c r="G247" s="165"/>
      <c r="H247" s="165"/>
      <c r="I247" s="165"/>
      <c r="J247" s="165"/>
      <c r="K247" s="165"/>
      <c r="L247" s="165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  <c r="AA247" s="165"/>
      <c r="AB247" s="165"/>
      <c r="AC247" s="165"/>
      <c r="AD247" s="165"/>
      <c r="AE247" s="165"/>
      <c r="AF247" s="165"/>
      <c r="AG247" s="165"/>
      <c r="AH247" s="165"/>
      <c r="AI247" s="165"/>
      <c r="AJ247" s="165"/>
      <c r="AK247" s="165"/>
      <c r="AL247" s="165"/>
      <c r="AM247" s="165"/>
      <c r="AN247" s="165"/>
      <c r="AO247" s="165"/>
      <c r="AP247" s="165"/>
      <c r="AQ247" s="165"/>
      <c r="AR247" s="164"/>
      <c r="AS247" s="164"/>
      <c r="AT247" s="164"/>
      <c r="AU247" s="164"/>
    </row>
    <row r="248" ht="10.5" customHeight="1">
      <c r="A248" s="164"/>
      <c r="B248" s="165"/>
      <c r="C248" s="165"/>
      <c r="D248" s="165"/>
      <c r="E248" s="165"/>
      <c r="F248" s="165"/>
      <c r="G248" s="165"/>
      <c r="H248" s="165"/>
      <c r="I248" s="165"/>
      <c r="J248" s="165"/>
      <c r="K248" s="165"/>
      <c r="L248" s="165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  <c r="AA248" s="165"/>
      <c r="AB248" s="165"/>
      <c r="AC248" s="165"/>
      <c r="AD248" s="165"/>
      <c r="AE248" s="165"/>
      <c r="AF248" s="165"/>
      <c r="AG248" s="165"/>
      <c r="AH248" s="165"/>
      <c r="AI248" s="165"/>
      <c r="AJ248" s="165"/>
      <c r="AK248" s="165"/>
      <c r="AL248" s="165"/>
      <c r="AM248" s="165"/>
      <c r="AN248" s="165"/>
      <c r="AO248" s="165"/>
      <c r="AP248" s="165"/>
      <c r="AQ248" s="165"/>
      <c r="AR248" s="164"/>
      <c r="AS248" s="164"/>
      <c r="AT248" s="164"/>
      <c r="AU248" s="164"/>
    </row>
    <row r="249" ht="10.5" customHeight="1">
      <c r="A249" s="164"/>
      <c r="B249" s="165"/>
      <c r="C249" s="165"/>
      <c r="D249" s="165"/>
      <c r="E249" s="165"/>
      <c r="F249" s="165"/>
      <c r="G249" s="165"/>
      <c r="H249" s="165"/>
      <c r="I249" s="165"/>
      <c r="J249" s="165"/>
      <c r="K249" s="165"/>
      <c r="L249" s="165"/>
      <c r="M249" s="165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  <c r="AA249" s="165"/>
      <c r="AB249" s="165"/>
      <c r="AC249" s="165"/>
      <c r="AD249" s="165"/>
      <c r="AE249" s="165"/>
      <c r="AF249" s="165"/>
      <c r="AG249" s="165"/>
      <c r="AH249" s="165"/>
      <c r="AI249" s="165"/>
      <c r="AJ249" s="165"/>
      <c r="AK249" s="165"/>
      <c r="AL249" s="165"/>
      <c r="AM249" s="165"/>
      <c r="AN249" s="165"/>
      <c r="AO249" s="165"/>
      <c r="AP249" s="165"/>
      <c r="AQ249" s="165"/>
      <c r="AR249" s="164"/>
      <c r="AS249" s="164"/>
      <c r="AT249" s="164"/>
      <c r="AU249" s="164"/>
    </row>
    <row r="250" ht="10.5" customHeight="1">
      <c r="A250" s="164"/>
      <c r="B250" s="165"/>
      <c r="C250" s="165"/>
      <c r="D250" s="165"/>
      <c r="E250" s="165"/>
      <c r="F250" s="165"/>
      <c r="G250" s="165"/>
      <c r="H250" s="165"/>
      <c r="I250" s="165"/>
      <c r="J250" s="165"/>
      <c r="K250" s="165"/>
      <c r="L250" s="165"/>
      <c r="M250" s="165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  <c r="AA250" s="165"/>
      <c r="AB250" s="165"/>
      <c r="AC250" s="165"/>
      <c r="AD250" s="165"/>
      <c r="AE250" s="165"/>
      <c r="AF250" s="165"/>
      <c r="AG250" s="165"/>
      <c r="AH250" s="165"/>
      <c r="AI250" s="165"/>
      <c r="AJ250" s="165"/>
      <c r="AK250" s="165"/>
      <c r="AL250" s="165"/>
      <c r="AM250" s="165"/>
      <c r="AN250" s="165"/>
      <c r="AO250" s="165"/>
      <c r="AP250" s="165"/>
      <c r="AQ250" s="165"/>
      <c r="AR250" s="164"/>
      <c r="AS250" s="164"/>
      <c r="AT250" s="164"/>
      <c r="AU250" s="164"/>
    </row>
    <row r="251" ht="10.5" customHeight="1">
      <c r="A251" s="164"/>
      <c r="B251" s="165"/>
      <c r="C251" s="165"/>
      <c r="D251" s="165"/>
      <c r="E251" s="165"/>
      <c r="F251" s="165"/>
      <c r="G251" s="165"/>
      <c r="H251" s="165"/>
      <c r="I251" s="165"/>
      <c r="J251" s="165"/>
      <c r="K251" s="165"/>
      <c r="L251" s="165"/>
      <c r="M251" s="165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  <c r="AA251" s="165"/>
      <c r="AB251" s="165"/>
      <c r="AC251" s="165"/>
      <c r="AD251" s="165"/>
      <c r="AE251" s="165"/>
      <c r="AF251" s="165"/>
      <c r="AG251" s="165"/>
      <c r="AH251" s="165"/>
      <c r="AI251" s="165"/>
      <c r="AJ251" s="165"/>
      <c r="AK251" s="165"/>
      <c r="AL251" s="165"/>
      <c r="AM251" s="165"/>
      <c r="AN251" s="165"/>
      <c r="AO251" s="165"/>
      <c r="AP251" s="165"/>
      <c r="AQ251" s="165"/>
      <c r="AR251" s="164"/>
      <c r="AS251" s="164"/>
      <c r="AT251" s="164"/>
      <c r="AU251" s="164"/>
    </row>
    <row r="252" ht="10.5" customHeight="1">
      <c r="A252" s="164"/>
      <c r="B252" s="165"/>
      <c r="C252" s="165"/>
      <c r="D252" s="165"/>
      <c r="E252" s="165"/>
      <c r="F252" s="165"/>
      <c r="G252" s="165"/>
      <c r="H252" s="165"/>
      <c r="I252" s="165"/>
      <c r="J252" s="165"/>
      <c r="K252" s="165"/>
      <c r="L252" s="165"/>
      <c r="M252" s="165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  <c r="AA252" s="165"/>
      <c r="AB252" s="165"/>
      <c r="AC252" s="165"/>
      <c r="AD252" s="165"/>
      <c r="AE252" s="165"/>
      <c r="AF252" s="165"/>
      <c r="AG252" s="165"/>
      <c r="AH252" s="165"/>
      <c r="AI252" s="165"/>
      <c r="AJ252" s="165"/>
      <c r="AK252" s="165"/>
      <c r="AL252" s="165"/>
      <c r="AM252" s="165"/>
      <c r="AN252" s="165"/>
      <c r="AO252" s="165"/>
      <c r="AP252" s="165"/>
      <c r="AQ252" s="165"/>
      <c r="AR252" s="164"/>
      <c r="AS252" s="164"/>
      <c r="AT252" s="164"/>
      <c r="AU252" s="164"/>
    </row>
    <row r="253" ht="10.5" customHeight="1">
      <c r="A253" s="164"/>
      <c r="B253" s="165"/>
      <c r="C253" s="165"/>
      <c r="D253" s="165"/>
      <c r="E253" s="165"/>
      <c r="F253" s="165"/>
      <c r="G253" s="165"/>
      <c r="H253" s="165"/>
      <c r="I253" s="165"/>
      <c r="J253" s="165"/>
      <c r="K253" s="165"/>
      <c r="L253" s="165"/>
      <c r="M253" s="165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  <c r="AA253" s="165"/>
      <c r="AB253" s="165"/>
      <c r="AC253" s="165"/>
      <c r="AD253" s="165"/>
      <c r="AE253" s="165"/>
      <c r="AF253" s="165"/>
      <c r="AG253" s="165"/>
      <c r="AH253" s="165"/>
      <c r="AI253" s="165"/>
      <c r="AJ253" s="165"/>
      <c r="AK253" s="165"/>
      <c r="AL253" s="165"/>
      <c r="AM253" s="165"/>
      <c r="AN253" s="165"/>
      <c r="AO253" s="165"/>
      <c r="AP253" s="165"/>
      <c r="AQ253" s="165"/>
      <c r="AR253" s="164"/>
      <c r="AS253" s="164"/>
      <c r="AT253" s="164"/>
      <c r="AU253" s="164"/>
    </row>
    <row r="254" ht="10.5" customHeight="1">
      <c r="A254" s="164"/>
      <c r="B254" s="165"/>
      <c r="C254" s="165"/>
      <c r="D254" s="165"/>
      <c r="E254" s="165"/>
      <c r="F254" s="165"/>
      <c r="G254" s="165"/>
      <c r="H254" s="165"/>
      <c r="I254" s="165"/>
      <c r="J254" s="165"/>
      <c r="K254" s="165"/>
      <c r="L254" s="165"/>
      <c r="M254" s="165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  <c r="AA254" s="165"/>
      <c r="AB254" s="165"/>
      <c r="AC254" s="165"/>
      <c r="AD254" s="165"/>
      <c r="AE254" s="165"/>
      <c r="AF254" s="165"/>
      <c r="AG254" s="165"/>
      <c r="AH254" s="165"/>
      <c r="AI254" s="165"/>
      <c r="AJ254" s="165"/>
      <c r="AK254" s="165"/>
      <c r="AL254" s="165"/>
      <c r="AM254" s="165"/>
      <c r="AN254" s="165"/>
      <c r="AO254" s="165"/>
      <c r="AP254" s="165"/>
      <c r="AQ254" s="165"/>
      <c r="AR254" s="164"/>
      <c r="AS254" s="164"/>
      <c r="AT254" s="164"/>
      <c r="AU254" s="164"/>
    </row>
    <row r="255" ht="10.5" customHeight="1">
      <c r="A255" s="164"/>
      <c r="B255" s="165"/>
      <c r="C255" s="165"/>
      <c r="D255" s="165"/>
      <c r="E255" s="165"/>
      <c r="F255" s="165"/>
      <c r="G255" s="165"/>
      <c r="H255" s="165"/>
      <c r="I255" s="165"/>
      <c r="J255" s="165"/>
      <c r="K255" s="165"/>
      <c r="L255" s="165"/>
      <c r="M255" s="165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  <c r="AA255" s="165"/>
      <c r="AB255" s="165"/>
      <c r="AC255" s="165"/>
      <c r="AD255" s="165"/>
      <c r="AE255" s="165"/>
      <c r="AF255" s="165"/>
      <c r="AG255" s="165"/>
      <c r="AH255" s="165"/>
      <c r="AI255" s="165"/>
      <c r="AJ255" s="165"/>
      <c r="AK255" s="165"/>
      <c r="AL255" s="165"/>
      <c r="AM255" s="165"/>
      <c r="AN255" s="165"/>
      <c r="AO255" s="165"/>
      <c r="AP255" s="165"/>
      <c r="AQ255" s="165"/>
      <c r="AR255" s="164"/>
      <c r="AS255" s="164"/>
      <c r="AT255" s="164"/>
      <c r="AU255" s="164"/>
    </row>
    <row r="256" ht="10.5" customHeight="1">
      <c r="A256" s="164"/>
      <c r="B256" s="165"/>
      <c r="C256" s="165"/>
      <c r="D256" s="165"/>
      <c r="E256" s="165"/>
      <c r="F256" s="165"/>
      <c r="G256" s="165"/>
      <c r="H256" s="165"/>
      <c r="I256" s="165"/>
      <c r="J256" s="165"/>
      <c r="K256" s="165"/>
      <c r="L256" s="165"/>
      <c r="M256" s="165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  <c r="AA256" s="165"/>
      <c r="AB256" s="165"/>
      <c r="AC256" s="165"/>
      <c r="AD256" s="165"/>
      <c r="AE256" s="165"/>
      <c r="AF256" s="165"/>
      <c r="AG256" s="165"/>
      <c r="AH256" s="165"/>
      <c r="AI256" s="165"/>
      <c r="AJ256" s="165"/>
      <c r="AK256" s="165"/>
      <c r="AL256" s="165"/>
      <c r="AM256" s="165"/>
      <c r="AN256" s="165"/>
      <c r="AO256" s="165"/>
      <c r="AP256" s="165"/>
      <c r="AQ256" s="165"/>
      <c r="AR256" s="164"/>
      <c r="AS256" s="164"/>
      <c r="AT256" s="164"/>
      <c r="AU256" s="164"/>
    </row>
    <row r="257" ht="10.5" customHeight="1">
      <c r="A257" s="164"/>
      <c r="B257" s="165"/>
      <c r="C257" s="165"/>
      <c r="D257" s="165"/>
      <c r="E257" s="165"/>
      <c r="F257" s="165"/>
      <c r="G257" s="165"/>
      <c r="H257" s="165"/>
      <c r="I257" s="165"/>
      <c r="J257" s="165"/>
      <c r="K257" s="165"/>
      <c r="L257" s="165"/>
      <c r="M257" s="165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  <c r="AA257" s="165"/>
      <c r="AB257" s="165"/>
      <c r="AC257" s="165"/>
      <c r="AD257" s="165"/>
      <c r="AE257" s="165"/>
      <c r="AF257" s="165"/>
      <c r="AG257" s="165"/>
      <c r="AH257" s="165"/>
      <c r="AI257" s="165"/>
      <c r="AJ257" s="165"/>
      <c r="AK257" s="165"/>
      <c r="AL257" s="165"/>
      <c r="AM257" s="165"/>
      <c r="AN257" s="165"/>
      <c r="AO257" s="165"/>
      <c r="AP257" s="165"/>
      <c r="AQ257" s="165"/>
      <c r="AR257" s="164"/>
      <c r="AS257" s="164"/>
      <c r="AT257" s="164"/>
      <c r="AU257" s="164"/>
    </row>
    <row r="258" ht="10.5" customHeight="1">
      <c r="A258" s="164"/>
      <c r="B258" s="165"/>
      <c r="C258" s="165"/>
      <c r="D258" s="165"/>
      <c r="E258" s="165"/>
      <c r="F258" s="165"/>
      <c r="G258" s="165"/>
      <c r="H258" s="165"/>
      <c r="I258" s="165"/>
      <c r="J258" s="165"/>
      <c r="K258" s="165"/>
      <c r="L258" s="165"/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  <c r="AA258" s="165"/>
      <c r="AB258" s="165"/>
      <c r="AC258" s="165"/>
      <c r="AD258" s="165"/>
      <c r="AE258" s="165"/>
      <c r="AF258" s="165"/>
      <c r="AG258" s="165"/>
      <c r="AH258" s="165"/>
      <c r="AI258" s="165"/>
      <c r="AJ258" s="165"/>
      <c r="AK258" s="165"/>
      <c r="AL258" s="165"/>
      <c r="AM258" s="165"/>
      <c r="AN258" s="165"/>
      <c r="AO258" s="165"/>
      <c r="AP258" s="165"/>
      <c r="AQ258" s="165"/>
      <c r="AR258" s="164"/>
      <c r="AS258" s="164"/>
      <c r="AT258" s="164"/>
      <c r="AU258" s="164"/>
    </row>
    <row r="259" ht="10.5" customHeight="1">
      <c r="A259" s="164"/>
      <c r="B259" s="165"/>
      <c r="C259" s="165"/>
      <c r="D259" s="165"/>
      <c r="E259" s="165"/>
      <c r="F259" s="165"/>
      <c r="G259" s="165"/>
      <c r="H259" s="165"/>
      <c r="I259" s="165"/>
      <c r="J259" s="165"/>
      <c r="K259" s="165"/>
      <c r="L259" s="165"/>
      <c r="M259" s="165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  <c r="AA259" s="165"/>
      <c r="AB259" s="165"/>
      <c r="AC259" s="165"/>
      <c r="AD259" s="165"/>
      <c r="AE259" s="165"/>
      <c r="AF259" s="165"/>
      <c r="AG259" s="165"/>
      <c r="AH259" s="165"/>
      <c r="AI259" s="165"/>
      <c r="AJ259" s="165"/>
      <c r="AK259" s="165"/>
      <c r="AL259" s="165"/>
      <c r="AM259" s="165"/>
      <c r="AN259" s="165"/>
      <c r="AO259" s="165"/>
      <c r="AP259" s="165"/>
      <c r="AQ259" s="165"/>
      <c r="AR259" s="164"/>
      <c r="AS259" s="164"/>
      <c r="AT259" s="164"/>
      <c r="AU259" s="164"/>
    </row>
    <row r="260" ht="10.5" customHeight="1">
      <c r="A260" s="164"/>
      <c r="B260" s="165"/>
      <c r="C260" s="165"/>
      <c r="D260" s="165"/>
      <c r="E260" s="165"/>
      <c r="F260" s="165"/>
      <c r="G260" s="165"/>
      <c r="H260" s="165"/>
      <c r="I260" s="165"/>
      <c r="J260" s="165"/>
      <c r="K260" s="165"/>
      <c r="L260" s="165"/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  <c r="AA260" s="165"/>
      <c r="AB260" s="165"/>
      <c r="AC260" s="165"/>
      <c r="AD260" s="165"/>
      <c r="AE260" s="165"/>
      <c r="AF260" s="165"/>
      <c r="AG260" s="165"/>
      <c r="AH260" s="165"/>
      <c r="AI260" s="165"/>
      <c r="AJ260" s="165"/>
      <c r="AK260" s="165"/>
      <c r="AL260" s="165"/>
      <c r="AM260" s="165"/>
      <c r="AN260" s="165"/>
      <c r="AO260" s="165"/>
      <c r="AP260" s="165"/>
      <c r="AQ260" s="165"/>
      <c r="AR260" s="164"/>
      <c r="AS260" s="164"/>
      <c r="AT260" s="164"/>
      <c r="AU260" s="164"/>
    </row>
    <row r="261" ht="10.5" customHeight="1">
      <c r="A261" s="164"/>
      <c r="B261" s="165"/>
      <c r="C261" s="165"/>
      <c r="D261" s="165"/>
      <c r="E261" s="165"/>
      <c r="F261" s="165"/>
      <c r="G261" s="165"/>
      <c r="H261" s="165"/>
      <c r="I261" s="165"/>
      <c r="J261" s="165"/>
      <c r="K261" s="165"/>
      <c r="L261" s="165"/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  <c r="AA261" s="165"/>
      <c r="AB261" s="165"/>
      <c r="AC261" s="165"/>
      <c r="AD261" s="165"/>
      <c r="AE261" s="165"/>
      <c r="AF261" s="165"/>
      <c r="AG261" s="165"/>
      <c r="AH261" s="165"/>
      <c r="AI261" s="165"/>
      <c r="AJ261" s="165"/>
      <c r="AK261" s="165"/>
      <c r="AL261" s="165"/>
      <c r="AM261" s="165"/>
      <c r="AN261" s="165"/>
      <c r="AO261" s="165"/>
      <c r="AP261" s="165"/>
      <c r="AQ261" s="165"/>
      <c r="AR261" s="164"/>
      <c r="AS261" s="164"/>
      <c r="AT261" s="164"/>
      <c r="AU261" s="164"/>
    </row>
    <row r="262" ht="10.5" customHeight="1">
      <c r="A262" s="164"/>
      <c r="B262" s="165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5"/>
      <c r="AJ262" s="165"/>
      <c r="AK262" s="165"/>
      <c r="AL262" s="165"/>
      <c r="AM262" s="165"/>
      <c r="AN262" s="165"/>
      <c r="AO262" s="165"/>
      <c r="AP262" s="165"/>
      <c r="AQ262" s="165"/>
      <c r="AR262" s="164"/>
      <c r="AS262" s="164"/>
      <c r="AT262" s="164"/>
      <c r="AU262" s="164"/>
    </row>
    <row r="263" ht="10.5" customHeight="1">
      <c r="A263" s="164"/>
      <c r="B263" s="165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5"/>
      <c r="AJ263" s="165"/>
      <c r="AK263" s="165"/>
      <c r="AL263" s="165"/>
      <c r="AM263" s="165"/>
      <c r="AN263" s="165"/>
      <c r="AO263" s="165"/>
      <c r="AP263" s="165"/>
      <c r="AQ263" s="165"/>
      <c r="AR263" s="164"/>
      <c r="AS263" s="164"/>
      <c r="AT263" s="164"/>
      <c r="AU263" s="164"/>
    </row>
    <row r="264" ht="10.5" customHeight="1">
      <c r="A264" s="164"/>
      <c r="B264" s="165"/>
      <c r="C264" s="165"/>
      <c r="D264" s="165"/>
      <c r="E264" s="165"/>
      <c r="F264" s="165"/>
      <c r="G264" s="165"/>
      <c r="H264" s="165"/>
      <c r="I264" s="165"/>
      <c r="J264" s="165"/>
      <c r="K264" s="165"/>
      <c r="L264" s="165"/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  <c r="AA264" s="165"/>
      <c r="AB264" s="165"/>
      <c r="AC264" s="165"/>
      <c r="AD264" s="165"/>
      <c r="AE264" s="165"/>
      <c r="AF264" s="165"/>
      <c r="AG264" s="165"/>
      <c r="AH264" s="165"/>
      <c r="AI264" s="165"/>
      <c r="AJ264" s="165"/>
      <c r="AK264" s="165"/>
      <c r="AL264" s="165"/>
      <c r="AM264" s="165"/>
      <c r="AN264" s="165"/>
      <c r="AO264" s="165"/>
      <c r="AP264" s="165"/>
      <c r="AQ264" s="165"/>
      <c r="AR264" s="164"/>
      <c r="AS264" s="164"/>
      <c r="AT264" s="164"/>
      <c r="AU264" s="164"/>
    </row>
    <row r="265" ht="10.5" customHeight="1">
      <c r="A265" s="164"/>
      <c r="B265" s="165"/>
      <c r="C265" s="165"/>
      <c r="D265" s="165"/>
      <c r="E265" s="165"/>
      <c r="F265" s="165"/>
      <c r="G265" s="165"/>
      <c r="H265" s="165"/>
      <c r="I265" s="165"/>
      <c r="J265" s="165"/>
      <c r="K265" s="165"/>
      <c r="L265" s="165"/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  <c r="AA265" s="165"/>
      <c r="AB265" s="165"/>
      <c r="AC265" s="165"/>
      <c r="AD265" s="165"/>
      <c r="AE265" s="165"/>
      <c r="AF265" s="165"/>
      <c r="AG265" s="165"/>
      <c r="AH265" s="165"/>
      <c r="AI265" s="165"/>
      <c r="AJ265" s="165"/>
      <c r="AK265" s="165"/>
      <c r="AL265" s="165"/>
      <c r="AM265" s="165"/>
      <c r="AN265" s="165"/>
      <c r="AO265" s="165"/>
      <c r="AP265" s="165"/>
      <c r="AQ265" s="165"/>
      <c r="AR265" s="164"/>
      <c r="AS265" s="164"/>
      <c r="AT265" s="164"/>
      <c r="AU265" s="164"/>
    </row>
    <row r="266" ht="10.5" customHeight="1">
      <c r="A266" s="164"/>
      <c r="B266" s="165"/>
      <c r="C266" s="165"/>
      <c r="D266" s="165"/>
      <c r="E266" s="165"/>
      <c r="F266" s="165"/>
      <c r="G266" s="165"/>
      <c r="H266" s="165"/>
      <c r="I266" s="165"/>
      <c r="J266" s="165"/>
      <c r="K266" s="165"/>
      <c r="L266" s="165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  <c r="AA266" s="165"/>
      <c r="AB266" s="165"/>
      <c r="AC266" s="165"/>
      <c r="AD266" s="165"/>
      <c r="AE266" s="165"/>
      <c r="AF266" s="165"/>
      <c r="AG266" s="165"/>
      <c r="AH266" s="165"/>
      <c r="AI266" s="165"/>
      <c r="AJ266" s="165"/>
      <c r="AK266" s="165"/>
      <c r="AL266" s="165"/>
      <c r="AM266" s="165"/>
      <c r="AN266" s="165"/>
      <c r="AO266" s="165"/>
      <c r="AP266" s="165"/>
      <c r="AQ266" s="165"/>
      <c r="AR266" s="164"/>
      <c r="AS266" s="164"/>
      <c r="AT266" s="164"/>
      <c r="AU266" s="164"/>
    </row>
    <row r="267" ht="10.5" customHeight="1">
      <c r="A267" s="164"/>
      <c r="B267" s="165"/>
      <c r="C267" s="165"/>
      <c r="D267" s="165"/>
      <c r="E267" s="165"/>
      <c r="F267" s="165"/>
      <c r="G267" s="165"/>
      <c r="H267" s="165"/>
      <c r="I267" s="165"/>
      <c r="J267" s="165"/>
      <c r="K267" s="165"/>
      <c r="L267" s="165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  <c r="AA267" s="165"/>
      <c r="AB267" s="165"/>
      <c r="AC267" s="165"/>
      <c r="AD267" s="165"/>
      <c r="AE267" s="165"/>
      <c r="AF267" s="165"/>
      <c r="AG267" s="165"/>
      <c r="AH267" s="165"/>
      <c r="AI267" s="165"/>
      <c r="AJ267" s="165"/>
      <c r="AK267" s="165"/>
      <c r="AL267" s="165"/>
      <c r="AM267" s="165"/>
      <c r="AN267" s="165"/>
      <c r="AO267" s="165"/>
      <c r="AP267" s="165"/>
      <c r="AQ267" s="165"/>
      <c r="AR267" s="164"/>
      <c r="AS267" s="164"/>
      <c r="AT267" s="164"/>
      <c r="AU267" s="164"/>
    </row>
    <row r="268" ht="10.5" customHeight="1">
      <c r="A268" s="164"/>
      <c r="B268" s="165"/>
      <c r="C268" s="165"/>
      <c r="D268" s="165"/>
      <c r="E268" s="165"/>
      <c r="F268" s="165"/>
      <c r="G268" s="165"/>
      <c r="H268" s="165"/>
      <c r="I268" s="165"/>
      <c r="J268" s="165"/>
      <c r="K268" s="165"/>
      <c r="L268" s="165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  <c r="AA268" s="165"/>
      <c r="AB268" s="165"/>
      <c r="AC268" s="165"/>
      <c r="AD268" s="165"/>
      <c r="AE268" s="165"/>
      <c r="AF268" s="165"/>
      <c r="AG268" s="165"/>
      <c r="AH268" s="165"/>
      <c r="AI268" s="165"/>
      <c r="AJ268" s="165"/>
      <c r="AK268" s="165"/>
      <c r="AL268" s="165"/>
      <c r="AM268" s="165"/>
      <c r="AN268" s="165"/>
      <c r="AO268" s="165"/>
      <c r="AP268" s="165"/>
      <c r="AQ268" s="165"/>
      <c r="AR268" s="164"/>
      <c r="AS268" s="164"/>
      <c r="AT268" s="164"/>
      <c r="AU268" s="164"/>
    </row>
    <row r="269" ht="10.5" customHeight="1">
      <c r="A269" s="164"/>
      <c r="B269" s="165"/>
      <c r="C269" s="165"/>
      <c r="D269" s="165"/>
      <c r="E269" s="165"/>
      <c r="F269" s="165"/>
      <c r="G269" s="165"/>
      <c r="H269" s="165"/>
      <c r="I269" s="165"/>
      <c r="J269" s="165"/>
      <c r="K269" s="165"/>
      <c r="L269" s="165"/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  <c r="AA269" s="165"/>
      <c r="AB269" s="165"/>
      <c r="AC269" s="165"/>
      <c r="AD269" s="165"/>
      <c r="AE269" s="165"/>
      <c r="AF269" s="165"/>
      <c r="AG269" s="165"/>
      <c r="AH269" s="165"/>
      <c r="AI269" s="165"/>
      <c r="AJ269" s="165"/>
      <c r="AK269" s="165"/>
      <c r="AL269" s="165"/>
      <c r="AM269" s="165"/>
      <c r="AN269" s="165"/>
      <c r="AO269" s="165"/>
      <c r="AP269" s="165"/>
      <c r="AQ269" s="165"/>
      <c r="AR269" s="164"/>
      <c r="AS269" s="164"/>
      <c r="AT269" s="164"/>
      <c r="AU269" s="164"/>
    </row>
    <row r="270" ht="10.5" customHeight="1">
      <c r="A270" s="164"/>
      <c r="B270" s="165"/>
      <c r="C270" s="165"/>
      <c r="D270" s="165"/>
      <c r="E270" s="165"/>
      <c r="F270" s="165"/>
      <c r="G270" s="165"/>
      <c r="H270" s="165"/>
      <c r="I270" s="165"/>
      <c r="J270" s="165"/>
      <c r="K270" s="165"/>
      <c r="L270" s="165"/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  <c r="AA270" s="165"/>
      <c r="AB270" s="165"/>
      <c r="AC270" s="165"/>
      <c r="AD270" s="165"/>
      <c r="AE270" s="165"/>
      <c r="AF270" s="165"/>
      <c r="AG270" s="165"/>
      <c r="AH270" s="165"/>
      <c r="AI270" s="165"/>
      <c r="AJ270" s="165"/>
      <c r="AK270" s="165"/>
      <c r="AL270" s="165"/>
      <c r="AM270" s="165"/>
      <c r="AN270" s="165"/>
      <c r="AO270" s="165"/>
      <c r="AP270" s="165"/>
      <c r="AQ270" s="165"/>
      <c r="AR270" s="164"/>
      <c r="AS270" s="164"/>
      <c r="AT270" s="164"/>
      <c r="AU270" s="164"/>
    </row>
    <row r="271" ht="10.5" customHeight="1">
      <c r="A271" s="164"/>
      <c r="B271" s="165"/>
      <c r="C271" s="165"/>
      <c r="D271" s="165"/>
      <c r="E271" s="165"/>
      <c r="F271" s="165"/>
      <c r="G271" s="165"/>
      <c r="H271" s="165"/>
      <c r="I271" s="165"/>
      <c r="J271" s="165"/>
      <c r="K271" s="165"/>
      <c r="L271" s="165"/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  <c r="AA271" s="165"/>
      <c r="AB271" s="165"/>
      <c r="AC271" s="165"/>
      <c r="AD271" s="165"/>
      <c r="AE271" s="165"/>
      <c r="AF271" s="165"/>
      <c r="AG271" s="165"/>
      <c r="AH271" s="165"/>
      <c r="AI271" s="165"/>
      <c r="AJ271" s="165"/>
      <c r="AK271" s="165"/>
      <c r="AL271" s="165"/>
      <c r="AM271" s="165"/>
      <c r="AN271" s="165"/>
      <c r="AO271" s="165"/>
      <c r="AP271" s="165"/>
      <c r="AQ271" s="165"/>
      <c r="AR271" s="164"/>
      <c r="AS271" s="164"/>
      <c r="AT271" s="164"/>
      <c r="AU271" s="164"/>
    </row>
    <row r="272" ht="10.5" customHeight="1">
      <c r="A272" s="164"/>
      <c r="B272" s="165"/>
      <c r="C272" s="165"/>
      <c r="D272" s="165"/>
      <c r="E272" s="165"/>
      <c r="F272" s="165"/>
      <c r="G272" s="165"/>
      <c r="H272" s="165"/>
      <c r="I272" s="165"/>
      <c r="J272" s="165"/>
      <c r="K272" s="165"/>
      <c r="L272" s="165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  <c r="AA272" s="165"/>
      <c r="AB272" s="165"/>
      <c r="AC272" s="165"/>
      <c r="AD272" s="165"/>
      <c r="AE272" s="165"/>
      <c r="AF272" s="165"/>
      <c r="AG272" s="165"/>
      <c r="AH272" s="165"/>
      <c r="AI272" s="165"/>
      <c r="AJ272" s="165"/>
      <c r="AK272" s="165"/>
      <c r="AL272" s="165"/>
      <c r="AM272" s="165"/>
      <c r="AN272" s="165"/>
      <c r="AO272" s="165"/>
      <c r="AP272" s="165"/>
      <c r="AQ272" s="165"/>
      <c r="AR272" s="164"/>
      <c r="AS272" s="164"/>
      <c r="AT272" s="164"/>
      <c r="AU272" s="164"/>
    </row>
    <row r="273" ht="10.5" customHeight="1">
      <c r="A273" s="164"/>
      <c r="B273" s="165"/>
      <c r="C273" s="165"/>
      <c r="D273" s="165"/>
      <c r="E273" s="165"/>
      <c r="F273" s="165"/>
      <c r="G273" s="165"/>
      <c r="H273" s="165"/>
      <c r="I273" s="165"/>
      <c r="J273" s="165"/>
      <c r="K273" s="165"/>
      <c r="L273" s="165"/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  <c r="AA273" s="165"/>
      <c r="AB273" s="165"/>
      <c r="AC273" s="165"/>
      <c r="AD273" s="165"/>
      <c r="AE273" s="165"/>
      <c r="AF273" s="165"/>
      <c r="AG273" s="165"/>
      <c r="AH273" s="165"/>
      <c r="AI273" s="165"/>
      <c r="AJ273" s="165"/>
      <c r="AK273" s="165"/>
      <c r="AL273" s="165"/>
      <c r="AM273" s="165"/>
      <c r="AN273" s="165"/>
      <c r="AO273" s="165"/>
      <c r="AP273" s="165"/>
      <c r="AQ273" s="165"/>
      <c r="AR273" s="164"/>
      <c r="AS273" s="164"/>
      <c r="AT273" s="164"/>
      <c r="AU273" s="164"/>
    </row>
    <row r="274" ht="10.5" customHeight="1">
      <c r="A274" s="164"/>
      <c r="B274" s="165"/>
      <c r="C274" s="165"/>
      <c r="D274" s="165"/>
      <c r="E274" s="165"/>
      <c r="F274" s="165"/>
      <c r="G274" s="165"/>
      <c r="H274" s="165"/>
      <c r="I274" s="165"/>
      <c r="J274" s="165"/>
      <c r="K274" s="165"/>
      <c r="L274" s="165"/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  <c r="AA274" s="165"/>
      <c r="AB274" s="165"/>
      <c r="AC274" s="165"/>
      <c r="AD274" s="165"/>
      <c r="AE274" s="165"/>
      <c r="AF274" s="165"/>
      <c r="AG274" s="165"/>
      <c r="AH274" s="165"/>
      <c r="AI274" s="165"/>
      <c r="AJ274" s="165"/>
      <c r="AK274" s="165"/>
      <c r="AL274" s="165"/>
      <c r="AM274" s="165"/>
      <c r="AN274" s="165"/>
      <c r="AO274" s="165"/>
      <c r="AP274" s="165"/>
      <c r="AQ274" s="165"/>
      <c r="AR274" s="164"/>
      <c r="AS274" s="164"/>
      <c r="AT274" s="164"/>
      <c r="AU274" s="164"/>
    </row>
    <row r="275" ht="10.5" customHeight="1">
      <c r="A275" s="164"/>
      <c r="B275" s="165"/>
      <c r="C275" s="165"/>
      <c r="D275" s="165"/>
      <c r="E275" s="165"/>
      <c r="F275" s="165"/>
      <c r="G275" s="165"/>
      <c r="H275" s="165"/>
      <c r="I275" s="165"/>
      <c r="J275" s="165"/>
      <c r="K275" s="165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  <c r="AA275" s="165"/>
      <c r="AB275" s="165"/>
      <c r="AC275" s="165"/>
      <c r="AD275" s="165"/>
      <c r="AE275" s="165"/>
      <c r="AF275" s="165"/>
      <c r="AG275" s="165"/>
      <c r="AH275" s="165"/>
      <c r="AI275" s="165"/>
      <c r="AJ275" s="165"/>
      <c r="AK275" s="165"/>
      <c r="AL275" s="165"/>
      <c r="AM275" s="165"/>
      <c r="AN275" s="165"/>
      <c r="AO275" s="165"/>
      <c r="AP275" s="165"/>
      <c r="AQ275" s="165"/>
      <c r="AR275" s="164"/>
      <c r="AS275" s="164"/>
      <c r="AT275" s="164"/>
      <c r="AU275" s="164"/>
    </row>
    <row r="276" ht="10.5" customHeight="1">
      <c r="A276" s="164"/>
      <c r="B276" s="165"/>
      <c r="C276" s="165"/>
      <c r="D276" s="165"/>
      <c r="E276" s="165"/>
      <c r="F276" s="165"/>
      <c r="G276" s="165"/>
      <c r="H276" s="165"/>
      <c r="I276" s="165"/>
      <c r="J276" s="165"/>
      <c r="K276" s="165"/>
      <c r="L276" s="165"/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  <c r="AA276" s="165"/>
      <c r="AB276" s="165"/>
      <c r="AC276" s="165"/>
      <c r="AD276" s="165"/>
      <c r="AE276" s="165"/>
      <c r="AF276" s="165"/>
      <c r="AG276" s="165"/>
      <c r="AH276" s="165"/>
      <c r="AI276" s="165"/>
      <c r="AJ276" s="165"/>
      <c r="AK276" s="165"/>
      <c r="AL276" s="165"/>
      <c r="AM276" s="165"/>
      <c r="AN276" s="165"/>
      <c r="AO276" s="165"/>
      <c r="AP276" s="165"/>
      <c r="AQ276" s="165"/>
      <c r="AR276" s="164"/>
      <c r="AS276" s="164"/>
      <c r="AT276" s="164"/>
      <c r="AU276" s="164"/>
    </row>
    <row r="277" ht="10.5" customHeight="1">
      <c r="A277" s="164"/>
      <c r="B277" s="165"/>
      <c r="C277" s="165"/>
      <c r="D277" s="165"/>
      <c r="E277" s="165"/>
      <c r="F277" s="165"/>
      <c r="G277" s="165"/>
      <c r="H277" s="165"/>
      <c r="I277" s="165"/>
      <c r="J277" s="165"/>
      <c r="K277" s="165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  <c r="AA277" s="165"/>
      <c r="AB277" s="165"/>
      <c r="AC277" s="165"/>
      <c r="AD277" s="165"/>
      <c r="AE277" s="165"/>
      <c r="AF277" s="165"/>
      <c r="AG277" s="165"/>
      <c r="AH277" s="165"/>
      <c r="AI277" s="165"/>
      <c r="AJ277" s="165"/>
      <c r="AK277" s="165"/>
      <c r="AL277" s="165"/>
      <c r="AM277" s="165"/>
      <c r="AN277" s="165"/>
      <c r="AO277" s="165"/>
      <c r="AP277" s="165"/>
      <c r="AQ277" s="165"/>
      <c r="AR277" s="164"/>
      <c r="AS277" s="164"/>
      <c r="AT277" s="164"/>
      <c r="AU277" s="164"/>
    </row>
    <row r="278" ht="10.5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5"/>
      <c r="AH278" s="165"/>
      <c r="AI278" s="165"/>
      <c r="AJ278" s="165"/>
      <c r="AK278" s="165"/>
      <c r="AL278" s="165"/>
      <c r="AM278" s="165"/>
      <c r="AN278" s="165"/>
      <c r="AO278" s="165"/>
      <c r="AP278" s="165"/>
      <c r="AQ278" s="165"/>
      <c r="AR278" s="164"/>
      <c r="AS278" s="164"/>
      <c r="AT278" s="164"/>
      <c r="AU278" s="164"/>
    </row>
    <row r="279" ht="10.5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5"/>
      <c r="AH279" s="165"/>
      <c r="AI279" s="165"/>
      <c r="AJ279" s="165"/>
      <c r="AK279" s="165"/>
      <c r="AL279" s="165"/>
      <c r="AM279" s="165"/>
      <c r="AN279" s="165"/>
      <c r="AO279" s="165"/>
      <c r="AP279" s="165"/>
      <c r="AQ279" s="165"/>
      <c r="AR279" s="164"/>
      <c r="AS279" s="164"/>
      <c r="AT279" s="164"/>
      <c r="AU279" s="164"/>
    </row>
    <row r="280" ht="10.5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5"/>
      <c r="AH280" s="165"/>
      <c r="AI280" s="165"/>
      <c r="AJ280" s="165"/>
      <c r="AK280" s="165"/>
      <c r="AL280" s="165"/>
      <c r="AM280" s="165"/>
      <c r="AN280" s="165"/>
      <c r="AO280" s="165"/>
      <c r="AP280" s="165"/>
      <c r="AQ280" s="165"/>
      <c r="AR280" s="164"/>
      <c r="AS280" s="164"/>
      <c r="AT280" s="164"/>
      <c r="AU280" s="164"/>
    </row>
    <row r="281" ht="10.5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5"/>
      <c r="AH281" s="165"/>
      <c r="AI281" s="165"/>
      <c r="AJ281" s="165"/>
      <c r="AK281" s="165"/>
      <c r="AL281" s="165"/>
      <c r="AM281" s="165"/>
      <c r="AN281" s="165"/>
      <c r="AO281" s="165"/>
      <c r="AP281" s="165"/>
      <c r="AQ281" s="165"/>
      <c r="AR281" s="164"/>
      <c r="AS281" s="164"/>
      <c r="AT281" s="164"/>
      <c r="AU281" s="164"/>
    </row>
    <row r="282" ht="10.5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65"/>
      <c r="K282" s="165"/>
      <c r="L282" s="165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5"/>
      <c r="AH282" s="165"/>
      <c r="AI282" s="165"/>
      <c r="AJ282" s="165"/>
      <c r="AK282" s="165"/>
      <c r="AL282" s="165"/>
      <c r="AM282" s="165"/>
      <c r="AN282" s="165"/>
      <c r="AO282" s="165"/>
      <c r="AP282" s="165"/>
      <c r="AQ282" s="165"/>
      <c r="AR282" s="164"/>
      <c r="AS282" s="164"/>
      <c r="AT282" s="164"/>
      <c r="AU282" s="164"/>
    </row>
    <row r="283" ht="10.5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65"/>
      <c r="K283" s="165"/>
      <c r="L283" s="165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5"/>
      <c r="AH283" s="165"/>
      <c r="AI283" s="165"/>
      <c r="AJ283" s="165"/>
      <c r="AK283" s="165"/>
      <c r="AL283" s="165"/>
      <c r="AM283" s="165"/>
      <c r="AN283" s="165"/>
      <c r="AO283" s="165"/>
      <c r="AP283" s="165"/>
      <c r="AQ283" s="165"/>
      <c r="AR283" s="164"/>
      <c r="AS283" s="164"/>
      <c r="AT283" s="164"/>
      <c r="AU283" s="164"/>
    </row>
    <row r="284" ht="10.5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65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5"/>
      <c r="AH284" s="165"/>
      <c r="AI284" s="165"/>
      <c r="AJ284" s="165"/>
      <c r="AK284" s="165"/>
      <c r="AL284" s="165"/>
      <c r="AM284" s="165"/>
      <c r="AN284" s="165"/>
      <c r="AO284" s="165"/>
      <c r="AP284" s="165"/>
      <c r="AQ284" s="165"/>
      <c r="AR284" s="164"/>
      <c r="AS284" s="164"/>
      <c r="AT284" s="164"/>
      <c r="AU284" s="164"/>
    </row>
    <row r="285" ht="10.5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65"/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5"/>
      <c r="AH285" s="165"/>
      <c r="AI285" s="165"/>
      <c r="AJ285" s="165"/>
      <c r="AK285" s="165"/>
      <c r="AL285" s="165"/>
      <c r="AM285" s="165"/>
      <c r="AN285" s="165"/>
      <c r="AO285" s="165"/>
      <c r="AP285" s="165"/>
      <c r="AQ285" s="165"/>
      <c r="AR285" s="164"/>
      <c r="AS285" s="164"/>
      <c r="AT285" s="164"/>
      <c r="AU285" s="164"/>
    </row>
    <row r="286" ht="10.5" customHeight="1">
      <c r="A286" s="164"/>
      <c r="B286" s="165"/>
      <c r="C286" s="165"/>
      <c r="D286" s="165"/>
      <c r="E286" s="165"/>
      <c r="F286" s="165"/>
      <c r="G286" s="165"/>
      <c r="H286" s="165"/>
      <c r="I286" s="165"/>
      <c r="J286" s="165"/>
      <c r="K286" s="165"/>
      <c r="L286" s="165"/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  <c r="AA286" s="165"/>
      <c r="AB286" s="165"/>
      <c r="AC286" s="165"/>
      <c r="AD286" s="165"/>
      <c r="AE286" s="165"/>
      <c r="AF286" s="165"/>
      <c r="AG286" s="165"/>
      <c r="AH286" s="165"/>
      <c r="AI286" s="165"/>
      <c r="AJ286" s="165"/>
      <c r="AK286" s="165"/>
      <c r="AL286" s="165"/>
      <c r="AM286" s="165"/>
      <c r="AN286" s="165"/>
      <c r="AO286" s="165"/>
      <c r="AP286" s="165"/>
      <c r="AQ286" s="165"/>
      <c r="AR286" s="164"/>
      <c r="AS286" s="164"/>
      <c r="AT286" s="164"/>
      <c r="AU286" s="164"/>
    </row>
    <row r="287" ht="10.5" customHeight="1">
      <c r="A287" s="164"/>
      <c r="B287" s="165"/>
      <c r="C287" s="165"/>
      <c r="D287" s="165"/>
      <c r="E287" s="165"/>
      <c r="F287" s="165"/>
      <c r="G287" s="165"/>
      <c r="H287" s="165"/>
      <c r="I287" s="165"/>
      <c r="J287" s="165"/>
      <c r="K287" s="165"/>
      <c r="L287" s="165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  <c r="AA287" s="165"/>
      <c r="AB287" s="165"/>
      <c r="AC287" s="165"/>
      <c r="AD287" s="165"/>
      <c r="AE287" s="165"/>
      <c r="AF287" s="165"/>
      <c r="AG287" s="165"/>
      <c r="AH287" s="165"/>
      <c r="AI287" s="165"/>
      <c r="AJ287" s="165"/>
      <c r="AK287" s="165"/>
      <c r="AL287" s="165"/>
      <c r="AM287" s="165"/>
      <c r="AN287" s="165"/>
      <c r="AO287" s="165"/>
      <c r="AP287" s="165"/>
      <c r="AQ287" s="165"/>
      <c r="AR287" s="164"/>
      <c r="AS287" s="164"/>
      <c r="AT287" s="164"/>
      <c r="AU287" s="164"/>
    </row>
    <row r="288" ht="10.5" customHeight="1">
      <c r="A288" s="164"/>
      <c r="B288" s="165"/>
      <c r="C288" s="165"/>
      <c r="D288" s="165"/>
      <c r="E288" s="165"/>
      <c r="F288" s="165"/>
      <c r="G288" s="165"/>
      <c r="H288" s="165"/>
      <c r="I288" s="165"/>
      <c r="J288" s="165"/>
      <c r="K288" s="165"/>
      <c r="L288" s="165"/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  <c r="AA288" s="165"/>
      <c r="AB288" s="165"/>
      <c r="AC288" s="165"/>
      <c r="AD288" s="165"/>
      <c r="AE288" s="165"/>
      <c r="AF288" s="165"/>
      <c r="AG288" s="165"/>
      <c r="AH288" s="165"/>
      <c r="AI288" s="165"/>
      <c r="AJ288" s="165"/>
      <c r="AK288" s="165"/>
      <c r="AL288" s="165"/>
      <c r="AM288" s="165"/>
      <c r="AN288" s="165"/>
      <c r="AO288" s="165"/>
      <c r="AP288" s="165"/>
      <c r="AQ288" s="165"/>
      <c r="AR288" s="164"/>
      <c r="AS288" s="164"/>
      <c r="AT288" s="164"/>
      <c r="AU288" s="164"/>
    </row>
    <row r="289" ht="10.5" customHeight="1">
      <c r="A289" s="164"/>
      <c r="B289" s="165"/>
      <c r="C289" s="165"/>
      <c r="D289" s="165"/>
      <c r="E289" s="165"/>
      <c r="F289" s="165"/>
      <c r="G289" s="165"/>
      <c r="H289" s="165"/>
      <c r="I289" s="165"/>
      <c r="J289" s="165"/>
      <c r="K289" s="165"/>
      <c r="L289" s="165"/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  <c r="AA289" s="165"/>
      <c r="AB289" s="165"/>
      <c r="AC289" s="165"/>
      <c r="AD289" s="165"/>
      <c r="AE289" s="165"/>
      <c r="AF289" s="165"/>
      <c r="AG289" s="165"/>
      <c r="AH289" s="165"/>
      <c r="AI289" s="165"/>
      <c r="AJ289" s="165"/>
      <c r="AK289" s="165"/>
      <c r="AL289" s="165"/>
      <c r="AM289" s="165"/>
      <c r="AN289" s="165"/>
      <c r="AO289" s="165"/>
      <c r="AP289" s="165"/>
      <c r="AQ289" s="165"/>
      <c r="AR289" s="164"/>
      <c r="AS289" s="164"/>
      <c r="AT289" s="164"/>
      <c r="AU289" s="164"/>
    </row>
    <row r="290" ht="10.5" customHeight="1">
      <c r="A290" s="164"/>
      <c r="B290" s="165"/>
      <c r="C290" s="165"/>
      <c r="D290" s="165"/>
      <c r="E290" s="165"/>
      <c r="F290" s="165"/>
      <c r="G290" s="165"/>
      <c r="H290" s="165"/>
      <c r="I290" s="165"/>
      <c r="J290" s="165"/>
      <c r="K290" s="165"/>
      <c r="L290" s="165"/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  <c r="AA290" s="165"/>
      <c r="AB290" s="165"/>
      <c r="AC290" s="165"/>
      <c r="AD290" s="165"/>
      <c r="AE290" s="165"/>
      <c r="AF290" s="165"/>
      <c r="AG290" s="165"/>
      <c r="AH290" s="165"/>
      <c r="AI290" s="165"/>
      <c r="AJ290" s="165"/>
      <c r="AK290" s="165"/>
      <c r="AL290" s="165"/>
      <c r="AM290" s="165"/>
      <c r="AN290" s="165"/>
      <c r="AO290" s="165"/>
      <c r="AP290" s="165"/>
      <c r="AQ290" s="165"/>
      <c r="AR290" s="164"/>
      <c r="AS290" s="164"/>
      <c r="AT290" s="164"/>
      <c r="AU290" s="164"/>
    </row>
    <row r="291" ht="10.5" customHeight="1">
      <c r="A291" s="164"/>
      <c r="B291" s="165"/>
      <c r="C291" s="165"/>
      <c r="D291" s="165"/>
      <c r="E291" s="165"/>
      <c r="F291" s="165"/>
      <c r="G291" s="165"/>
      <c r="H291" s="165"/>
      <c r="I291" s="165"/>
      <c r="J291" s="165"/>
      <c r="K291" s="165"/>
      <c r="L291" s="165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  <c r="AA291" s="165"/>
      <c r="AB291" s="165"/>
      <c r="AC291" s="165"/>
      <c r="AD291" s="165"/>
      <c r="AE291" s="165"/>
      <c r="AF291" s="165"/>
      <c r="AG291" s="165"/>
      <c r="AH291" s="165"/>
      <c r="AI291" s="165"/>
      <c r="AJ291" s="165"/>
      <c r="AK291" s="165"/>
      <c r="AL291" s="165"/>
      <c r="AM291" s="165"/>
      <c r="AN291" s="165"/>
      <c r="AO291" s="165"/>
      <c r="AP291" s="165"/>
      <c r="AQ291" s="165"/>
      <c r="AR291" s="164"/>
      <c r="AS291" s="164"/>
      <c r="AT291" s="164"/>
      <c r="AU291" s="164"/>
    </row>
    <row r="292" ht="10.5" customHeight="1">
      <c r="A292" s="164"/>
      <c r="B292" s="165"/>
      <c r="C292" s="165"/>
      <c r="D292" s="165"/>
      <c r="E292" s="165"/>
      <c r="F292" s="165"/>
      <c r="G292" s="165"/>
      <c r="H292" s="165"/>
      <c r="I292" s="165"/>
      <c r="J292" s="165"/>
      <c r="K292" s="165"/>
      <c r="L292" s="165"/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  <c r="AA292" s="165"/>
      <c r="AB292" s="165"/>
      <c r="AC292" s="165"/>
      <c r="AD292" s="165"/>
      <c r="AE292" s="165"/>
      <c r="AF292" s="165"/>
      <c r="AG292" s="165"/>
      <c r="AH292" s="165"/>
      <c r="AI292" s="165"/>
      <c r="AJ292" s="165"/>
      <c r="AK292" s="165"/>
      <c r="AL292" s="165"/>
      <c r="AM292" s="165"/>
      <c r="AN292" s="165"/>
      <c r="AO292" s="165"/>
      <c r="AP292" s="165"/>
      <c r="AQ292" s="165"/>
      <c r="AR292" s="164"/>
      <c r="AS292" s="164"/>
      <c r="AT292" s="164"/>
      <c r="AU292" s="164"/>
    </row>
    <row r="293" ht="10.5" customHeight="1">
      <c r="A293" s="164"/>
      <c r="B293" s="165"/>
      <c r="C293" s="165"/>
      <c r="D293" s="165"/>
      <c r="E293" s="165"/>
      <c r="F293" s="165"/>
      <c r="G293" s="165"/>
      <c r="H293" s="165"/>
      <c r="I293" s="165"/>
      <c r="J293" s="165"/>
      <c r="K293" s="165"/>
      <c r="L293" s="165"/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  <c r="AA293" s="165"/>
      <c r="AB293" s="165"/>
      <c r="AC293" s="165"/>
      <c r="AD293" s="165"/>
      <c r="AE293" s="165"/>
      <c r="AF293" s="165"/>
      <c r="AG293" s="165"/>
      <c r="AH293" s="165"/>
      <c r="AI293" s="165"/>
      <c r="AJ293" s="165"/>
      <c r="AK293" s="165"/>
      <c r="AL293" s="165"/>
      <c r="AM293" s="165"/>
      <c r="AN293" s="165"/>
      <c r="AO293" s="165"/>
      <c r="AP293" s="165"/>
      <c r="AQ293" s="165"/>
      <c r="AR293" s="164"/>
      <c r="AS293" s="164"/>
      <c r="AT293" s="164"/>
      <c r="AU293" s="164"/>
    </row>
    <row r="294" ht="10.5" customHeight="1">
      <c r="A294" s="164"/>
      <c r="B294" s="165"/>
      <c r="C294" s="165"/>
      <c r="D294" s="165"/>
      <c r="E294" s="165"/>
      <c r="F294" s="165"/>
      <c r="G294" s="165"/>
      <c r="H294" s="165"/>
      <c r="I294" s="165"/>
      <c r="J294" s="165"/>
      <c r="K294" s="165"/>
      <c r="L294" s="165"/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  <c r="AA294" s="165"/>
      <c r="AB294" s="165"/>
      <c r="AC294" s="165"/>
      <c r="AD294" s="165"/>
      <c r="AE294" s="165"/>
      <c r="AF294" s="165"/>
      <c r="AG294" s="165"/>
      <c r="AH294" s="165"/>
      <c r="AI294" s="165"/>
      <c r="AJ294" s="165"/>
      <c r="AK294" s="165"/>
      <c r="AL294" s="165"/>
      <c r="AM294" s="165"/>
      <c r="AN294" s="165"/>
      <c r="AO294" s="165"/>
      <c r="AP294" s="165"/>
      <c r="AQ294" s="165"/>
      <c r="AR294" s="164"/>
      <c r="AS294" s="164"/>
      <c r="AT294" s="164"/>
      <c r="AU294" s="164"/>
    </row>
    <row r="295" ht="10.5" customHeight="1">
      <c r="A295" s="164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  <c r="AA295" s="165"/>
      <c r="AB295" s="165"/>
      <c r="AC295" s="165"/>
      <c r="AD295" s="165"/>
      <c r="AE295" s="165"/>
      <c r="AF295" s="165"/>
      <c r="AG295" s="165"/>
      <c r="AH295" s="165"/>
      <c r="AI295" s="165"/>
      <c r="AJ295" s="165"/>
      <c r="AK295" s="165"/>
      <c r="AL295" s="165"/>
      <c r="AM295" s="165"/>
      <c r="AN295" s="165"/>
      <c r="AO295" s="165"/>
      <c r="AP295" s="165"/>
      <c r="AQ295" s="165"/>
      <c r="AR295" s="164"/>
      <c r="AS295" s="164"/>
      <c r="AT295" s="164"/>
      <c r="AU295" s="164"/>
    </row>
    <row r="296" ht="10.5" customHeight="1">
      <c r="A296" s="164"/>
      <c r="B296" s="165"/>
      <c r="C296" s="165"/>
      <c r="D296" s="165"/>
      <c r="E296" s="165"/>
      <c r="F296" s="165"/>
      <c r="G296" s="165"/>
      <c r="H296" s="165"/>
      <c r="I296" s="165"/>
      <c r="J296" s="165"/>
      <c r="K296" s="165"/>
      <c r="L296" s="165"/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  <c r="AA296" s="165"/>
      <c r="AB296" s="165"/>
      <c r="AC296" s="165"/>
      <c r="AD296" s="165"/>
      <c r="AE296" s="165"/>
      <c r="AF296" s="165"/>
      <c r="AG296" s="165"/>
      <c r="AH296" s="165"/>
      <c r="AI296" s="165"/>
      <c r="AJ296" s="165"/>
      <c r="AK296" s="165"/>
      <c r="AL296" s="165"/>
      <c r="AM296" s="165"/>
      <c r="AN296" s="165"/>
      <c r="AO296" s="165"/>
      <c r="AP296" s="165"/>
      <c r="AQ296" s="165"/>
      <c r="AR296" s="164"/>
      <c r="AS296" s="164"/>
      <c r="AT296" s="164"/>
      <c r="AU296" s="164"/>
    </row>
    <row r="297" ht="10.5" customHeight="1">
      <c r="A297" s="164"/>
      <c r="B297" s="165"/>
      <c r="C297" s="165"/>
      <c r="D297" s="165"/>
      <c r="E297" s="165"/>
      <c r="F297" s="165"/>
      <c r="G297" s="165"/>
      <c r="H297" s="165"/>
      <c r="I297" s="165"/>
      <c r="J297" s="165"/>
      <c r="K297" s="165"/>
      <c r="L297" s="165"/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  <c r="AA297" s="165"/>
      <c r="AB297" s="165"/>
      <c r="AC297" s="165"/>
      <c r="AD297" s="165"/>
      <c r="AE297" s="165"/>
      <c r="AF297" s="165"/>
      <c r="AG297" s="165"/>
      <c r="AH297" s="165"/>
      <c r="AI297" s="165"/>
      <c r="AJ297" s="165"/>
      <c r="AK297" s="165"/>
      <c r="AL297" s="165"/>
      <c r="AM297" s="165"/>
      <c r="AN297" s="165"/>
      <c r="AO297" s="165"/>
      <c r="AP297" s="165"/>
      <c r="AQ297" s="165"/>
      <c r="AR297" s="164"/>
      <c r="AS297" s="164"/>
      <c r="AT297" s="164"/>
      <c r="AU297" s="164"/>
    </row>
    <row r="298" ht="10.5" customHeight="1">
      <c r="A298" s="164"/>
      <c r="B298" s="165"/>
      <c r="C298" s="165"/>
      <c r="D298" s="165"/>
      <c r="E298" s="165"/>
      <c r="F298" s="165"/>
      <c r="G298" s="165"/>
      <c r="H298" s="165"/>
      <c r="I298" s="165"/>
      <c r="J298" s="165"/>
      <c r="K298" s="165"/>
      <c r="L298" s="165"/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  <c r="AA298" s="165"/>
      <c r="AB298" s="165"/>
      <c r="AC298" s="165"/>
      <c r="AD298" s="165"/>
      <c r="AE298" s="165"/>
      <c r="AF298" s="165"/>
      <c r="AG298" s="165"/>
      <c r="AH298" s="165"/>
      <c r="AI298" s="165"/>
      <c r="AJ298" s="165"/>
      <c r="AK298" s="165"/>
      <c r="AL298" s="165"/>
      <c r="AM298" s="165"/>
      <c r="AN298" s="165"/>
      <c r="AO298" s="165"/>
      <c r="AP298" s="165"/>
      <c r="AQ298" s="165"/>
      <c r="AR298" s="164"/>
      <c r="AS298" s="164"/>
      <c r="AT298" s="164"/>
      <c r="AU298" s="164"/>
    </row>
    <row r="299" ht="10.5" customHeight="1">
      <c r="A299" s="164"/>
      <c r="B299" s="165"/>
      <c r="C299" s="165"/>
      <c r="D299" s="165"/>
      <c r="E299" s="165"/>
      <c r="F299" s="165"/>
      <c r="G299" s="165"/>
      <c r="H299" s="165"/>
      <c r="I299" s="165"/>
      <c r="J299" s="165"/>
      <c r="K299" s="165"/>
      <c r="L299" s="165"/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  <c r="AA299" s="165"/>
      <c r="AB299" s="165"/>
      <c r="AC299" s="165"/>
      <c r="AD299" s="165"/>
      <c r="AE299" s="165"/>
      <c r="AF299" s="165"/>
      <c r="AG299" s="165"/>
      <c r="AH299" s="165"/>
      <c r="AI299" s="165"/>
      <c r="AJ299" s="165"/>
      <c r="AK299" s="165"/>
      <c r="AL299" s="165"/>
      <c r="AM299" s="165"/>
      <c r="AN299" s="165"/>
      <c r="AO299" s="165"/>
      <c r="AP299" s="165"/>
      <c r="AQ299" s="165"/>
      <c r="AR299" s="164"/>
      <c r="AS299" s="164"/>
      <c r="AT299" s="164"/>
      <c r="AU299" s="164"/>
    </row>
    <row r="300" ht="10.5" customHeight="1">
      <c r="A300" s="164"/>
      <c r="B300" s="165"/>
      <c r="C300" s="165"/>
      <c r="D300" s="165"/>
      <c r="E300" s="165"/>
      <c r="F300" s="165"/>
      <c r="G300" s="165"/>
      <c r="H300" s="165"/>
      <c r="I300" s="165"/>
      <c r="J300" s="165"/>
      <c r="K300" s="165"/>
      <c r="L300" s="165"/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  <c r="AA300" s="165"/>
      <c r="AB300" s="165"/>
      <c r="AC300" s="165"/>
      <c r="AD300" s="165"/>
      <c r="AE300" s="165"/>
      <c r="AF300" s="165"/>
      <c r="AG300" s="165"/>
      <c r="AH300" s="165"/>
      <c r="AI300" s="165"/>
      <c r="AJ300" s="165"/>
      <c r="AK300" s="165"/>
      <c r="AL300" s="165"/>
      <c r="AM300" s="165"/>
      <c r="AN300" s="165"/>
      <c r="AO300" s="165"/>
      <c r="AP300" s="165"/>
      <c r="AQ300" s="165"/>
      <c r="AR300" s="164"/>
      <c r="AS300" s="164"/>
      <c r="AT300" s="164"/>
      <c r="AU300" s="164"/>
    </row>
    <row r="301" ht="10.5" customHeight="1">
      <c r="A301" s="164"/>
      <c r="B301" s="165"/>
      <c r="C301" s="165"/>
      <c r="D301" s="165"/>
      <c r="E301" s="165"/>
      <c r="F301" s="165"/>
      <c r="G301" s="165"/>
      <c r="H301" s="165"/>
      <c r="I301" s="165"/>
      <c r="J301" s="165"/>
      <c r="K301" s="165"/>
      <c r="L301" s="165"/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  <c r="AA301" s="165"/>
      <c r="AB301" s="165"/>
      <c r="AC301" s="165"/>
      <c r="AD301" s="165"/>
      <c r="AE301" s="165"/>
      <c r="AF301" s="165"/>
      <c r="AG301" s="165"/>
      <c r="AH301" s="165"/>
      <c r="AI301" s="165"/>
      <c r="AJ301" s="165"/>
      <c r="AK301" s="165"/>
      <c r="AL301" s="165"/>
      <c r="AM301" s="165"/>
      <c r="AN301" s="165"/>
      <c r="AO301" s="165"/>
      <c r="AP301" s="165"/>
      <c r="AQ301" s="165"/>
      <c r="AR301" s="164"/>
      <c r="AS301" s="164"/>
      <c r="AT301" s="164"/>
      <c r="AU301" s="164"/>
    </row>
    <row r="302" ht="10.5" customHeight="1">
      <c r="A302" s="164"/>
      <c r="B302" s="165"/>
      <c r="C302" s="165"/>
      <c r="D302" s="165"/>
      <c r="E302" s="165"/>
      <c r="F302" s="165"/>
      <c r="G302" s="165"/>
      <c r="H302" s="165"/>
      <c r="I302" s="165"/>
      <c r="J302" s="165"/>
      <c r="K302" s="165"/>
      <c r="L302" s="165"/>
      <c r="M302" s="165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  <c r="AA302" s="165"/>
      <c r="AB302" s="165"/>
      <c r="AC302" s="165"/>
      <c r="AD302" s="165"/>
      <c r="AE302" s="165"/>
      <c r="AF302" s="165"/>
      <c r="AG302" s="165"/>
      <c r="AH302" s="165"/>
      <c r="AI302" s="165"/>
      <c r="AJ302" s="165"/>
      <c r="AK302" s="165"/>
      <c r="AL302" s="165"/>
      <c r="AM302" s="165"/>
      <c r="AN302" s="165"/>
      <c r="AO302" s="165"/>
      <c r="AP302" s="165"/>
      <c r="AQ302" s="165"/>
      <c r="AR302" s="164"/>
      <c r="AS302" s="164"/>
      <c r="AT302" s="164"/>
      <c r="AU302" s="164"/>
    </row>
    <row r="303" ht="10.5" customHeight="1">
      <c r="A303" s="164"/>
      <c r="B303" s="165"/>
      <c r="C303" s="165"/>
      <c r="D303" s="165"/>
      <c r="E303" s="165"/>
      <c r="F303" s="165"/>
      <c r="G303" s="165"/>
      <c r="H303" s="165"/>
      <c r="I303" s="165"/>
      <c r="J303" s="165"/>
      <c r="K303" s="165"/>
      <c r="L303" s="165"/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  <c r="AA303" s="165"/>
      <c r="AB303" s="165"/>
      <c r="AC303" s="165"/>
      <c r="AD303" s="165"/>
      <c r="AE303" s="165"/>
      <c r="AF303" s="165"/>
      <c r="AG303" s="165"/>
      <c r="AH303" s="165"/>
      <c r="AI303" s="165"/>
      <c r="AJ303" s="165"/>
      <c r="AK303" s="165"/>
      <c r="AL303" s="165"/>
      <c r="AM303" s="165"/>
      <c r="AN303" s="165"/>
      <c r="AO303" s="165"/>
      <c r="AP303" s="165"/>
      <c r="AQ303" s="165"/>
      <c r="AR303" s="164"/>
      <c r="AS303" s="164"/>
      <c r="AT303" s="164"/>
      <c r="AU303" s="164"/>
    </row>
    <row r="304" ht="10.5" customHeight="1">
      <c r="A304" s="164"/>
      <c r="B304" s="165"/>
      <c r="C304" s="165"/>
      <c r="D304" s="165"/>
      <c r="E304" s="165"/>
      <c r="F304" s="165"/>
      <c r="G304" s="165"/>
      <c r="H304" s="165"/>
      <c r="I304" s="165"/>
      <c r="J304" s="165"/>
      <c r="K304" s="165"/>
      <c r="L304" s="165"/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  <c r="AA304" s="165"/>
      <c r="AB304" s="165"/>
      <c r="AC304" s="165"/>
      <c r="AD304" s="165"/>
      <c r="AE304" s="165"/>
      <c r="AF304" s="165"/>
      <c r="AG304" s="165"/>
      <c r="AH304" s="165"/>
      <c r="AI304" s="165"/>
      <c r="AJ304" s="165"/>
      <c r="AK304" s="165"/>
      <c r="AL304" s="165"/>
      <c r="AM304" s="165"/>
      <c r="AN304" s="165"/>
      <c r="AO304" s="165"/>
      <c r="AP304" s="165"/>
      <c r="AQ304" s="165"/>
      <c r="AR304" s="164"/>
      <c r="AS304" s="164"/>
      <c r="AT304" s="164"/>
      <c r="AU304" s="164"/>
    </row>
    <row r="305" ht="10.5" customHeight="1">
      <c r="A305" s="164"/>
      <c r="B305" s="165"/>
      <c r="C305" s="165"/>
      <c r="D305" s="165"/>
      <c r="E305" s="165"/>
      <c r="F305" s="165"/>
      <c r="G305" s="165"/>
      <c r="H305" s="165"/>
      <c r="I305" s="165"/>
      <c r="J305" s="165"/>
      <c r="K305" s="165"/>
      <c r="L305" s="165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  <c r="AA305" s="165"/>
      <c r="AB305" s="165"/>
      <c r="AC305" s="165"/>
      <c r="AD305" s="165"/>
      <c r="AE305" s="165"/>
      <c r="AF305" s="165"/>
      <c r="AG305" s="165"/>
      <c r="AH305" s="165"/>
      <c r="AI305" s="165"/>
      <c r="AJ305" s="165"/>
      <c r="AK305" s="165"/>
      <c r="AL305" s="165"/>
      <c r="AM305" s="165"/>
      <c r="AN305" s="165"/>
      <c r="AO305" s="165"/>
      <c r="AP305" s="165"/>
      <c r="AQ305" s="165"/>
      <c r="AR305" s="164"/>
      <c r="AS305" s="164"/>
      <c r="AT305" s="164"/>
      <c r="AU305" s="164"/>
    </row>
    <row r="306" ht="10.5" customHeight="1">
      <c r="A306" s="164"/>
      <c r="B306" s="165"/>
      <c r="C306" s="165"/>
      <c r="D306" s="165"/>
      <c r="E306" s="165"/>
      <c r="F306" s="165"/>
      <c r="G306" s="165"/>
      <c r="H306" s="165"/>
      <c r="I306" s="165"/>
      <c r="J306" s="165"/>
      <c r="K306" s="165"/>
      <c r="L306" s="165"/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  <c r="AA306" s="165"/>
      <c r="AB306" s="165"/>
      <c r="AC306" s="165"/>
      <c r="AD306" s="165"/>
      <c r="AE306" s="165"/>
      <c r="AF306" s="165"/>
      <c r="AG306" s="165"/>
      <c r="AH306" s="165"/>
      <c r="AI306" s="165"/>
      <c r="AJ306" s="165"/>
      <c r="AK306" s="165"/>
      <c r="AL306" s="165"/>
      <c r="AM306" s="165"/>
      <c r="AN306" s="165"/>
      <c r="AO306" s="165"/>
      <c r="AP306" s="165"/>
      <c r="AQ306" s="165"/>
      <c r="AR306" s="164"/>
      <c r="AS306" s="164"/>
      <c r="AT306" s="164"/>
      <c r="AU306" s="164"/>
    </row>
    <row r="307" ht="10.5" customHeight="1">
      <c r="A307" s="164"/>
      <c r="B307" s="165"/>
      <c r="C307" s="165"/>
      <c r="D307" s="165"/>
      <c r="E307" s="165"/>
      <c r="F307" s="165"/>
      <c r="G307" s="165"/>
      <c r="H307" s="165"/>
      <c r="I307" s="165"/>
      <c r="J307" s="165"/>
      <c r="K307" s="165"/>
      <c r="L307" s="165"/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  <c r="AA307" s="165"/>
      <c r="AB307" s="165"/>
      <c r="AC307" s="165"/>
      <c r="AD307" s="165"/>
      <c r="AE307" s="165"/>
      <c r="AF307" s="165"/>
      <c r="AG307" s="165"/>
      <c r="AH307" s="165"/>
      <c r="AI307" s="165"/>
      <c r="AJ307" s="165"/>
      <c r="AK307" s="165"/>
      <c r="AL307" s="165"/>
      <c r="AM307" s="165"/>
      <c r="AN307" s="165"/>
      <c r="AO307" s="165"/>
      <c r="AP307" s="165"/>
      <c r="AQ307" s="165"/>
      <c r="AR307" s="164"/>
      <c r="AS307" s="164"/>
      <c r="AT307" s="164"/>
      <c r="AU307" s="164"/>
    </row>
    <row r="308" ht="10.5" customHeight="1">
      <c r="A308" s="164"/>
      <c r="B308" s="165"/>
      <c r="C308" s="165"/>
      <c r="D308" s="165"/>
      <c r="E308" s="165"/>
      <c r="F308" s="165"/>
      <c r="G308" s="165"/>
      <c r="H308" s="165"/>
      <c r="I308" s="165"/>
      <c r="J308" s="165"/>
      <c r="K308" s="165"/>
      <c r="L308" s="165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  <c r="AA308" s="165"/>
      <c r="AB308" s="165"/>
      <c r="AC308" s="165"/>
      <c r="AD308" s="165"/>
      <c r="AE308" s="165"/>
      <c r="AF308" s="165"/>
      <c r="AG308" s="165"/>
      <c r="AH308" s="165"/>
      <c r="AI308" s="165"/>
      <c r="AJ308" s="165"/>
      <c r="AK308" s="165"/>
      <c r="AL308" s="165"/>
      <c r="AM308" s="165"/>
      <c r="AN308" s="165"/>
      <c r="AO308" s="165"/>
      <c r="AP308" s="165"/>
      <c r="AQ308" s="165"/>
      <c r="AR308" s="164"/>
      <c r="AS308" s="164"/>
      <c r="AT308" s="164"/>
      <c r="AU308" s="164"/>
    </row>
    <row r="309" ht="10.5" customHeight="1">
      <c r="A309" s="164"/>
      <c r="B309" s="165"/>
      <c r="C309" s="165"/>
      <c r="D309" s="165"/>
      <c r="E309" s="165"/>
      <c r="F309" s="165"/>
      <c r="G309" s="165"/>
      <c r="H309" s="165"/>
      <c r="I309" s="165"/>
      <c r="J309" s="165"/>
      <c r="K309" s="165"/>
      <c r="L309" s="165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  <c r="AA309" s="165"/>
      <c r="AB309" s="165"/>
      <c r="AC309" s="165"/>
      <c r="AD309" s="165"/>
      <c r="AE309" s="165"/>
      <c r="AF309" s="165"/>
      <c r="AG309" s="165"/>
      <c r="AH309" s="165"/>
      <c r="AI309" s="165"/>
      <c r="AJ309" s="165"/>
      <c r="AK309" s="165"/>
      <c r="AL309" s="165"/>
      <c r="AM309" s="165"/>
      <c r="AN309" s="165"/>
      <c r="AO309" s="165"/>
      <c r="AP309" s="165"/>
      <c r="AQ309" s="165"/>
      <c r="AR309" s="164"/>
      <c r="AS309" s="164"/>
      <c r="AT309" s="164"/>
      <c r="AU309" s="164"/>
    </row>
    <row r="310" ht="10.5" customHeight="1">
      <c r="A310" s="164"/>
      <c r="B310" s="165"/>
      <c r="C310" s="165"/>
      <c r="D310" s="165"/>
      <c r="E310" s="165"/>
      <c r="F310" s="165"/>
      <c r="G310" s="165"/>
      <c r="H310" s="165"/>
      <c r="I310" s="165"/>
      <c r="J310" s="165"/>
      <c r="K310" s="165"/>
      <c r="L310" s="165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  <c r="AA310" s="165"/>
      <c r="AB310" s="165"/>
      <c r="AC310" s="165"/>
      <c r="AD310" s="165"/>
      <c r="AE310" s="165"/>
      <c r="AF310" s="165"/>
      <c r="AG310" s="165"/>
      <c r="AH310" s="165"/>
      <c r="AI310" s="165"/>
      <c r="AJ310" s="165"/>
      <c r="AK310" s="165"/>
      <c r="AL310" s="165"/>
      <c r="AM310" s="165"/>
      <c r="AN310" s="165"/>
      <c r="AO310" s="165"/>
      <c r="AP310" s="165"/>
      <c r="AQ310" s="165"/>
      <c r="AR310" s="164"/>
      <c r="AS310" s="164"/>
      <c r="AT310" s="164"/>
      <c r="AU310" s="164"/>
    </row>
    <row r="311" ht="10.5" customHeight="1">
      <c r="A311" s="164"/>
      <c r="B311" s="165"/>
      <c r="C311" s="165"/>
      <c r="D311" s="165"/>
      <c r="E311" s="165"/>
      <c r="F311" s="165"/>
      <c r="G311" s="165"/>
      <c r="H311" s="165"/>
      <c r="I311" s="165"/>
      <c r="J311" s="165"/>
      <c r="K311" s="165"/>
      <c r="L311" s="165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  <c r="AA311" s="165"/>
      <c r="AB311" s="165"/>
      <c r="AC311" s="165"/>
      <c r="AD311" s="165"/>
      <c r="AE311" s="165"/>
      <c r="AF311" s="165"/>
      <c r="AG311" s="165"/>
      <c r="AH311" s="165"/>
      <c r="AI311" s="165"/>
      <c r="AJ311" s="165"/>
      <c r="AK311" s="165"/>
      <c r="AL311" s="165"/>
      <c r="AM311" s="165"/>
      <c r="AN311" s="165"/>
      <c r="AO311" s="165"/>
      <c r="AP311" s="165"/>
      <c r="AQ311" s="165"/>
      <c r="AR311" s="164"/>
      <c r="AS311" s="164"/>
      <c r="AT311" s="164"/>
      <c r="AU311" s="164"/>
    </row>
    <row r="312" ht="10.5" customHeight="1">
      <c r="A312" s="164"/>
      <c r="B312" s="165"/>
      <c r="C312" s="165"/>
      <c r="D312" s="165"/>
      <c r="E312" s="165"/>
      <c r="F312" s="165"/>
      <c r="G312" s="165"/>
      <c r="H312" s="165"/>
      <c r="I312" s="165"/>
      <c r="J312" s="165"/>
      <c r="K312" s="165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  <c r="AA312" s="165"/>
      <c r="AB312" s="165"/>
      <c r="AC312" s="165"/>
      <c r="AD312" s="165"/>
      <c r="AE312" s="165"/>
      <c r="AF312" s="165"/>
      <c r="AG312" s="165"/>
      <c r="AH312" s="165"/>
      <c r="AI312" s="165"/>
      <c r="AJ312" s="165"/>
      <c r="AK312" s="165"/>
      <c r="AL312" s="165"/>
      <c r="AM312" s="165"/>
      <c r="AN312" s="165"/>
      <c r="AO312" s="165"/>
      <c r="AP312" s="165"/>
      <c r="AQ312" s="165"/>
      <c r="AR312" s="164"/>
      <c r="AS312" s="164"/>
      <c r="AT312" s="164"/>
      <c r="AU312" s="164"/>
    </row>
    <row r="313" ht="10.5" customHeight="1">
      <c r="A313" s="164"/>
      <c r="B313" s="165"/>
      <c r="C313" s="165"/>
      <c r="D313" s="165"/>
      <c r="E313" s="165"/>
      <c r="F313" s="165"/>
      <c r="G313" s="165"/>
      <c r="H313" s="165"/>
      <c r="I313" s="165"/>
      <c r="J313" s="165"/>
      <c r="K313" s="165"/>
      <c r="L313" s="165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  <c r="AA313" s="165"/>
      <c r="AB313" s="165"/>
      <c r="AC313" s="165"/>
      <c r="AD313" s="165"/>
      <c r="AE313" s="165"/>
      <c r="AF313" s="165"/>
      <c r="AG313" s="165"/>
      <c r="AH313" s="165"/>
      <c r="AI313" s="165"/>
      <c r="AJ313" s="165"/>
      <c r="AK313" s="165"/>
      <c r="AL313" s="165"/>
      <c r="AM313" s="165"/>
      <c r="AN313" s="165"/>
      <c r="AO313" s="165"/>
      <c r="AP313" s="165"/>
      <c r="AQ313" s="165"/>
      <c r="AR313" s="164"/>
      <c r="AS313" s="164"/>
      <c r="AT313" s="164"/>
      <c r="AU313" s="164"/>
    </row>
    <row r="314" ht="10.5" customHeight="1">
      <c r="A314" s="164"/>
      <c r="B314" s="165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5"/>
      <c r="AJ314" s="165"/>
      <c r="AK314" s="165"/>
      <c r="AL314" s="165"/>
      <c r="AM314" s="165"/>
      <c r="AN314" s="165"/>
      <c r="AO314" s="165"/>
      <c r="AP314" s="165"/>
      <c r="AQ314" s="165"/>
      <c r="AR314" s="164"/>
      <c r="AS314" s="164"/>
      <c r="AT314" s="164"/>
      <c r="AU314" s="164"/>
    </row>
    <row r="315" ht="10.5" customHeight="1">
      <c r="A315" s="164"/>
      <c r="B315" s="165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5"/>
      <c r="AJ315" s="165"/>
      <c r="AK315" s="165"/>
      <c r="AL315" s="165"/>
      <c r="AM315" s="165"/>
      <c r="AN315" s="165"/>
      <c r="AO315" s="165"/>
      <c r="AP315" s="165"/>
      <c r="AQ315" s="165"/>
      <c r="AR315" s="164"/>
      <c r="AS315" s="164"/>
      <c r="AT315" s="164"/>
      <c r="AU315" s="164"/>
    </row>
    <row r="316" ht="10.5" customHeight="1">
      <c r="A316" s="164"/>
      <c r="B316" s="165"/>
      <c r="C316" s="165"/>
      <c r="D316" s="165"/>
      <c r="E316" s="165"/>
      <c r="F316" s="165"/>
      <c r="G316" s="165"/>
      <c r="H316" s="165"/>
      <c r="I316" s="165"/>
      <c r="J316" s="165"/>
      <c r="K316" s="165"/>
      <c r="L316" s="165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  <c r="AA316" s="165"/>
      <c r="AB316" s="165"/>
      <c r="AC316" s="165"/>
      <c r="AD316" s="165"/>
      <c r="AE316" s="165"/>
      <c r="AF316" s="165"/>
      <c r="AG316" s="165"/>
      <c r="AH316" s="165"/>
      <c r="AI316" s="165"/>
      <c r="AJ316" s="165"/>
      <c r="AK316" s="165"/>
      <c r="AL316" s="165"/>
      <c r="AM316" s="165"/>
      <c r="AN316" s="165"/>
      <c r="AO316" s="165"/>
      <c r="AP316" s="165"/>
      <c r="AQ316" s="165"/>
      <c r="AR316" s="164"/>
      <c r="AS316" s="164"/>
      <c r="AT316" s="164"/>
      <c r="AU316" s="164"/>
    </row>
    <row r="317" ht="10.5" customHeight="1">
      <c r="A317" s="164"/>
      <c r="B317" s="165"/>
      <c r="C317" s="165"/>
      <c r="D317" s="165"/>
      <c r="E317" s="165"/>
      <c r="F317" s="165"/>
      <c r="G317" s="165"/>
      <c r="H317" s="165"/>
      <c r="I317" s="165"/>
      <c r="J317" s="165"/>
      <c r="K317" s="165"/>
      <c r="L317" s="165"/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  <c r="AA317" s="165"/>
      <c r="AB317" s="165"/>
      <c r="AC317" s="165"/>
      <c r="AD317" s="165"/>
      <c r="AE317" s="165"/>
      <c r="AF317" s="165"/>
      <c r="AG317" s="165"/>
      <c r="AH317" s="165"/>
      <c r="AI317" s="165"/>
      <c r="AJ317" s="165"/>
      <c r="AK317" s="165"/>
      <c r="AL317" s="165"/>
      <c r="AM317" s="165"/>
      <c r="AN317" s="165"/>
      <c r="AO317" s="165"/>
      <c r="AP317" s="165"/>
      <c r="AQ317" s="165"/>
      <c r="AR317" s="164"/>
      <c r="AS317" s="164"/>
      <c r="AT317" s="164"/>
      <c r="AU317" s="164"/>
    </row>
    <row r="318" ht="10.5" customHeight="1">
      <c r="A318" s="164"/>
      <c r="B318" s="165"/>
      <c r="C318" s="165"/>
      <c r="D318" s="165"/>
      <c r="E318" s="165"/>
      <c r="F318" s="165"/>
      <c r="G318" s="165"/>
      <c r="H318" s="165"/>
      <c r="I318" s="165"/>
      <c r="J318" s="165"/>
      <c r="K318" s="165"/>
      <c r="L318" s="165"/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  <c r="AA318" s="165"/>
      <c r="AB318" s="165"/>
      <c r="AC318" s="165"/>
      <c r="AD318" s="165"/>
      <c r="AE318" s="165"/>
      <c r="AF318" s="165"/>
      <c r="AG318" s="165"/>
      <c r="AH318" s="165"/>
      <c r="AI318" s="165"/>
      <c r="AJ318" s="165"/>
      <c r="AK318" s="165"/>
      <c r="AL318" s="165"/>
      <c r="AM318" s="165"/>
      <c r="AN318" s="165"/>
      <c r="AO318" s="165"/>
      <c r="AP318" s="165"/>
      <c r="AQ318" s="165"/>
      <c r="AR318" s="164"/>
      <c r="AS318" s="164"/>
      <c r="AT318" s="164"/>
      <c r="AU318" s="164"/>
    </row>
    <row r="319" ht="10.5" customHeight="1">
      <c r="A319" s="164"/>
      <c r="B319" s="165"/>
      <c r="C319" s="165"/>
      <c r="D319" s="165"/>
      <c r="E319" s="165"/>
      <c r="F319" s="165"/>
      <c r="G319" s="165"/>
      <c r="H319" s="165"/>
      <c r="I319" s="165"/>
      <c r="J319" s="165"/>
      <c r="K319" s="165"/>
      <c r="L319" s="165"/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  <c r="AA319" s="165"/>
      <c r="AB319" s="165"/>
      <c r="AC319" s="165"/>
      <c r="AD319" s="165"/>
      <c r="AE319" s="165"/>
      <c r="AF319" s="165"/>
      <c r="AG319" s="165"/>
      <c r="AH319" s="165"/>
      <c r="AI319" s="165"/>
      <c r="AJ319" s="165"/>
      <c r="AK319" s="165"/>
      <c r="AL319" s="165"/>
      <c r="AM319" s="165"/>
      <c r="AN319" s="165"/>
      <c r="AO319" s="165"/>
      <c r="AP319" s="165"/>
      <c r="AQ319" s="165"/>
      <c r="AR319" s="164"/>
      <c r="AS319" s="164"/>
      <c r="AT319" s="164"/>
      <c r="AU319" s="164"/>
    </row>
    <row r="320" ht="10.5" customHeight="1">
      <c r="A320" s="164"/>
      <c r="B320" s="165"/>
      <c r="C320" s="165"/>
      <c r="D320" s="165"/>
      <c r="E320" s="165"/>
      <c r="F320" s="165"/>
      <c r="G320" s="165"/>
      <c r="H320" s="165"/>
      <c r="I320" s="165"/>
      <c r="J320" s="165"/>
      <c r="K320" s="165"/>
      <c r="L320" s="165"/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  <c r="AA320" s="165"/>
      <c r="AB320" s="165"/>
      <c r="AC320" s="165"/>
      <c r="AD320" s="165"/>
      <c r="AE320" s="165"/>
      <c r="AF320" s="165"/>
      <c r="AG320" s="165"/>
      <c r="AH320" s="165"/>
      <c r="AI320" s="165"/>
      <c r="AJ320" s="165"/>
      <c r="AK320" s="165"/>
      <c r="AL320" s="165"/>
      <c r="AM320" s="165"/>
      <c r="AN320" s="165"/>
      <c r="AO320" s="165"/>
      <c r="AP320" s="165"/>
      <c r="AQ320" s="165"/>
      <c r="AR320" s="164"/>
      <c r="AS320" s="164"/>
      <c r="AT320" s="164"/>
      <c r="AU320" s="164"/>
    </row>
    <row r="321" ht="10.5" customHeight="1">
      <c r="A321" s="164"/>
      <c r="B321" s="165"/>
      <c r="C321" s="165"/>
      <c r="D321" s="165"/>
      <c r="E321" s="165"/>
      <c r="F321" s="165"/>
      <c r="G321" s="165"/>
      <c r="H321" s="165"/>
      <c r="I321" s="165"/>
      <c r="J321" s="165"/>
      <c r="K321" s="165"/>
      <c r="L321" s="165"/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  <c r="AA321" s="165"/>
      <c r="AB321" s="165"/>
      <c r="AC321" s="165"/>
      <c r="AD321" s="165"/>
      <c r="AE321" s="165"/>
      <c r="AF321" s="165"/>
      <c r="AG321" s="165"/>
      <c r="AH321" s="165"/>
      <c r="AI321" s="165"/>
      <c r="AJ321" s="165"/>
      <c r="AK321" s="165"/>
      <c r="AL321" s="165"/>
      <c r="AM321" s="165"/>
      <c r="AN321" s="165"/>
      <c r="AO321" s="165"/>
      <c r="AP321" s="165"/>
      <c r="AQ321" s="165"/>
      <c r="AR321" s="164"/>
      <c r="AS321" s="164"/>
      <c r="AT321" s="164"/>
      <c r="AU321" s="164"/>
    </row>
    <row r="322" ht="10.5" customHeight="1">
      <c r="A322" s="164"/>
      <c r="B322" s="165"/>
      <c r="C322" s="165"/>
      <c r="D322" s="165"/>
      <c r="E322" s="165"/>
      <c r="F322" s="165"/>
      <c r="G322" s="165"/>
      <c r="H322" s="165"/>
      <c r="I322" s="165"/>
      <c r="J322" s="165"/>
      <c r="K322" s="165"/>
      <c r="L322" s="165"/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  <c r="AA322" s="165"/>
      <c r="AB322" s="165"/>
      <c r="AC322" s="165"/>
      <c r="AD322" s="165"/>
      <c r="AE322" s="165"/>
      <c r="AF322" s="165"/>
      <c r="AG322" s="165"/>
      <c r="AH322" s="165"/>
      <c r="AI322" s="165"/>
      <c r="AJ322" s="165"/>
      <c r="AK322" s="165"/>
      <c r="AL322" s="165"/>
      <c r="AM322" s="165"/>
      <c r="AN322" s="165"/>
      <c r="AO322" s="165"/>
      <c r="AP322" s="165"/>
      <c r="AQ322" s="165"/>
      <c r="AR322" s="164"/>
      <c r="AS322" s="164"/>
      <c r="AT322" s="164"/>
      <c r="AU322" s="164"/>
    </row>
    <row r="323" ht="10.5" customHeight="1">
      <c r="A323" s="164"/>
      <c r="B323" s="165"/>
      <c r="C323" s="165"/>
      <c r="D323" s="165"/>
      <c r="E323" s="165"/>
      <c r="F323" s="165"/>
      <c r="G323" s="165"/>
      <c r="H323" s="165"/>
      <c r="I323" s="165"/>
      <c r="J323" s="165"/>
      <c r="K323" s="165"/>
      <c r="L323" s="165"/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  <c r="AA323" s="165"/>
      <c r="AB323" s="165"/>
      <c r="AC323" s="165"/>
      <c r="AD323" s="165"/>
      <c r="AE323" s="165"/>
      <c r="AF323" s="165"/>
      <c r="AG323" s="165"/>
      <c r="AH323" s="165"/>
      <c r="AI323" s="165"/>
      <c r="AJ323" s="165"/>
      <c r="AK323" s="165"/>
      <c r="AL323" s="165"/>
      <c r="AM323" s="165"/>
      <c r="AN323" s="165"/>
      <c r="AO323" s="165"/>
      <c r="AP323" s="165"/>
      <c r="AQ323" s="165"/>
      <c r="AR323" s="164"/>
      <c r="AS323" s="164"/>
      <c r="AT323" s="164"/>
      <c r="AU323" s="164"/>
    </row>
    <row r="324" ht="10.5" customHeight="1">
      <c r="A324" s="164"/>
      <c r="B324" s="165"/>
      <c r="C324" s="165"/>
      <c r="D324" s="165"/>
      <c r="E324" s="165"/>
      <c r="F324" s="165"/>
      <c r="G324" s="165"/>
      <c r="H324" s="165"/>
      <c r="I324" s="165"/>
      <c r="J324" s="165"/>
      <c r="K324" s="165"/>
      <c r="L324" s="165"/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  <c r="AA324" s="165"/>
      <c r="AB324" s="165"/>
      <c r="AC324" s="165"/>
      <c r="AD324" s="165"/>
      <c r="AE324" s="165"/>
      <c r="AF324" s="165"/>
      <c r="AG324" s="165"/>
      <c r="AH324" s="165"/>
      <c r="AI324" s="165"/>
      <c r="AJ324" s="165"/>
      <c r="AK324" s="165"/>
      <c r="AL324" s="165"/>
      <c r="AM324" s="165"/>
      <c r="AN324" s="165"/>
      <c r="AO324" s="165"/>
      <c r="AP324" s="165"/>
      <c r="AQ324" s="165"/>
      <c r="AR324" s="164"/>
      <c r="AS324" s="164"/>
      <c r="AT324" s="164"/>
      <c r="AU324" s="164"/>
    </row>
    <row r="325" ht="10.5" customHeight="1">
      <c r="A325" s="164"/>
      <c r="B325" s="165"/>
      <c r="C325" s="165"/>
      <c r="D325" s="165"/>
      <c r="E325" s="165"/>
      <c r="F325" s="165"/>
      <c r="G325" s="165"/>
      <c r="H325" s="165"/>
      <c r="I325" s="165"/>
      <c r="J325" s="165"/>
      <c r="K325" s="165"/>
      <c r="L325" s="165"/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  <c r="AA325" s="165"/>
      <c r="AB325" s="165"/>
      <c r="AC325" s="165"/>
      <c r="AD325" s="165"/>
      <c r="AE325" s="165"/>
      <c r="AF325" s="165"/>
      <c r="AG325" s="165"/>
      <c r="AH325" s="165"/>
      <c r="AI325" s="165"/>
      <c r="AJ325" s="165"/>
      <c r="AK325" s="165"/>
      <c r="AL325" s="165"/>
      <c r="AM325" s="165"/>
      <c r="AN325" s="165"/>
      <c r="AO325" s="165"/>
      <c r="AP325" s="165"/>
      <c r="AQ325" s="165"/>
      <c r="AR325" s="164"/>
      <c r="AS325" s="164"/>
      <c r="AT325" s="164"/>
      <c r="AU325" s="164"/>
    </row>
    <row r="326" ht="10.5" customHeight="1">
      <c r="A326" s="164"/>
      <c r="B326" s="165"/>
      <c r="C326" s="165"/>
      <c r="D326" s="165"/>
      <c r="E326" s="165"/>
      <c r="F326" s="165"/>
      <c r="G326" s="165"/>
      <c r="H326" s="165"/>
      <c r="I326" s="165"/>
      <c r="J326" s="165"/>
      <c r="K326" s="165"/>
      <c r="L326" s="165"/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  <c r="AA326" s="165"/>
      <c r="AB326" s="165"/>
      <c r="AC326" s="165"/>
      <c r="AD326" s="165"/>
      <c r="AE326" s="165"/>
      <c r="AF326" s="165"/>
      <c r="AG326" s="165"/>
      <c r="AH326" s="165"/>
      <c r="AI326" s="165"/>
      <c r="AJ326" s="165"/>
      <c r="AK326" s="165"/>
      <c r="AL326" s="165"/>
      <c r="AM326" s="165"/>
      <c r="AN326" s="165"/>
      <c r="AO326" s="165"/>
      <c r="AP326" s="165"/>
      <c r="AQ326" s="165"/>
      <c r="AR326" s="164"/>
      <c r="AS326" s="164"/>
      <c r="AT326" s="164"/>
      <c r="AU326" s="164"/>
    </row>
    <row r="327" ht="10.5" customHeight="1">
      <c r="A327" s="164"/>
      <c r="B327" s="165"/>
      <c r="C327" s="165"/>
      <c r="D327" s="165"/>
      <c r="E327" s="165"/>
      <c r="F327" s="165"/>
      <c r="G327" s="165"/>
      <c r="H327" s="165"/>
      <c r="I327" s="165"/>
      <c r="J327" s="165"/>
      <c r="K327" s="165"/>
      <c r="L327" s="165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  <c r="AA327" s="165"/>
      <c r="AB327" s="165"/>
      <c r="AC327" s="165"/>
      <c r="AD327" s="165"/>
      <c r="AE327" s="165"/>
      <c r="AF327" s="165"/>
      <c r="AG327" s="165"/>
      <c r="AH327" s="165"/>
      <c r="AI327" s="165"/>
      <c r="AJ327" s="165"/>
      <c r="AK327" s="165"/>
      <c r="AL327" s="165"/>
      <c r="AM327" s="165"/>
      <c r="AN327" s="165"/>
      <c r="AO327" s="165"/>
      <c r="AP327" s="165"/>
      <c r="AQ327" s="165"/>
      <c r="AR327" s="164"/>
      <c r="AS327" s="164"/>
      <c r="AT327" s="164"/>
      <c r="AU327" s="164"/>
    </row>
    <row r="328" ht="10.5" customHeight="1">
      <c r="A328" s="164"/>
      <c r="B328" s="165"/>
      <c r="C328" s="165"/>
      <c r="D328" s="165"/>
      <c r="E328" s="165"/>
      <c r="F328" s="165"/>
      <c r="G328" s="165"/>
      <c r="H328" s="165"/>
      <c r="I328" s="165"/>
      <c r="J328" s="165"/>
      <c r="K328" s="165"/>
      <c r="L328" s="165"/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  <c r="AA328" s="165"/>
      <c r="AB328" s="165"/>
      <c r="AC328" s="165"/>
      <c r="AD328" s="165"/>
      <c r="AE328" s="165"/>
      <c r="AF328" s="165"/>
      <c r="AG328" s="165"/>
      <c r="AH328" s="165"/>
      <c r="AI328" s="165"/>
      <c r="AJ328" s="165"/>
      <c r="AK328" s="165"/>
      <c r="AL328" s="165"/>
      <c r="AM328" s="165"/>
      <c r="AN328" s="165"/>
      <c r="AO328" s="165"/>
      <c r="AP328" s="165"/>
      <c r="AQ328" s="165"/>
      <c r="AR328" s="164"/>
      <c r="AS328" s="164"/>
      <c r="AT328" s="164"/>
      <c r="AU328" s="164"/>
    </row>
    <row r="329" ht="10.5" customHeight="1">
      <c r="A329" s="164"/>
      <c r="B329" s="165"/>
      <c r="C329" s="165"/>
      <c r="D329" s="165"/>
      <c r="E329" s="165"/>
      <c r="F329" s="165"/>
      <c r="G329" s="165"/>
      <c r="H329" s="165"/>
      <c r="I329" s="165"/>
      <c r="J329" s="165"/>
      <c r="K329" s="165"/>
      <c r="L329" s="165"/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  <c r="AA329" s="165"/>
      <c r="AB329" s="165"/>
      <c r="AC329" s="165"/>
      <c r="AD329" s="165"/>
      <c r="AE329" s="165"/>
      <c r="AF329" s="165"/>
      <c r="AG329" s="165"/>
      <c r="AH329" s="165"/>
      <c r="AI329" s="165"/>
      <c r="AJ329" s="165"/>
      <c r="AK329" s="165"/>
      <c r="AL329" s="165"/>
      <c r="AM329" s="165"/>
      <c r="AN329" s="165"/>
      <c r="AO329" s="165"/>
      <c r="AP329" s="165"/>
      <c r="AQ329" s="165"/>
      <c r="AR329" s="164"/>
      <c r="AS329" s="164"/>
      <c r="AT329" s="164"/>
      <c r="AU329" s="164"/>
    </row>
    <row r="330" ht="10.5" customHeight="1">
      <c r="A330" s="164"/>
      <c r="B330" s="165"/>
      <c r="C330" s="165"/>
      <c r="D330" s="165"/>
      <c r="E330" s="165"/>
      <c r="F330" s="165"/>
      <c r="G330" s="165"/>
      <c r="H330" s="165"/>
      <c r="I330" s="165"/>
      <c r="J330" s="165"/>
      <c r="K330" s="165"/>
      <c r="L330" s="165"/>
      <c r="M330" s="165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  <c r="AA330" s="165"/>
      <c r="AB330" s="165"/>
      <c r="AC330" s="165"/>
      <c r="AD330" s="165"/>
      <c r="AE330" s="165"/>
      <c r="AF330" s="165"/>
      <c r="AG330" s="165"/>
      <c r="AH330" s="165"/>
      <c r="AI330" s="165"/>
      <c r="AJ330" s="165"/>
      <c r="AK330" s="165"/>
      <c r="AL330" s="165"/>
      <c r="AM330" s="165"/>
      <c r="AN330" s="165"/>
      <c r="AO330" s="165"/>
      <c r="AP330" s="165"/>
      <c r="AQ330" s="165"/>
      <c r="AR330" s="164"/>
      <c r="AS330" s="164"/>
      <c r="AT330" s="164"/>
      <c r="AU330" s="164"/>
    </row>
    <row r="331" ht="10.5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5"/>
      <c r="AH331" s="165"/>
      <c r="AI331" s="165"/>
      <c r="AJ331" s="165"/>
      <c r="AK331" s="165"/>
      <c r="AL331" s="165"/>
      <c r="AM331" s="165"/>
      <c r="AN331" s="165"/>
      <c r="AO331" s="165"/>
      <c r="AP331" s="165"/>
      <c r="AQ331" s="165"/>
      <c r="AR331" s="164"/>
      <c r="AS331" s="164"/>
      <c r="AT331" s="164"/>
      <c r="AU331" s="164"/>
    </row>
    <row r="332" ht="10.5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5"/>
      <c r="AH332" s="165"/>
      <c r="AI332" s="165"/>
      <c r="AJ332" s="165"/>
      <c r="AK332" s="165"/>
      <c r="AL332" s="165"/>
      <c r="AM332" s="165"/>
      <c r="AN332" s="165"/>
      <c r="AO332" s="165"/>
      <c r="AP332" s="165"/>
      <c r="AQ332" s="165"/>
      <c r="AR332" s="164"/>
      <c r="AS332" s="164"/>
      <c r="AT332" s="164"/>
      <c r="AU332" s="164"/>
    </row>
    <row r="333" ht="10.5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5"/>
      <c r="AH333" s="165"/>
      <c r="AI333" s="165"/>
      <c r="AJ333" s="165"/>
      <c r="AK333" s="165"/>
      <c r="AL333" s="165"/>
      <c r="AM333" s="165"/>
      <c r="AN333" s="165"/>
      <c r="AO333" s="165"/>
      <c r="AP333" s="165"/>
      <c r="AQ333" s="165"/>
      <c r="AR333" s="164"/>
      <c r="AS333" s="164"/>
      <c r="AT333" s="164"/>
      <c r="AU333" s="164"/>
    </row>
    <row r="334" ht="10.5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5"/>
      <c r="AH334" s="165"/>
      <c r="AI334" s="165"/>
      <c r="AJ334" s="165"/>
      <c r="AK334" s="165"/>
      <c r="AL334" s="165"/>
      <c r="AM334" s="165"/>
      <c r="AN334" s="165"/>
      <c r="AO334" s="165"/>
      <c r="AP334" s="165"/>
      <c r="AQ334" s="165"/>
      <c r="AR334" s="164"/>
      <c r="AS334" s="164"/>
      <c r="AT334" s="164"/>
      <c r="AU334" s="164"/>
    </row>
    <row r="335" ht="10.5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65"/>
      <c r="K335" s="165"/>
      <c r="L335" s="165"/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5"/>
      <c r="AH335" s="165"/>
      <c r="AI335" s="165"/>
      <c r="AJ335" s="165"/>
      <c r="AK335" s="165"/>
      <c r="AL335" s="165"/>
      <c r="AM335" s="165"/>
      <c r="AN335" s="165"/>
      <c r="AO335" s="165"/>
      <c r="AP335" s="165"/>
      <c r="AQ335" s="165"/>
      <c r="AR335" s="164"/>
      <c r="AS335" s="164"/>
      <c r="AT335" s="164"/>
      <c r="AU335" s="164"/>
    </row>
    <row r="336" ht="10.5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65"/>
      <c r="K336" s="165"/>
      <c r="L336" s="165"/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5"/>
      <c r="AH336" s="165"/>
      <c r="AI336" s="165"/>
      <c r="AJ336" s="165"/>
      <c r="AK336" s="165"/>
      <c r="AL336" s="165"/>
      <c r="AM336" s="165"/>
      <c r="AN336" s="165"/>
      <c r="AO336" s="165"/>
      <c r="AP336" s="165"/>
      <c r="AQ336" s="165"/>
      <c r="AR336" s="164"/>
      <c r="AS336" s="164"/>
      <c r="AT336" s="164"/>
      <c r="AU336" s="164"/>
    </row>
    <row r="337" ht="10.5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65"/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5"/>
      <c r="AH337" s="165"/>
      <c r="AI337" s="165"/>
      <c r="AJ337" s="165"/>
      <c r="AK337" s="165"/>
      <c r="AL337" s="165"/>
      <c r="AM337" s="165"/>
      <c r="AN337" s="165"/>
      <c r="AO337" s="165"/>
      <c r="AP337" s="165"/>
      <c r="AQ337" s="165"/>
      <c r="AR337" s="164"/>
      <c r="AS337" s="164"/>
      <c r="AT337" s="164"/>
      <c r="AU337" s="164"/>
    </row>
    <row r="338" ht="10.5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65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5"/>
      <c r="AH338" s="165"/>
      <c r="AI338" s="165"/>
      <c r="AJ338" s="165"/>
      <c r="AK338" s="165"/>
      <c r="AL338" s="165"/>
      <c r="AM338" s="165"/>
      <c r="AN338" s="165"/>
      <c r="AO338" s="165"/>
      <c r="AP338" s="165"/>
      <c r="AQ338" s="165"/>
      <c r="AR338" s="164"/>
      <c r="AS338" s="164"/>
      <c r="AT338" s="164"/>
      <c r="AU338" s="164"/>
    </row>
    <row r="339" ht="10.5" customHeight="1">
      <c r="A339" s="164"/>
      <c r="B339" s="165"/>
      <c r="C339" s="165"/>
      <c r="D339" s="165"/>
      <c r="E339" s="165"/>
      <c r="F339" s="165"/>
      <c r="G339" s="165"/>
      <c r="H339" s="165"/>
      <c r="I339" s="165"/>
      <c r="J339" s="165"/>
      <c r="K339" s="165"/>
      <c r="L339" s="165"/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  <c r="AA339" s="165"/>
      <c r="AB339" s="165"/>
      <c r="AC339" s="165"/>
      <c r="AD339" s="165"/>
      <c r="AE339" s="165"/>
      <c r="AF339" s="165"/>
      <c r="AG339" s="165"/>
      <c r="AH339" s="165"/>
      <c r="AI339" s="165"/>
      <c r="AJ339" s="165"/>
      <c r="AK339" s="165"/>
      <c r="AL339" s="165"/>
      <c r="AM339" s="165"/>
      <c r="AN339" s="165"/>
      <c r="AO339" s="165"/>
      <c r="AP339" s="165"/>
      <c r="AQ339" s="165"/>
      <c r="AR339" s="164"/>
      <c r="AS339" s="164"/>
      <c r="AT339" s="164"/>
      <c r="AU339" s="164"/>
    </row>
    <row r="340" ht="10.5" customHeight="1">
      <c r="A340" s="164"/>
      <c r="B340" s="165"/>
      <c r="C340" s="165"/>
      <c r="D340" s="165"/>
      <c r="E340" s="165"/>
      <c r="F340" s="165"/>
      <c r="G340" s="165"/>
      <c r="H340" s="165"/>
      <c r="I340" s="165"/>
      <c r="J340" s="165"/>
      <c r="K340" s="165"/>
      <c r="L340" s="165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  <c r="AA340" s="165"/>
      <c r="AB340" s="165"/>
      <c r="AC340" s="165"/>
      <c r="AD340" s="165"/>
      <c r="AE340" s="165"/>
      <c r="AF340" s="165"/>
      <c r="AG340" s="165"/>
      <c r="AH340" s="165"/>
      <c r="AI340" s="165"/>
      <c r="AJ340" s="165"/>
      <c r="AK340" s="165"/>
      <c r="AL340" s="165"/>
      <c r="AM340" s="165"/>
      <c r="AN340" s="165"/>
      <c r="AO340" s="165"/>
      <c r="AP340" s="165"/>
      <c r="AQ340" s="165"/>
      <c r="AR340" s="164"/>
      <c r="AS340" s="164"/>
      <c r="AT340" s="164"/>
      <c r="AU340" s="164"/>
    </row>
    <row r="341" ht="10.5" customHeight="1">
      <c r="A341" s="164"/>
      <c r="B341" s="165"/>
      <c r="C341" s="165"/>
      <c r="D341" s="165"/>
      <c r="E341" s="165"/>
      <c r="F341" s="165"/>
      <c r="G341" s="165"/>
      <c r="H341" s="165"/>
      <c r="I341" s="165"/>
      <c r="J341" s="165"/>
      <c r="K341" s="165"/>
      <c r="L341" s="165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  <c r="AA341" s="165"/>
      <c r="AB341" s="165"/>
      <c r="AC341" s="165"/>
      <c r="AD341" s="165"/>
      <c r="AE341" s="165"/>
      <c r="AF341" s="165"/>
      <c r="AG341" s="165"/>
      <c r="AH341" s="165"/>
      <c r="AI341" s="165"/>
      <c r="AJ341" s="165"/>
      <c r="AK341" s="165"/>
      <c r="AL341" s="165"/>
      <c r="AM341" s="165"/>
      <c r="AN341" s="165"/>
      <c r="AO341" s="165"/>
      <c r="AP341" s="165"/>
      <c r="AQ341" s="165"/>
      <c r="AR341" s="164"/>
      <c r="AS341" s="164"/>
      <c r="AT341" s="164"/>
      <c r="AU341" s="164"/>
    </row>
    <row r="342" ht="10.5" customHeight="1">
      <c r="A342" s="164"/>
      <c r="B342" s="165"/>
      <c r="C342" s="165"/>
      <c r="D342" s="165"/>
      <c r="E342" s="165"/>
      <c r="F342" s="165"/>
      <c r="G342" s="165"/>
      <c r="H342" s="165"/>
      <c r="I342" s="165"/>
      <c r="J342" s="165"/>
      <c r="K342" s="165"/>
      <c r="L342" s="165"/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  <c r="AA342" s="165"/>
      <c r="AB342" s="165"/>
      <c r="AC342" s="165"/>
      <c r="AD342" s="165"/>
      <c r="AE342" s="165"/>
      <c r="AF342" s="165"/>
      <c r="AG342" s="165"/>
      <c r="AH342" s="165"/>
      <c r="AI342" s="165"/>
      <c r="AJ342" s="165"/>
      <c r="AK342" s="165"/>
      <c r="AL342" s="165"/>
      <c r="AM342" s="165"/>
      <c r="AN342" s="165"/>
      <c r="AO342" s="165"/>
      <c r="AP342" s="165"/>
      <c r="AQ342" s="165"/>
      <c r="AR342" s="164"/>
      <c r="AS342" s="164"/>
      <c r="AT342" s="164"/>
      <c r="AU342" s="164"/>
    </row>
    <row r="343" ht="10.5" customHeight="1">
      <c r="A343" s="164"/>
      <c r="B343" s="165"/>
      <c r="C343" s="165"/>
      <c r="D343" s="165"/>
      <c r="E343" s="165"/>
      <c r="F343" s="165"/>
      <c r="G343" s="165"/>
      <c r="H343" s="165"/>
      <c r="I343" s="165"/>
      <c r="J343" s="165"/>
      <c r="K343" s="165"/>
      <c r="L343" s="165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  <c r="AA343" s="165"/>
      <c r="AB343" s="165"/>
      <c r="AC343" s="165"/>
      <c r="AD343" s="165"/>
      <c r="AE343" s="165"/>
      <c r="AF343" s="165"/>
      <c r="AG343" s="165"/>
      <c r="AH343" s="165"/>
      <c r="AI343" s="165"/>
      <c r="AJ343" s="165"/>
      <c r="AK343" s="165"/>
      <c r="AL343" s="165"/>
      <c r="AM343" s="165"/>
      <c r="AN343" s="165"/>
      <c r="AO343" s="165"/>
      <c r="AP343" s="165"/>
      <c r="AQ343" s="165"/>
      <c r="AR343" s="164"/>
      <c r="AS343" s="164"/>
      <c r="AT343" s="164"/>
      <c r="AU343" s="164"/>
    </row>
    <row r="344" ht="10.5" customHeight="1">
      <c r="A344" s="164"/>
      <c r="B344" s="165"/>
      <c r="C344" s="165"/>
      <c r="D344" s="165"/>
      <c r="E344" s="165"/>
      <c r="F344" s="165"/>
      <c r="G344" s="165"/>
      <c r="H344" s="165"/>
      <c r="I344" s="165"/>
      <c r="J344" s="165"/>
      <c r="K344" s="165"/>
      <c r="L344" s="165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  <c r="AA344" s="165"/>
      <c r="AB344" s="165"/>
      <c r="AC344" s="165"/>
      <c r="AD344" s="165"/>
      <c r="AE344" s="165"/>
      <c r="AF344" s="165"/>
      <c r="AG344" s="165"/>
      <c r="AH344" s="165"/>
      <c r="AI344" s="165"/>
      <c r="AJ344" s="165"/>
      <c r="AK344" s="165"/>
      <c r="AL344" s="165"/>
      <c r="AM344" s="165"/>
      <c r="AN344" s="165"/>
      <c r="AO344" s="165"/>
      <c r="AP344" s="165"/>
      <c r="AQ344" s="165"/>
      <c r="AR344" s="164"/>
      <c r="AS344" s="164"/>
      <c r="AT344" s="164"/>
      <c r="AU344" s="164"/>
    </row>
    <row r="345" ht="10.5" customHeight="1">
      <c r="A345" s="164"/>
      <c r="B345" s="165"/>
      <c r="C345" s="165"/>
      <c r="D345" s="165"/>
      <c r="E345" s="165"/>
      <c r="F345" s="165"/>
      <c r="G345" s="165"/>
      <c r="H345" s="165"/>
      <c r="I345" s="165"/>
      <c r="J345" s="165"/>
      <c r="K345" s="165"/>
      <c r="L345" s="165"/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  <c r="AA345" s="165"/>
      <c r="AB345" s="165"/>
      <c r="AC345" s="165"/>
      <c r="AD345" s="165"/>
      <c r="AE345" s="165"/>
      <c r="AF345" s="165"/>
      <c r="AG345" s="165"/>
      <c r="AH345" s="165"/>
      <c r="AI345" s="165"/>
      <c r="AJ345" s="165"/>
      <c r="AK345" s="165"/>
      <c r="AL345" s="165"/>
      <c r="AM345" s="165"/>
      <c r="AN345" s="165"/>
      <c r="AO345" s="165"/>
      <c r="AP345" s="165"/>
      <c r="AQ345" s="165"/>
      <c r="AR345" s="164"/>
      <c r="AS345" s="164"/>
      <c r="AT345" s="164"/>
      <c r="AU345" s="164"/>
    </row>
    <row r="346" ht="10.5" customHeight="1">
      <c r="A346" s="164"/>
      <c r="B346" s="165"/>
      <c r="C346" s="165"/>
      <c r="D346" s="165"/>
      <c r="E346" s="165"/>
      <c r="F346" s="165"/>
      <c r="G346" s="165"/>
      <c r="H346" s="165"/>
      <c r="I346" s="165"/>
      <c r="J346" s="165"/>
      <c r="K346" s="165"/>
      <c r="L346" s="165"/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  <c r="AA346" s="165"/>
      <c r="AB346" s="165"/>
      <c r="AC346" s="165"/>
      <c r="AD346" s="165"/>
      <c r="AE346" s="165"/>
      <c r="AF346" s="165"/>
      <c r="AG346" s="165"/>
      <c r="AH346" s="165"/>
      <c r="AI346" s="165"/>
      <c r="AJ346" s="165"/>
      <c r="AK346" s="165"/>
      <c r="AL346" s="165"/>
      <c r="AM346" s="165"/>
      <c r="AN346" s="165"/>
      <c r="AO346" s="165"/>
      <c r="AP346" s="165"/>
      <c r="AQ346" s="165"/>
      <c r="AR346" s="164"/>
      <c r="AS346" s="164"/>
      <c r="AT346" s="164"/>
      <c r="AU346" s="164"/>
    </row>
    <row r="347" ht="10.5" customHeight="1">
      <c r="A347" s="164"/>
      <c r="B347" s="165"/>
      <c r="C347" s="165"/>
      <c r="D347" s="165"/>
      <c r="E347" s="165"/>
      <c r="F347" s="165"/>
      <c r="G347" s="165"/>
      <c r="H347" s="165"/>
      <c r="I347" s="165"/>
      <c r="J347" s="165"/>
      <c r="K347" s="165"/>
      <c r="L347" s="165"/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  <c r="AA347" s="165"/>
      <c r="AB347" s="165"/>
      <c r="AC347" s="165"/>
      <c r="AD347" s="165"/>
      <c r="AE347" s="165"/>
      <c r="AF347" s="165"/>
      <c r="AG347" s="165"/>
      <c r="AH347" s="165"/>
      <c r="AI347" s="165"/>
      <c r="AJ347" s="165"/>
      <c r="AK347" s="165"/>
      <c r="AL347" s="165"/>
      <c r="AM347" s="165"/>
      <c r="AN347" s="165"/>
      <c r="AO347" s="165"/>
      <c r="AP347" s="165"/>
      <c r="AQ347" s="165"/>
      <c r="AR347" s="164"/>
      <c r="AS347" s="164"/>
      <c r="AT347" s="164"/>
      <c r="AU347" s="164"/>
    </row>
    <row r="348" ht="10.5" customHeight="1">
      <c r="A348" s="164"/>
      <c r="B348" s="165"/>
      <c r="C348" s="165"/>
      <c r="D348" s="165"/>
      <c r="E348" s="165"/>
      <c r="F348" s="165"/>
      <c r="G348" s="165"/>
      <c r="H348" s="165"/>
      <c r="I348" s="165"/>
      <c r="J348" s="165"/>
      <c r="K348" s="165"/>
      <c r="L348" s="165"/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  <c r="AA348" s="165"/>
      <c r="AB348" s="165"/>
      <c r="AC348" s="165"/>
      <c r="AD348" s="165"/>
      <c r="AE348" s="165"/>
      <c r="AF348" s="165"/>
      <c r="AG348" s="165"/>
      <c r="AH348" s="165"/>
      <c r="AI348" s="165"/>
      <c r="AJ348" s="165"/>
      <c r="AK348" s="165"/>
      <c r="AL348" s="165"/>
      <c r="AM348" s="165"/>
      <c r="AN348" s="165"/>
      <c r="AO348" s="165"/>
      <c r="AP348" s="165"/>
      <c r="AQ348" s="165"/>
      <c r="AR348" s="164"/>
      <c r="AS348" s="164"/>
      <c r="AT348" s="164"/>
      <c r="AU348" s="164"/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5:E5"/>
    <mergeCell ref="G5:J5"/>
    <mergeCell ref="L5:O5"/>
    <mergeCell ref="Q5:T5"/>
    <mergeCell ref="V5:Y5"/>
    <mergeCell ref="AA5:AD5"/>
    <mergeCell ref="AF5:AI5"/>
    <mergeCell ref="AK5:AN5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E6F5"/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 outlineLevelCol="1"/>
  <cols>
    <col customWidth="1" min="1" max="1" width="40.63"/>
    <col customWidth="1" min="2" max="5" width="9.63" outlineLevel="1"/>
    <col customWidth="1" min="6" max="6" width="9.63"/>
    <col customWidth="1" min="7" max="10" width="9.63" outlineLevel="1"/>
    <col customWidth="1" min="11" max="11" width="9.63"/>
    <col customWidth="1" min="12" max="15" width="9.63" outlineLevel="1"/>
    <col customWidth="1" min="16" max="16" width="9.63"/>
    <col customWidth="1" min="17" max="20" width="9.63" outlineLevel="1"/>
    <col customWidth="1" min="21" max="21" width="9.63"/>
    <col customWidth="1" min="22" max="25" width="9.63" outlineLevel="1"/>
    <col customWidth="1" min="26" max="26" width="9.63"/>
    <col customWidth="1" min="27" max="30" width="9.63" outlineLevel="1"/>
    <col customWidth="1" min="31" max="31" width="9.63"/>
    <col customWidth="1" min="32" max="35" width="9.63" outlineLevel="1"/>
    <col customWidth="1" min="36" max="36" width="9.63"/>
    <col customWidth="1" min="37" max="40" width="9.63" outlineLevel="1"/>
    <col customWidth="1" min="41" max="41" width="9.63"/>
    <col customWidth="1" min="42" max="59" width="8.63"/>
  </cols>
  <sheetData>
    <row r="1" ht="10.5" customHeight="1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164"/>
    </row>
    <row r="2" ht="10.5" customHeight="1">
      <c r="A2" s="166" t="s">
        <v>142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4"/>
      <c r="AQ2" s="164"/>
      <c r="AR2" s="164"/>
      <c r="AS2" s="164"/>
      <c r="AT2" s="164"/>
      <c r="AU2" s="164"/>
      <c r="AV2" s="164"/>
      <c r="AW2" s="164"/>
      <c r="AX2" s="164"/>
      <c r="AY2" s="164"/>
      <c r="AZ2" s="164"/>
      <c r="BA2" s="164"/>
      <c r="BB2" s="164"/>
      <c r="BC2" s="164"/>
      <c r="BD2" s="164"/>
      <c r="BE2" s="164"/>
      <c r="BF2" s="164"/>
      <c r="BG2" s="164"/>
    </row>
    <row r="3" ht="10.5" customHeight="1">
      <c r="A3" s="168" t="s">
        <v>6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8"/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4"/>
      <c r="BF3" s="164"/>
      <c r="BG3" s="164"/>
    </row>
    <row r="4" ht="10.5" customHeight="1">
      <c r="A4" s="164" t="s">
        <v>144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4"/>
      <c r="BF4" s="164"/>
      <c r="BG4" s="164"/>
    </row>
    <row r="5" ht="10.5" customHeight="1">
      <c r="A5" s="164"/>
      <c r="B5" s="173" t="s">
        <v>145</v>
      </c>
      <c r="C5" s="174"/>
      <c r="D5" s="174"/>
      <c r="E5" s="175"/>
      <c r="F5" s="176" t="s">
        <v>145</v>
      </c>
      <c r="G5" s="173" t="s">
        <v>146</v>
      </c>
      <c r="H5" s="174"/>
      <c r="I5" s="174"/>
      <c r="J5" s="175"/>
      <c r="K5" s="176" t="s">
        <v>146</v>
      </c>
      <c r="L5" s="173" t="s">
        <v>147</v>
      </c>
      <c r="M5" s="174"/>
      <c r="N5" s="174"/>
      <c r="O5" s="175"/>
      <c r="P5" s="177">
        <v>2025.0</v>
      </c>
      <c r="Q5" s="178">
        <f>P5+1</f>
        <v>2026</v>
      </c>
      <c r="R5" s="174"/>
      <c r="S5" s="174"/>
      <c r="T5" s="175"/>
      <c r="U5" s="177">
        <f>Q5</f>
        <v>2026</v>
      </c>
      <c r="V5" s="178">
        <f>U5+1</f>
        <v>2027</v>
      </c>
      <c r="W5" s="174"/>
      <c r="X5" s="174"/>
      <c r="Y5" s="175"/>
      <c r="Z5" s="177">
        <f>V5</f>
        <v>2027</v>
      </c>
      <c r="AA5" s="178">
        <f>Z5+1</f>
        <v>2028</v>
      </c>
      <c r="AB5" s="174"/>
      <c r="AC5" s="174"/>
      <c r="AD5" s="175"/>
      <c r="AE5" s="177">
        <f>AA5</f>
        <v>2028</v>
      </c>
      <c r="AF5" s="178">
        <f>AE5+1</f>
        <v>2029</v>
      </c>
      <c r="AG5" s="174"/>
      <c r="AH5" s="174"/>
      <c r="AI5" s="175"/>
      <c r="AJ5" s="177">
        <f>AF5</f>
        <v>2029</v>
      </c>
      <c r="AK5" s="178">
        <f>AJ5+1</f>
        <v>2030</v>
      </c>
      <c r="AL5" s="174"/>
      <c r="AM5" s="174"/>
      <c r="AN5" s="175"/>
      <c r="AO5" s="177">
        <f>AK5</f>
        <v>2030</v>
      </c>
      <c r="AP5" s="164"/>
      <c r="AQ5" s="164"/>
      <c r="AR5" s="164"/>
      <c r="AS5" s="164"/>
      <c r="AT5" s="164"/>
      <c r="AU5" s="164"/>
      <c r="AV5" s="164"/>
      <c r="AW5" s="164"/>
      <c r="AX5" s="164"/>
      <c r="AY5" s="164"/>
      <c r="AZ5" s="164"/>
      <c r="BA5" s="164"/>
      <c r="BB5" s="164"/>
      <c r="BC5" s="164"/>
      <c r="BD5" s="164"/>
      <c r="BE5" s="164"/>
      <c r="BF5" s="164"/>
      <c r="BG5" s="164"/>
    </row>
    <row r="6" ht="10.5" customHeight="1">
      <c r="A6" s="164"/>
      <c r="B6" s="179" t="s">
        <v>148</v>
      </c>
      <c r="C6" s="179" t="s">
        <v>149</v>
      </c>
      <c r="D6" s="179" t="s">
        <v>150</v>
      </c>
      <c r="E6" s="179" t="s">
        <v>151</v>
      </c>
      <c r="F6" s="180" t="s">
        <v>152</v>
      </c>
      <c r="G6" s="179" t="s">
        <v>148</v>
      </c>
      <c r="H6" s="179" t="s">
        <v>149</v>
      </c>
      <c r="I6" s="179" t="s">
        <v>150</v>
      </c>
      <c r="J6" s="179" t="s">
        <v>151</v>
      </c>
      <c r="K6" s="180" t="s">
        <v>152</v>
      </c>
      <c r="L6" s="179" t="s">
        <v>148</v>
      </c>
      <c r="M6" s="179" t="s">
        <v>149</v>
      </c>
      <c r="N6" s="179" t="s">
        <v>150</v>
      </c>
      <c r="O6" s="179" t="s">
        <v>153</v>
      </c>
      <c r="P6" s="180" t="s">
        <v>152</v>
      </c>
      <c r="Q6" s="179" t="s">
        <v>154</v>
      </c>
      <c r="R6" s="179" t="s">
        <v>155</v>
      </c>
      <c r="S6" s="179" t="s">
        <v>156</v>
      </c>
      <c r="T6" s="179" t="s">
        <v>153</v>
      </c>
      <c r="U6" s="180" t="s">
        <v>152</v>
      </c>
      <c r="V6" s="179" t="s">
        <v>154</v>
      </c>
      <c r="W6" s="179" t="s">
        <v>155</v>
      </c>
      <c r="X6" s="179" t="s">
        <v>156</v>
      </c>
      <c r="Y6" s="179" t="s">
        <v>153</v>
      </c>
      <c r="Z6" s="180" t="s">
        <v>152</v>
      </c>
      <c r="AA6" s="179" t="s">
        <v>154</v>
      </c>
      <c r="AB6" s="179" t="s">
        <v>155</v>
      </c>
      <c r="AC6" s="179" t="s">
        <v>156</v>
      </c>
      <c r="AD6" s="179" t="s">
        <v>153</v>
      </c>
      <c r="AE6" s="180" t="s">
        <v>152</v>
      </c>
      <c r="AF6" s="179" t="s">
        <v>154</v>
      </c>
      <c r="AG6" s="179" t="s">
        <v>155</v>
      </c>
      <c r="AH6" s="179" t="s">
        <v>156</v>
      </c>
      <c r="AI6" s="179" t="s">
        <v>153</v>
      </c>
      <c r="AJ6" s="180" t="s">
        <v>152</v>
      </c>
      <c r="AK6" s="179" t="s">
        <v>154</v>
      </c>
      <c r="AL6" s="179" t="s">
        <v>155</v>
      </c>
      <c r="AM6" s="179" t="s">
        <v>156</v>
      </c>
      <c r="AN6" s="179" t="s">
        <v>153</v>
      </c>
      <c r="AO6" s="180" t="s">
        <v>152</v>
      </c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164"/>
      <c r="BC6" s="164"/>
      <c r="BD6" s="164"/>
      <c r="BE6" s="164"/>
      <c r="BF6" s="164"/>
      <c r="BG6" s="164"/>
    </row>
    <row r="7" ht="10.5" customHeight="1">
      <c r="A7" s="181"/>
      <c r="B7" s="164"/>
      <c r="C7" s="164"/>
      <c r="D7" s="164"/>
      <c r="E7" s="164"/>
      <c r="F7" s="182"/>
      <c r="G7" s="164"/>
      <c r="H7" s="164"/>
      <c r="I7" s="164"/>
      <c r="J7" s="164"/>
      <c r="K7" s="182"/>
      <c r="L7" s="164"/>
      <c r="M7" s="164"/>
      <c r="N7" s="164"/>
      <c r="O7" s="164"/>
      <c r="P7" s="182"/>
      <c r="Q7" s="164"/>
      <c r="R7" s="164"/>
      <c r="S7" s="164"/>
      <c r="T7" s="164"/>
      <c r="U7" s="182"/>
      <c r="V7" s="164"/>
      <c r="W7" s="164"/>
      <c r="X7" s="164"/>
      <c r="Y7" s="164"/>
      <c r="Z7" s="182"/>
      <c r="AA7" s="164"/>
      <c r="AB7" s="164"/>
      <c r="AC7" s="164"/>
      <c r="AD7" s="164"/>
      <c r="AE7" s="182"/>
      <c r="AF7" s="164"/>
      <c r="AG7" s="164"/>
      <c r="AH7" s="164"/>
      <c r="AI7" s="164"/>
      <c r="AJ7" s="182"/>
      <c r="AK7" s="164"/>
      <c r="AL7" s="164"/>
      <c r="AM7" s="164"/>
      <c r="AN7" s="164"/>
      <c r="AO7" s="182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  <c r="BC7" s="164"/>
      <c r="BD7" s="164"/>
      <c r="BE7" s="164"/>
      <c r="BF7" s="164"/>
      <c r="BG7" s="164"/>
    </row>
    <row r="8" ht="10.5" customHeight="1">
      <c r="A8" s="198" t="s">
        <v>241</v>
      </c>
      <c r="B8" s="215"/>
      <c r="C8" s="215"/>
      <c r="D8" s="215"/>
      <c r="E8" s="215"/>
      <c r="F8" s="216"/>
      <c r="G8" s="215"/>
      <c r="H8" s="215"/>
      <c r="I8" s="215"/>
      <c r="J8" s="215"/>
      <c r="K8" s="216"/>
      <c r="L8" s="251"/>
      <c r="M8" s="252"/>
      <c r="N8" s="215"/>
      <c r="O8" s="215"/>
      <c r="P8" s="216"/>
      <c r="Q8" s="215"/>
      <c r="R8" s="215"/>
      <c r="S8" s="215"/>
      <c r="T8" s="215">
        <f>U10-U8</f>
        <v>44.43549724</v>
      </c>
      <c r="U8" s="216">
        <v>528.2559413684594</v>
      </c>
      <c r="V8" s="215"/>
      <c r="W8" s="215"/>
      <c r="X8" s="215"/>
      <c r="Y8" s="215"/>
      <c r="Z8" s="216"/>
      <c r="AA8" s="215"/>
      <c r="AB8" s="215"/>
      <c r="AC8" s="215"/>
      <c r="AD8" s="215"/>
      <c r="AE8" s="216"/>
      <c r="AF8" s="215"/>
      <c r="AG8" s="215"/>
      <c r="AH8" s="215"/>
      <c r="AI8" s="215"/>
      <c r="AJ8" s="216"/>
      <c r="AK8" s="215"/>
      <c r="AL8" s="215"/>
      <c r="AM8" s="215"/>
      <c r="AN8" s="215"/>
      <c r="AO8" s="216"/>
      <c r="AP8" s="164"/>
      <c r="AQ8" s="187"/>
      <c r="AR8" s="164"/>
      <c r="AS8" s="164"/>
      <c r="AT8" s="164"/>
      <c r="AU8" s="164"/>
      <c r="AV8" s="187"/>
      <c r="AW8" s="164"/>
      <c r="AX8" s="164"/>
      <c r="AY8" s="164"/>
      <c r="AZ8" s="164"/>
      <c r="BA8" s="187"/>
      <c r="BB8" s="164"/>
      <c r="BC8" s="164"/>
      <c r="BD8" s="164"/>
      <c r="BE8" s="164"/>
      <c r="BF8" s="187"/>
      <c r="BG8" s="164"/>
    </row>
    <row r="9" ht="10.5" customHeight="1">
      <c r="A9" s="181"/>
      <c r="B9" s="165"/>
      <c r="C9" s="165"/>
      <c r="D9" s="165"/>
      <c r="E9" s="165"/>
      <c r="F9" s="207"/>
      <c r="G9" s="165"/>
      <c r="H9" s="165"/>
      <c r="I9" s="165"/>
      <c r="J9" s="165"/>
      <c r="K9" s="207"/>
      <c r="L9" s="165"/>
      <c r="M9" s="187"/>
      <c r="N9" s="165"/>
      <c r="O9" s="165"/>
      <c r="P9" s="207"/>
      <c r="Q9" s="165"/>
      <c r="R9" s="165"/>
      <c r="S9" s="165"/>
      <c r="T9" s="165"/>
      <c r="U9" s="207"/>
      <c r="V9" s="165"/>
      <c r="W9" s="165"/>
      <c r="X9" s="165"/>
      <c r="Y9" s="165"/>
      <c r="Z9" s="207"/>
      <c r="AA9" s="165"/>
      <c r="AB9" s="165"/>
      <c r="AC9" s="165"/>
      <c r="AD9" s="165"/>
      <c r="AE9" s="207"/>
      <c r="AF9" s="165"/>
      <c r="AG9" s="165"/>
      <c r="AH9" s="165"/>
      <c r="AI9" s="165"/>
      <c r="AJ9" s="207"/>
      <c r="AK9" s="165"/>
      <c r="AL9" s="165"/>
      <c r="AM9" s="165"/>
      <c r="AN9" s="165"/>
      <c r="AO9" s="207"/>
      <c r="AP9" s="164"/>
      <c r="AQ9" s="187"/>
      <c r="AR9" s="164"/>
      <c r="AS9" s="164"/>
      <c r="AT9" s="164"/>
      <c r="AU9" s="164"/>
      <c r="AV9" s="187"/>
      <c r="AW9" s="164"/>
      <c r="AX9" s="164"/>
      <c r="AY9" s="164"/>
      <c r="AZ9" s="164"/>
      <c r="BA9" s="187"/>
      <c r="BB9" s="164"/>
      <c r="BC9" s="164"/>
      <c r="BD9" s="164"/>
      <c r="BE9" s="164"/>
      <c r="BF9" s="187"/>
      <c r="BG9" s="164"/>
    </row>
    <row r="10" ht="10.5" customHeight="1">
      <c r="A10" s="181" t="s">
        <v>224</v>
      </c>
      <c r="B10" s="219">
        <v>92.682</v>
      </c>
      <c r="C10" s="219">
        <v>98.842</v>
      </c>
      <c r="D10" s="219">
        <v>98.165</v>
      </c>
      <c r="E10" s="219">
        <v>98.23999999999998</v>
      </c>
      <c r="F10" s="194">
        <f>SUM(B10:E10)</f>
        <v>387.929</v>
      </c>
      <c r="G10" s="219">
        <v>104.02000000000001</v>
      </c>
      <c r="H10" s="219">
        <v>107.78999999999999</v>
      </c>
      <c r="I10" s="219">
        <v>102.415</v>
      </c>
      <c r="J10" s="219">
        <v>109.02199999999999</v>
      </c>
      <c r="K10" s="194">
        <f>SUM(G10:J10)</f>
        <v>423.247</v>
      </c>
      <c r="L10" s="193">
        <f>'Income Statement'!L114</f>
        <v>115.18</v>
      </c>
      <c r="M10" s="193">
        <f>'Income Statement'!M114</f>
        <v>119.658</v>
      </c>
      <c r="N10" s="193">
        <f>'Income Statement'!N114</f>
        <v>113.675</v>
      </c>
      <c r="O10" s="193">
        <f>O61*AVERAGE(O52,O58)</f>
        <v>119.7055445</v>
      </c>
      <c r="P10" s="194">
        <f>SUM(L10:O10)</f>
        <v>468.2185445</v>
      </c>
      <c r="Q10" s="193">
        <f t="shared" ref="Q10:T10" si="1">Q61*AVERAGE(Q52,Q58)</f>
        <v>141.1678103</v>
      </c>
      <c r="R10" s="193">
        <f t="shared" si="1"/>
        <v>146.8497961</v>
      </c>
      <c r="S10" s="193">
        <f t="shared" si="1"/>
        <v>138.7640947</v>
      </c>
      <c r="T10" s="193">
        <f t="shared" si="1"/>
        <v>145.9097375</v>
      </c>
      <c r="U10" s="194">
        <f>SUM(Q10:T10)</f>
        <v>572.6914386</v>
      </c>
      <c r="V10" s="193">
        <f t="shared" ref="V10:Y10" si="2">V61*AVERAGE(V52,V58)</f>
        <v>158.8070075</v>
      </c>
      <c r="W10" s="193">
        <f t="shared" si="2"/>
        <v>165.3877293</v>
      </c>
      <c r="X10" s="193">
        <f t="shared" si="2"/>
        <v>154.8018204</v>
      </c>
      <c r="Y10" s="193">
        <f t="shared" si="2"/>
        <v>162.601887</v>
      </c>
      <c r="Z10" s="194">
        <f>SUM(V10:Y10)</f>
        <v>641.5984442</v>
      </c>
      <c r="AA10" s="193">
        <f t="shared" ref="AA10:AD10" si="3">AA61*AVERAGE(AA52,AA58)</f>
        <v>175.9255406</v>
      </c>
      <c r="AB10" s="193">
        <f t="shared" si="3"/>
        <v>183.1187945</v>
      </c>
      <c r="AC10" s="193">
        <f t="shared" si="3"/>
        <v>171.3056299</v>
      </c>
      <c r="AD10" s="193">
        <f t="shared" si="3"/>
        <v>179.7384843</v>
      </c>
      <c r="AE10" s="194">
        <f>SUM(AA10:AD10)</f>
        <v>710.0884492</v>
      </c>
      <c r="AF10" s="193">
        <f t="shared" ref="AF10:AI10" si="4">AF61*AVERAGE(AF52,AF58)</f>
        <v>192.3420038</v>
      </c>
      <c r="AG10" s="193">
        <f t="shared" si="4"/>
        <v>199.9521501</v>
      </c>
      <c r="AH10" s="193">
        <f t="shared" si="4"/>
        <v>186.7566048</v>
      </c>
      <c r="AI10" s="193">
        <f t="shared" si="4"/>
        <v>195.5802858</v>
      </c>
      <c r="AJ10" s="194">
        <f>SUM(AF10:AI10)</f>
        <v>774.6310444</v>
      </c>
      <c r="AK10" s="193">
        <f t="shared" ref="AK10:AN10" si="5">AK61*AVERAGE(AK52,AK58)</f>
        <v>209.0485871</v>
      </c>
      <c r="AL10" s="193">
        <f t="shared" si="5"/>
        <v>217.2415641</v>
      </c>
      <c r="AM10" s="193">
        <f t="shared" si="5"/>
        <v>202.8331045</v>
      </c>
      <c r="AN10" s="193">
        <f t="shared" si="5"/>
        <v>212.247467</v>
      </c>
      <c r="AO10" s="194">
        <f>SUM(AK10:AN10)</f>
        <v>841.3707227</v>
      </c>
      <c r="AP10" s="238"/>
      <c r="AQ10" s="253"/>
      <c r="AR10" s="238"/>
      <c r="AS10" s="238"/>
      <c r="AT10" s="238"/>
      <c r="AU10" s="238"/>
      <c r="AV10" s="253"/>
      <c r="AW10" s="238"/>
      <c r="AX10" s="238"/>
      <c r="AY10" s="238"/>
      <c r="AZ10" s="238"/>
      <c r="BA10" s="253"/>
      <c r="BB10" s="238"/>
      <c r="BC10" s="238"/>
      <c r="BD10" s="238"/>
      <c r="BE10" s="238"/>
      <c r="BF10" s="253"/>
      <c r="BG10" s="238"/>
    </row>
    <row r="11" ht="10.5" customHeight="1">
      <c r="A11" s="183" t="s">
        <v>212</v>
      </c>
      <c r="B11" s="220"/>
      <c r="C11" s="220"/>
      <c r="D11" s="220"/>
      <c r="E11" s="220"/>
      <c r="F11" s="221"/>
      <c r="G11" s="220">
        <f t="shared" ref="G11:AO11" si="6">IFERROR(G10/B10-1,"na")</f>
        <v>0.122332276</v>
      </c>
      <c r="H11" s="220">
        <f t="shared" si="6"/>
        <v>0.09052831792</v>
      </c>
      <c r="I11" s="220">
        <f t="shared" si="6"/>
        <v>0.04329445322</v>
      </c>
      <c r="J11" s="220">
        <f t="shared" si="6"/>
        <v>0.1097516287</v>
      </c>
      <c r="K11" s="221">
        <f t="shared" si="6"/>
        <v>0.09104243302</v>
      </c>
      <c r="L11" s="220">
        <f t="shared" si="6"/>
        <v>0.1072870602</v>
      </c>
      <c r="M11" s="220">
        <f t="shared" si="6"/>
        <v>0.110102978</v>
      </c>
      <c r="N11" s="220">
        <f t="shared" si="6"/>
        <v>0.1099448323</v>
      </c>
      <c r="O11" s="220">
        <f t="shared" si="6"/>
        <v>0.09799439136</v>
      </c>
      <c r="P11" s="221">
        <f t="shared" si="6"/>
        <v>0.106253664</v>
      </c>
      <c r="Q11" s="220">
        <f t="shared" si="6"/>
        <v>0.2256278027</v>
      </c>
      <c r="R11" s="220">
        <f t="shared" si="6"/>
        <v>0.2272459514</v>
      </c>
      <c r="S11" s="220">
        <f t="shared" si="6"/>
        <v>0.2207089926</v>
      </c>
      <c r="T11" s="220">
        <f t="shared" si="6"/>
        <v>0.2189054239</v>
      </c>
      <c r="U11" s="221">
        <f t="shared" si="6"/>
        <v>0.2231284841</v>
      </c>
      <c r="V11" s="220">
        <f t="shared" si="6"/>
        <v>0.1249519785</v>
      </c>
      <c r="W11" s="220">
        <f t="shared" si="6"/>
        <v>0.1262373785</v>
      </c>
      <c r="X11" s="220">
        <f t="shared" si="6"/>
        <v>0.1155754717</v>
      </c>
      <c r="Y11" s="220">
        <f t="shared" si="6"/>
        <v>0.1144005173</v>
      </c>
      <c r="Z11" s="221">
        <f t="shared" si="6"/>
        <v>0.1203213476</v>
      </c>
      <c r="AA11" s="220">
        <f t="shared" si="6"/>
        <v>0.1077945701</v>
      </c>
      <c r="AB11" s="220">
        <f t="shared" si="6"/>
        <v>0.107209073</v>
      </c>
      <c r="AC11" s="220">
        <f t="shared" si="6"/>
        <v>0.1066125022</v>
      </c>
      <c r="AD11" s="220">
        <f t="shared" si="6"/>
        <v>0.1053899043</v>
      </c>
      <c r="AE11" s="221">
        <f t="shared" si="6"/>
        <v>0.1067490197</v>
      </c>
      <c r="AF11" s="220">
        <f t="shared" si="6"/>
        <v>0.09331483695</v>
      </c>
      <c r="AG11" s="220">
        <f t="shared" si="6"/>
        <v>0.09192587578</v>
      </c>
      <c r="AH11" s="220">
        <f t="shared" si="6"/>
        <v>0.09019537146</v>
      </c>
      <c r="AI11" s="220">
        <f t="shared" si="6"/>
        <v>0.08813806154</v>
      </c>
      <c r="AJ11" s="221">
        <f t="shared" si="6"/>
        <v>0.09089374045</v>
      </c>
      <c r="AK11" s="220">
        <f t="shared" si="6"/>
        <v>0.08685873606</v>
      </c>
      <c r="AL11" s="220">
        <f t="shared" si="6"/>
        <v>0.08646775746</v>
      </c>
      <c r="AM11" s="220">
        <f t="shared" si="6"/>
        <v>0.08608263015</v>
      </c>
      <c r="AN11" s="220">
        <f t="shared" si="6"/>
        <v>0.08521912662</v>
      </c>
      <c r="AO11" s="221">
        <f t="shared" si="6"/>
        <v>0.08615673063</v>
      </c>
      <c r="AP11" s="238"/>
      <c r="AQ11" s="253"/>
      <c r="AR11" s="238"/>
      <c r="AS11" s="238"/>
      <c r="AT11" s="238"/>
      <c r="AU11" s="238"/>
      <c r="AV11" s="253"/>
      <c r="AW11" s="238"/>
      <c r="AX11" s="238"/>
      <c r="AY11" s="238"/>
      <c r="AZ11" s="238"/>
      <c r="BA11" s="253"/>
      <c r="BB11" s="238"/>
      <c r="BC11" s="238"/>
      <c r="BD11" s="238"/>
      <c r="BE11" s="238"/>
      <c r="BF11" s="253"/>
      <c r="BG11" s="238"/>
    </row>
    <row r="12" ht="10.5" customHeight="1">
      <c r="A12" s="183" t="s">
        <v>242</v>
      </c>
      <c r="B12" s="254">
        <f t="shared" ref="B12:AO12" si="7">B10/B$22</f>
        <v>0.4170637867</v>
      </c>
      <c r="C12" s="254">
        <f t="shared" si="7"/>
        <v>0.3450428153</v>
      </c>
      <c r="D12" s="254">
        <f t="shared" si="7"/>
        <v>0.3536827466</v>
      </c>
      <c r="E12" s="254">
        <f t="shared" si="7"/>
        <v>0.3445965618</v>
      </c>
      <c r="F12" s="255">
        <f t="shared" si="7"/>
        <v>0.3621017319</v>
      </c>
      <c r="G12" s="254">
        <f t="shared" si="7"/>
        <v>0.4194067342</v>
      </c>
      <c r="H12" s="254">
        <f t="shared" si="7"/>
        <v>0.3581765197</v>
      </c>
      <c r="I12" s="254">
        <f t="shared" si="7"/>
        <v>0.3504410668</v>
      </c>
      <c r="J12" s="254">
        <f t="shared" si="7"/>
        <v>0.3202291085</v>
      </c>
      <c r="K12" s="255">
        <f t="shared" si="7"/>
        <v>0.3581818366</v>
      </c>
      <c r="L12" s="254">
        <f t="shared" si="7"/>
        <v>0.4163202753</v>
      </c>
      <c r="M12" s="254">
        <f t="shared" si="7"/>
        <v>0.3510277841</v>
      </c>
      <c r="N12" s="254">
        <f t="shared" si="7"/>
        <v>0.3441099457</v>
      </c>
      <c r="O12" s="254">
        <f t="shared" si="7"/>
        <v>0.3314754013</v>
      </c>
      <c r="P12" s="255">
        <f t="shared" si="7"/>
        <v>0.3576875492</v>
      </c>
      <c r="Q12" s="254">
        <f t="shared" si="7"/>
        <v>0.4444383155</v>
      </c>
      <c r="R12" s="254">
        <f t="shared" si="7"/>
        <v>0.378864125</v>
      </c>
      <c r="S12" s="254">
        <f t="shared" si="7"/>
        <v>0.3689624015</v>
      </c>
      <c r="T12" s="254">
        <f t="shared" si="7"/>
        <v>0.3553753233</v>
      </c>
      <c r="U12" s="255">
        <f t="shared" si="7"/>
        <v>0.3838647481</v>
      </c>
      <c r="V12" s="254">
        <f t="shared" si="7"/>
        <v>0.4498342417</v>
      </c>
      <c r="W12" s="254">
        <f t="shared" si="7"/>
        <v>0.3852189346</v>
      </c>
      <c r="X12" s="254">
        <f t="shared" si="7"/>
        <v>0.3723065488</v>
      </c>
      <c r="Y12" s="254">
        <f t="shared" si="7"/>
        <v>0.3589627523</v>
      </c>
      <c r="Z12" s="255">
        <f t="shared" si="7"/>
        <v>0.3885797258</v>
      </c>
      <c r="AA12" s="254">
        <f t="shared" si="7"/>
        <v>0.4521299298</v>
      </c>
      <c r="AB12" s="254">
        <f t="shared" si="7"/>
        <v>0.3903480122</v>
      </c>
      <c r="AC12" s="254">
        <f t="shared" si="7"/>
        <v>0.3772429757</v>
      </c>
      <c r="AD12" s="254">
        <f t="shared" si="7"/>
        <v>0.3647219215</v>
      </c>
      <c r="AE12" s="255">
        <f t="shared" si="7"/>
        <v>0.3933726266</v>
      </c>
      <c r="AF12" s="254">
        <f t="shared" si="7"/>
        <v>0.452508632</v>
      </c>
      <c r="AG12" s="254">
        <f t="shared" si="7"/>
        <v>0.3940372844</v>
      </c>
      <c r="AH12" s="254">
        <f t="shared" si="7"/>
        <v>0.3809235913</v>
      </c>
      <c r="AI12" s="254">
        <f t="shared" si="7"/>
        <v>0.3697073061</v>
      </c>
      <c r="AJ12" s="255">
        <f t="shared" si="7"/>
        <v>0.3968826097</v>
      </c>
      <c r="AK12" s="254">
        <f t="shared" si="7"/>
        <v>0.4564478753</v>
      </c>
      <c r="AL12" s="254">
        <f t="shared" si="7"/>
        <v>0.3999816014</v>
      </c>
      <c r="AM12" s="254">
        <f t="shared" si="7"/>
        <v>0.386689731</v>
      </c>
      <c r="AN12" s="254">
        <f t="shared" si="7"/>
        <v>0.3760782133</v>
      </c>
      <c r="AO12" s="255">
        <f t="shared" si="7"/>
        <v>0.4025646043</v>
      </c>
      <c r="AP12" s="238"/>
      <c r="AQ12" s="253"/>
      <c r="AR12" s="238"/>
      <c r="AS12" s="238"/>
      <c r="AT12" s="238"/>
      <c r="AU12" s="238"/>
      <c r="AV12" s="253"/>
      <c r="AW12" s="238"/>
      <c r="AX12" s="238"/>
      <c r="AY12" s="238"/>
      <c r="AZ12" s="238"/>
      <c r="BA12" s="253"/>
      <c r="BB12" s="238"/>
      <c r="BC12" s="238"/>
      <c r="BD12" s="238"/>
      <c r="BE12" s="238"/>
      <c r="BF12" s="253"/>
      <c r="BG12" s="238"/>
    </row>
    <row r="13" ht="10.5" customHeight="1">
      <c r="A13" s="181"/>
      <c r="B13" s="238"/>
      <c r="C13" s="238"/>
      <c r="D13" s="238"/>
      <c r="E13" s="238"/>
      <c r="F13" s="256"/>
      <c r="G13" s="238"/>
      <c r="H13" s="238"/>
      <c r="I13" s="238"/>
      <c r="J13" s="238"/>
      <c r="K13" s="256"/>
      <c r="L13" s="238"/>
      <c r="M13" s="253"/>
      <c r="N13" s="253"/>
      <c r="O13" s="238"/>
      <c r="P13" s="256"/>
      <c r="Q13" s="238"/>
      <c r="R13" s="238"/>
      <c r="S13" s="238"/>
      <c r="T13" s="238"/>
      <c r="U13" s="256"/>
      <c r="V13" s="238"/>
      <c r="W13" s="238"/>
      <c r="X13" s="238"/>
      <c r="Y13" s="238"/>
      <c r="Z13" s="256"/>
      <c r="AA13" s="238"/>
      <c r="AB13" s="238"/>
      <c r="AC13" s="238"/>
      <c r="AD13" s="238"/>
      <c r="AE13" s="256"/>
      <c r="AF13" s="238"/>
      <c r="AG13" s="238"/>
      <c r="AH13" s="238"/>
      <c r="AI13" s="238"/>
      <c r="AJ13" s="256"/>
      <c r="AK13" s="238"/>
      <c r="AL13" s="238"/>
      <c r="AM13" s="238"/>
      <c r="AN13" s="238"/>
      <c r="AO13" s="256"/>
      <c r="AP13" s="238"/>
      <c r="AQ13" s="253"/>
      <c r="AR13" s="238"/>
      <c r="AS13" s="238"/>
      <c r="AT13" s="238"/>
      <c r="AU13" s="238"/>
      <c r="AV13" s="253"/>
      <c r="AW13" s="238"/>
      <c r="AX13" s="238"/>
      <c r="AY13" s="238"/>
      <c r="AZ13" s="238"/>
      <c r="BA13" s="253"/>
      <c r="BB13" s="238"/>
      <c r="BC13" s="238"/>
      <c r="BD13" s="238"/>
      <c r="BE13" s="238"/>
      <c r="BF13" s="253"/>
      <c r="BG13" s="238"/>
    </row>
    <row r="14" ht="10.5" customHeight="1">
      <c r="A14" s="181" t="s">
        <v>225</v>
      </c>
      <c r="B14" s="257">
        <v>105.882</v>
      </c>
      <c r="C14" s="257">
        <v>113.759</v>
      </c>
      <c r="D14" s="257">
        <v>113.245</v>
      </c>
      <c r="E14" s="257">
        <v>116.41000000000003</v>
      </c>
      <c r="F14" s="194">
        <f>SUM(B14:E14)</f>
        <v>449.296</v>
      </c>
      <c r="G14" s="257">
        <v>122.378</v>
      </c>
      <c r="H14" s="257">
        <v>125.466</v>
      </c>
      <c r="I14" s="257">
        <v>128.132</v>
      </c>
      <c r="J14" s="257">
        <v>126.31099999999996</v>
      </c>
      <c r="K14" s="256">
        <f>SUM(G14:J14)</f>
        <v>502.287</v>
      </c>
      <c r="L14" s="238">
        <v>133.669</v>
      </c>
      <c r="M14" s="238">
        <f>'Income Statement'!M117</f>
        <v>138.989</v>
      </c>
      <c r="N14" s="238">
        <f>'Income Statement'!N117</f>
        <v>137.833</v>
      </c>
      <c r="O14" s="238">
        <f>O75*AVERAGE(O66,O72)</f>
        <v>136.3069512</v>
      </c>
      <c r="P14" s="256">
        <f>SUM(L14:O14)</f>
        <v>546.7979512</v>
      </c>
      <c r="Q14" s="238">
        <f t="shared" ref="Q14:T14" si="8">Q75*AVERAGE(Q66,Q72)</f>
        <v>146.1479731</v>
      </c>
      <c r="R14" s="238">
        <f t="shared" si="8"/>
        <v>151.1227644</v>
      </c>
      <c r="S14" s="238">
        <f t="shared" si="8"/>
        <v>151.3963537</v>
      </c>
      <c r="T14" s="238">
        <f t="shared" si="8"/>
        <v>151.1431632</v>
      </c>
      <c r="U14" s="256">
        <f>SUM(Q14:T14)</f>
        <v>599.8102544</v>
      </c>
      <c r="V14" s="238">
        <f t="shared" ref="V14:Y14" si="9">V75*AVERAGE(V66,V72)</f>
        <v>161.9407734</v>
      </c>
      <c r="W14" s="238">
        <f t="shared" si="9"/>
        <v>168.4876254</v>
      </c>
      <c r="X14" s="238">
        <f t="shared" si="9"/>
        <v>169.4715387</v>
      </c>
      <c r="Y14" s="238">
        <f t="shared" si="9"/>
        <v>169.469585</v>
      </c>
      <c r="Z14" s="256">
        <f>SUM(V14:Y14)</f>
        <v>669.3695226</v>
      </c>
      <c r="AA14" s="238">
        <f t="shared" ref="AA14:AD14" si="10">AA75*AVERAGE(AA66,AA72)</f>
        <v>179.6002173</v>
      </c>
      <c r="AB14" s="238">
        <f t="shared" si="10"/>
        <v>186.720587</v>
      </c>
      <c r="AC14" s="238">
        <f t="shared" si="10"/>
        <v>187.6146468</v>
      </c>
      <c r="AD14" s="238">
        <f t="shared" si="10"/>
        <v>187.3293743</v>
      </c>
      <c r="AE14" s="256">
        <f>SUM(AA14:AD14)</f>
        <v>741.2648254</v>
      </c>
      <c r="AF14" s="238">
        <f t="shared" ref="AF14:AI14" si="11">AF75*AVERAGE(AF66,AF72)</f>
        <v>198.2974448</v>
      </c>
      <c r="AG14" s="238">
        <f t="shared" si="11"/>
        <v>205.7332846</v>
      </c>
      <c r="AH14" s="238">
        <f t="shared" si="11"/>
        <v>205.9584191</v>
      </c>
      <c r="AI14" s="238">
        <f t="shared" si="11"/>
        <v>204.5482241</v>
      </c>
      <c r="AJ14" s="256">
        <f>SUM(AF14:AI14)</f>
        <v>814.5373726</v>
      </c>
      <c r="AK14" s="238">
        <f t="shared" ref="AK14:AN14" si="12">AK75*AVERAGE(AK66,AK72)</f>
        <v>213.6633812</v>
      </c>
      <c r="AL14" s="238">
        <f t="shared" si="12"/>
        <v>221.584033</v>
      </c>
      <c r="AM14" s="238">
        <f t="shared" si="12"/>
        <v>221.7069133</v>
      </c>
      <c r="AN14" s="238">
        <f t="shared" si="12"/>
        <v>220.0156053</v>
      </c>
      <c r="AO14" s="256">
        <f>SUM(AK14:AN14)</f>
        <v>876.9699328</v>
      </c>
      <c r="AP14" s="238"/>
      <c r="AQ14" s="253"/>
      <c r="AR14" s="238"/>
      <c r="AS14" s="238"/>
      <c r="AT14" s="238"/>
      <c r="AU14" s="238"/>
      <c r="AV14" s="253"/>
      <c r="AW14" s="238"/>
      <c r="AX14" s="238"/>
      <c r="AY14" s="238"/>
      <c r="AZ14" s="238"/>
      <c r="BA14" s="253"/>
      <c r="BB14" s="238"/>
      <c r="BC14" s="238"/>
      <c r="BD14" s="238"/>
      <c r="BE14" s="238"/>
      <c r="BF14" s="253"/>
      <c r="BG14" s="238"/>
    </row>
    <row r="15" ht="10.5" customHeight="1">
      <c r="A15" s="183" t="s">
        <v>212</v>
      </c>
      <c r="B15" s="220"/>
      <c r="C15" s="220"/>
      <c r="D15" s="220"/>
      <c r="E15" s="220"/>
      <c r="F15" s="221"/>
      <c r="G15" s="220">
        <f t="shared" ref="G15:AO15" si="13">IFERROR(G14/B14-1,"na")</f>
        <v>0.1557960749</v>
      </c>
      <c r="H15" s="220">
        <f t="shared" si="13"/>
        <v>0.1029105389</v>
      </c>
      <c r="I15" s="220">
        <f t="shared" si="13"/>
        <v>0.1314583425</v>
      </c>
      <c r="J15" s="220">
        <f t="shared" si="13"/>
        <v>0.08505283051</v>
      </c>
      <c r="K15" s="221">
        <f t="shared" si="13"/>
        <v>0.1179422919</v>
      </c>
      <c r="L15" s="220">
        <f t="shared" si="13"/>
        <v>0.0922633153</v>
      </c>
      <c r="M15" s="220">
        <f t="shared" si="13"/>
        <v>0.107782188</v>
      </c>
      <c r="N15" s="220">
        <f t="shared" si="13"/>
        <v>0.07571098555</v>
      </c>
      <c r="O15" s="220">
        <f t="shared" si="13"/>
        <v>0.07913761468</v>
      </c>
      <c r="P15" s="221">
        <f t="shared" si="13"/>
        <v>0.0886165703</v>
      </c>
      <c r="Q15" s="220">
        <f t="shared" si="13"/>
        <v>0.0933572711</v>
      </c>
      <c r="R15" s="220">
        <f t="shared" si="13"/>
        <v>0.08730017762</v>
      </c>
      <c r="S15" s="220">
        <f t="shared" si="13"/>
        <v>0.09840425532</v>
      </c>
      <c r="T15" s="220">
        <f t="shared" si="13"/>
        <v>0.1088441331</v>
      </c>
      <c r="U15" s="221">
        <f t="shared" si="13"/>
        <v>0.09695044212</v>
      </c>
      <c r="V15" s="220">
        <f t="shared" si="13"/>
        <v>0.1080603448</v>
      </c>
      <c r="W15" s="220">
        <f t="shared" si="13"/>
        <v>0.1149056604</v>
      </c>
      <c r="X15" s="220">
        <f t="shared" si="13"/>
        <v>0.1193898305</v>
      </c>
      <c r="Y15" s="220">
        <f t="shared" si="13"/>
        <v>0.121252073</v>
      </c>
      <c r="Z15" s="221">
        <f t="shared" si="13"/>
        <v>0.1159687881</v>
      </c>
      <c r="AA15" s="220">
        <f t="shared" si="13"/>
        <v>0.1090487805</v>
      </c>
      <c r="AB15" s="220">
        <f t="shared" si="13"/>
        <v>0.1082154341</v>
      </c>
      <c r="AC15" s="220">
        <f t="shared" si="13"/>
        <v>0.107056962</v>
      </c>
      <c r="AD15" s="220">
        <f t="shared" si="13"/>
        <v>0.1053863988</v>
      </c>
      <c r="AE15" s="221">
        <f t="shared" si="13"/>
        <v>0.1074074936</v>
      </c>
      <c r="AF15" s="220">
        <f t="shared" si="13"/>
        <v>0.1041047041</v>
      </c>
      <c r="AG15" s="220">
        <f t="shared" si="13"/>
        <v>0.1018243243</v>
      </c>
      <c r="AH15" s="220">
        <f t="shared" si="13"/>
        <v>0.09777366864</v>
      </c>
      <c r="AI15" s="220">
        <f t="shared" si="13"/>
        <v>0.09191751085</v>
      </c>
      <c r="AJ15" s="221">
        <f t="shared" si="13"/>
        <v>0.09884800233</v>
      </c>
      <c r="AK15" s="220">
        <f t="shared" si="13"/>
        <v>0.07748933144</v>
      </c>
      <c r="AL15" s="220">
        <f t="shared" si="13"/>
        <v>0.07704513399</v>
      </c>
      <c r="AM15" s="220">
        <f t="shared" si="13"/>
        <v>0.07646443515</v>
      </c>
      <c r="AN15" s="220">
        <f t="shared" si="13"/>
        <v>0.07561728395</v>
      </c>
      <c r="AO15" s="221">
        <f t="shared" si="13"/>
        <v>0.07664787685</v>
      </c>
      <c r="AP15" s="238"/>
      <c r="AQ15" s="253"/>
      <c r="AR15" s="238"/>
      <c r="AS15" s="238"/>
      <c r="AT15" s="238"/>
      <c r="AU15" s="238"/>
      <c r="AV15" s="253"/>
      <c r="AW15" s="238"/>
      <c r="AX15" s="238"/>
      <c r="AY15" s="238"/>
      <c r="AZ15" s="238"/>
      <c r="BA15" s="253"/>
      <c r="BB15" s="238"/>
      <c r="BC15" s="238"/>
      <c r="BD15" s="238"/>
      <c r="BE15" s="238"/>
      <c r="BF15" s="253"/>
      <c r="BG15" s="238"/>
    </row>
    <row r="16" ht="10.5" customHeight="1">
      <c r="A16" s="183" t="s">
        <v>242</v>
      </c>
      <c r="B16" s="254">
        <f t="shared" ref="B16:AO16" si="14">B14/B$22</f>
        <v>0.4764630442</v>
      </c>
      <c r="C16" s="254">
        <f t="shared" si="14"/>
        <v>0.3971158579</v>
      </c>
      <c r="D16" s="254">
        <f t="shared" si="14"/>
        <v>0.4080151035</v>
      </c>
      <c r="E16" s="254">
        <f t="shared" si="14"/>
        <v>0.4083314918</v>
      </c>
      <c r="F16" s="255">
        <f t="shared" si="14"/>
        <v>0.4193830823</v>
      </c>
      <c r="G16" s="254">
        <f t="shared" si="14"/>
        <v>0.4934258539</v>
      </c>
      <c r="H16" s="254">
        <f t="shared" si="14"/>
        <v>0.4169122851</v>
      </c>
      <c r="I16" s="254">
        <f t="shared" si="14"/>
        <v>0.4384388495</v>
      </c>
      <c r="J16" s="254">
        <f t="shared" si="14"/>
        <v>0.371011896</v>
      </c>
      <c r="K16" s="255">
        <f t="shared" si="14"/>
        <v>0.4250711291</v>
      </c>
      <c r="L16" s="254">
        <f t="shared" si="14"/>
        <v>0.4831491134</v>
      </c>
      <c r="M16" s="254">
        <f t="shared" si="14"/>
        <v>0.4077370563</v>
      </c>
      <c r="N16" s="254">
        <f t="shared" si="14"/>
        <v>0.4172395526</v>
      </c>
      <c r="O16" s="254">
        <f t="shared" si="14"/>
        <v>0.3774461871</v>
      </c>
      <c r="P16" s="255">
        <f t="shared" si="14"/>
        <v>0.417716943</v>
      </c>
      <c r="Q16" s="254">
        <f t="shared" si="14"/>
        <v>0.4601173513</v>
      </c>
      <c r="R16" s="254">
        <f t="shared" si="14"/>
        <v>0.3898881404</v>
      </c>
      <c r="S16" s="254">
        <f t="shared" si="14"/>
        <v>0.4025505471</v>
      </c>
      <c r="T16" s="254">
        <f t="shared" si="14"/>
        <v>0.3681217676</v>
      </c>
      <c r="U16" s="255">
        <f t="shared" si="14"/>
        <v>0.4020420014</v>
      </c>
      <c r="V16" s="254">
        <f t="shared" si="14"/>
        <v>0.458710898</v>
      </c>
      <c r="W16" s="254">
        <f t="shared" si="14"/>
        <v>0.3924391719</v>
      </c>
      <c r="X16" s="254">
        <f t="shared" si="14"/>
        <v>0.4075879956</v>
      </c>
      <c r="Y16" s="254">
        <f t="shared" si="14"/>
        <v>0.374124002</v>
      </c>
      <c r="Z16" s="255">
        <f t="shared" si="14"/>
        <v>0.4053990901</v>
      </c>
      <c r="AA16" s="254">
        <f t="shared" si="14"/>
        <v>0.4615738758</v>
      </c>
      <c r="AB16" s="254">
        <f t="shared" si="14"/>
        <v>0.3980258288</v>
      </c>
      <c r="AC16" s="254">
        <f t="shared" si="14"/>
        <v>0.4131580947</v>
      </c>
      <c r="AD16" s="254">
        <f t="shared" si="14"/>
        <v>0.3801252115</v>
      </c>
      <c r="AE16" s="255">
        <f t="shared" si="14"/>
        <v>0.4106436201</v>
      </c>
      <c r="AF16" s="254">
        <f t="shared" si="14"/>
        <v>0.4665195522</v>
      </c>
      <c r="AG16" s="254">
        <f t="shared" si="14"/>
        <v>0.4054299228</v>
      </c>
      <c r="AH16" s="254">
        <f t="shared" si="14"/>
        <v>0.4200891357</v>
      </c>
      <c r="AI16" s="254">
        <f t="shared" si="14"/>
        <v>0.3866594866</v>
      </c>
      <c r="AJ16" s="255">
        <f t="shared" si="14"/>
        <v>0.4173286372</v>
      </c>
      <c r="AK16" s="254">
        <f t="shared" si="14"/>
        <v>0.4665240638</v>
      </c>
      <c r="AL16" s="254">
        <f t="shared" si="14"/>
        <v>0.4079768839</v>
      </c>
      <c r="AM16" s="254">
        <f t="shared" si="14"/>
        <v>0.4226715696</v>
      </c>
      <c r="AN16" s="254">
        <f t="shared" si="14"/>
        <v>0.3898424651</v>
      </c>
      <c r="AO16" s="255">
        <f t="shared" si="14"/>
        <v>0.4195975026</v>
      </c>
      <c r="AP16" s="238"/>
      <c r="AQ16" s="253"/>
      <c r="AR16" s="238"/>
      <c r="AS16" s="238"/>
      <c r="AT16" s="238"/>
      <c r="AU16" s="238"/>
      <c r="AV16" s="253"/>
      <c r="AW16" s="238"/>
      <c r="AX16" s="238"/>
      <c r="AY16" s="238"/>
      <c r="AZ16" s="238"/>
      <c r="BA16" s="253"/>
      <c r="BB16" s="238"/>
      <c r="BC16" s="238"/>
      <c r="BD16" s="238"/>
      <c r="BE16" s="238"/>
      <c r="BF16" s="253"/>
      <c r="BG16" s="238"/>
    </row>
    <row r="17" ht="10.5" customHeight="1">
      <c r="A17" s="181"/>
      <c r="B17" s="238"/>
      <c r="C17" s="238"/>
      <c r="D17" s="238"/>
      <c r="E17" s="238"/>
      <c r="F17" s="256"/>
      <c r="G17" s="238"/>
      <c r="H17" s="238"/>
      <c r="I17" s="238"/>
      <c r="J17" s="238"/>
      <c r="K17" s="256"/>
      <c r="L17" s="238"/>
      <c r="M17" s="253"/>
      <c r="N17" s="253"/>
      <c r="O17" s="238"/>
      <c r="P17" s="256"/>
      <c r="Q17" s="238"/>
      <c r="R17" s="238"/>
      <c r="S17" s="238"/>
      <c r="T17" s="238"/>
      <c r="U17" s="256"/>
      <c r="V17" s="238"/>
      <c r="W17" s="238"/>
      <c r="X17" s="238"/>
      <c r="Y17" s="238"/>
      <c r="Z17" s="256"/>
      <c r="AA17" s="238"/>
      <c r="AB17" s="238"/>
      <c r="AC17" s="238"/>
      <c r="AD17" s="238"/>
      <c r="AE17" s="256"/>
      <c r="AF17" s="238"/>
      <c r="AG17" s="238"/>
      <c r="AH17" s="238"/>
      <c r="AI17" s="238"/>
      <c r="AJ17" s="256"/>
      <c r="AK17" s="238"/>
      <c r="AL17" s="238"/>
      <c r="AM17" s="238"/>
      <c r="AN17" s="238"/>
      <c r="AO17" s="256"/>
      <c r="AP17" s="238"/>
      <c r="AQ17" s="253"/>
      <c r="AR17" s="238"/>
      <c r="AS17" s="238"/>
      <c r="AT17" s="238"/>
      <c r="AU17" s="238"/>
      <c r="AV17" s="253"/>
      <c r="AW17" s="238"/>
      <c r="AX17" s="238"/>
      <c r="AY17" s="238"/>
      <c r="AZ17" s="238"/>
      <c r="BA17" s="253"/>
      <c r="BB17" s="238"/>
      <c r="BC17" s="238"/>
      <c r="BD17" s="238"/>
      <c r="BE17" s="238"/>
      <c r="BF17" s="253"/>
      <c r="BG17" s="238"/>
    </row>
    <row r="18" ht="10.5" customHeight="1">
      <c r="A18" s="181" t="s">
        <v>226</v>
      </c>
      <c r="B18" s="219">
        <v>23.661</v>
      </c>
      <c r="C18" s="219">
        <v>73.86200000000001</v>
      </c>
      <c r="D18" s="219">
        <v>66.14099999999999</v>
      </c>
      <c r="E18" s="219">
        <v>70.43699999999997</v>
      </c>
      <c r="F18" s="194">
        <f>SUM(B18:E18)</f>
        <v>234.101</v>
      </c>
      <c r="G18" s="219">
        <v>21.619</v>
      </c>
      <c r="H18" s="219">
        <v>67.68499999999999</v>
      </c>
      <c r="I18" s="219">
        <v>61.699000000000005</v>
      </c>
      <c r="J18" s="219">
        <v>105.117</v>
      </c>
      <c r="K18" s="194">
        <f>SUM(G18:J18)</f>
        <v>256.12</v>
      </c>
      <c r="L18" s="193">
        <v>27.813</v>
      </c>
      <c r="M18" s="193">
        <f>'Income Statement'!M120</f>
        <v>82.232</v>
      </c>
      <c r="N18" s="193">
        <f>'Income Statement'!N120</f>
        <v>78.837</v>
      </c>
      <c r="O18" s="193">
        <f>J18*(1+O19)</f>
        <v>105.117</v>
      </c>
      <c r="P18" s="194">
        <f>SUM(L18:O18)</f>
        <v>293.999</v>
      </c>
      <c r="Q18" s="193">
        <f t="shared" ref="Q18:T18" si="15">L18*(1+Q19)</f>
        <v>30.31617</v>
      </c>
      <c r="R18" s="193">
        <f t="shared" si="15"/>
        <v>89.63288</v>
      </c>
      <c r="S18" s="193">
        <f t="shared" si="15"/>
        <v>85.93233</v>
      </c>
      <c r="T18" s="193">
        <f t="shared" si="15"/>
        <v>113.52636</v>
      </c>
      <c r="U18" s="194">
        <f>SUM(Q18:T18)</f>
        <v>319.40774</v>
      </c>
      <c r="V18" s="193">
        <f t="shared" ref="V18:Y18" si="16">Q18*(1+V19)</f>
        <v>32.28672105</v>
      </c>
      <c r="W18" s="193">
        <f t="shared" si="16"/>
        <v>95.4590172</v>
      </c>
      <c r="X18" s="193">
        <f t="shared" si="16"/>
        <v>91.51793145</v>
      </c>
      <c r="Y18" s="193">
        <f t="shared" si="16"/>
        <v>120.9055734</v>
      </c>
      <c r="Z18" s="194">
        <f>SUM(V18:Y18)</f>
        <v>340.1692431</v>
      </c>
      <c r="AA18" s="193">
        <f t="shared" ref="AA18:AD18" si="17">V18*(1+AA19)</f>
        <v>33.57818989</v>
      </c>
      <c r="AB18" s="193">
        <f t="shared" si="17"/>
        <v>99.27737789</v>
      </c>
      <c r="AC18" s="193">
        <f t="shared" si="17"/>
        <v>95.17864871</v>
      </c>
      <c r="AD18" s="193">
        <f t="shared" si="17"/>
        <v>125.7417963</v>
      </c>
      <c r="AE18" s="194">
        <f>SUM(AA18:AD18)</f>
        <v>353.7760128</v>
      </c>
      <c r="AF18" s="193">
        <f t="shared" ref="AF18:AI18" si="18">AA18*(1+AF19)</f>
        <v>34.41764464</v>
      </c>
      <c r="AG18" s="193">
        <f t="shared" si="18"/>
        <v>101.7593123</v>
      </c>
      <c r="AH18" s="193">
        <f t="shared" si="18"/>
        <v>97.55811493</v>
      </c>
      <c r="AI18" s="193">
        <f t="shared" si="18"/>
        <v>128.8853412</v>
      </c>
      <c r="AJ18" s="194">
        <f>SUM(AF18:AI18)</f>
        <v>362.6204131</v>
      </c>
      <c r="AK18" s="193">
        <f t="shared" ref="AK18:AN18" si="19">AF18*(1+AK19)</f>
        <v>35.27808576</v>
      </c>
      <c r="AL18" s="193">
        <f t="shared" si="19"/>
        <v>104.3032951</v>
      </c>
      <c r="AM18" s="193">
        <f t="shared" si="19"/>
        <v>99.9970678</v>
      </c>
      <c r="AN18" s="193">
        <f t="shared" si="19"/>
        <v>132.1074748</v>
      </c>
      <c r="AO18" s="194">
        <f>SUM(AK18:AN18)</f>
        <v>371.6859235</v>
      </c>
      <c r="AP18" s="238"/>
      <c r="AQ18" s="253"/>
      <c r="AR18" s="238"/>
      <c r="AS18" s="238"/>
      <c r="AT18" s="238"/>
      <c r="AU18" s="238"/>
      <c r="AV18" s="253"/>
      <c r="AW18" s="238"/>
      <c r="AX18" s="238"/>
      <c r="AY18" s="238"/>
      <c r="AZ18" s="238"/>
      <c r="BA18" s="253"/>
      <c r="BB18" s="238"/>
      <c r="BC18" s="238"/>
      <c r="BD18" s="238"/>
      <c r="BE18" s="238"/>
      <c r="BF18" s="253"/>
      <c r="BG18" s="238"/>
    </row>
    <row r="19" ht="10.5" customHeight="1">
      <c r="A19" s="183" t="s">
        <v>212</v>
      </c>
      <c r="B19" s="220"/>
      <c r="C19" s="220"/>
      <c r="D19" s="220"/>
      <c r="E19" s="220"/>
      <c r="F19" s="221" t="str">
        <f>IFERROR(F18/#REF!-1,"na")</f>
        <v>na</v>
      </c>
      <c r="G19" s="220">
        <f t="shared" ref="G19:N19" si="20">IFERROR(G18/B18-1,"na")</f>
        <v>-0.08630235408</v>
      </c>
      <c r="H19" s="220">
        <f t="shared" si="20"/>
        <v>-0.08362892963</v>
      </c>
      <c r="I19" s="220">
        <f t="shared" si="20"/>
        <v>-0.06715955308</v>
      </c>
      <c r="J19" s="220">
        <f t="shared" si="20"/>
        <v>0.4923548703</v>
      </c>
      <c r="K19" s="221">
        <f t="shared" si="20"/>
        <v>0.09405769305</v>
      </c>
      <c r="L19" s="220">
        <f t="shared" si="20"/>
        <v>0.286507239</v>
      </c>
      <c r="M19" s="220">
        <f t="shared" si="20"/>
        <v>0.2149220655</v>
      </c>
      <c r="N19" s="220">
        <f t="shared" si="20"/>
        <v>0.2777678731</v>
      </c>
      <c r="O19" s="258">
        <v>0.0</v>
      </c>
      <c r="P19" s="221">
        <f>IFERROR(P18/K18-1,"na")</f>
        <v>0.1478955177</v>
      </c>
      <c r="Q19" s="258">
        <v>0.09</v>
      </c>
      <c r="R19" s="258">
        <v>0.09</v>
      </c>
      <c r="S19" s="258">
        <v>0.09</v>
      </c>
      <c r="T19" s="258">
        <v>0.08</v>
      </c>
      <c r="U19" s="221">
        <f>IFERROR(U18/P18-1,"na")</f>
        <v>0.08642457968</v>
      </c>
      <c r="V19" s="258">
        <v>0.065</v>
      </c>
      <c r="W19" s="258">
        <v>0.065</v>
      </c>
      <c r="X19" s="258">
        <v>0.065</v>
      </c>
      <c r="Y19" s="258">
        <v>0.065</v>
      </c>
      <c r="Z19" s="221">
        <f>IFERROR(Z18/U18-1,"na")</f>
        <v>0.065</v>
      </c>
      <c r="AA19" s="258">
        <v>0.04</v>
      </c>
      <c r="AB19" s="258">
        <v>0.04</v>
      </c>
      <c r="AC19" s="258">
        <v>0.04</v>
      </c>
      <c r="AD19" s="258">
        <v>0.04</v>
      </c>
      <c r="AE19" s="221">
        <f>IFERROR(AE18/Z18-1,"na")</f>
        <v>0.04</v>
      </c>
      <c r="AF19" s="258">
        <v>0.025</v>
      </c>
      <c r="AG19" s="258">
        <v>0.025</v>
      </c>
      <c r="AH19" s="258">
        <v>0.025</v>
      </c>
      <c r="AI19" s="258">
        <v>0.025</v>
      </c>
      <c r="AJ19" s="221">
        <f>IFERROR(AJ18/AE18-1,"na")</f>
        <v>0.025</v>
      </c>
      <c r="AK19" s="258">
        <v>0.025</v>
      </c>
      <c r="AL19" s="258">
        <v>0.025</v>
      </c>
      <c r="AM19" s="258">
        <v>0.025</v>
      </c>
      <c r="AN19" s="258">
        <v>0.025</v>
      </c>
      <c r="AO19" s="221">
        <f>IFERROR(AO18/AJ18-1,"na")</f>
        <v>0.025</v>
      </c>
      <c r="AP19" s="238"/>
      <c r="AQ19" s="253"/>
      <c r="AR19" s="238"/>
      <c r="AS19" s="238"/>
      <c r="AT19" s="238"/>
      <c r="AU19" s="238"/>
      <c r="AV19" s="253"/>
      <c r="AW19" s="238"/>
      <c r="AX19" s="238"/>
      <c r="AY19" s="238"/>
      <c r="AZ19" s="238"/>
      <c r="BA19" s="253"/>
      <c r="BB19" s="238"/>
      <c r="BC19" s="238"/>
      <c r="BD19" s="238"/>
      <c r="BE19" s="238"/>
      <c r="BF19" s="253"/>
      <c r="BG19" s="238"/>
    </row>
    <row r="20" ht="10.5" customHeight="1">
      <c r="A20" s="183" t="s">
        <v>242</v>
      </c>
      <c r="B20" s="254">
        <f t="shared" ref="B20:AO20" si="21">B18/B$22</f>
        <v>0.1064731691</v>
      </c>
      <c r="C20" s="254">
        <f t="shared" si="21"/>
        <v>0.2578413268</v>
      </c>
      <c r="D20" s="254">
        <f t="shared" si="21"/>
        <v>0.2383021499</v>
      </c>
      <c r="E20" s="254">
        <f t="shared" si="21"/>
        <v>0.2470719465</v>
      </c>
      <c r="F20" s="255">
        <f t="shared" si="21"/>
        <v>0.2185151859</v>
      </c>
      <c r="G20" s="254">
        <f t="shared" si="21"/>
        <v>0.08716741191</v>
      </c>
      <c r="H20" s="254">
        <f t="shared" si="21"/>
        <v>0.2249111952</v>
      </c>
      <c r="I20" s="254">
        <f t="shared" si="21"/>
        <v>0.2111200838</v>
      </c>
      <c r="J20" s="254">
        <f t="shared" si="21"/>
        <v>0.3087589954</v>
      </c>
      <c r="K20" s="255">
        <f t="shared" si="21"/>
        <v>0.2167470342</v>
      </c>
      <c r="L20" s="254">
        <f t="shared" si="21"/>
        <v>0.1005306114</v>
      </c>
      <c r="M20" s="254">
        <f t="shared" si="21"/>
        <v>0.2412351597</v>
      </c>
      <c r="N20" s="254">
        <f t="shared" si="21"/>
        <v>0.2386505017</v>
      </c>
      <c r="O20" s="254">
        <f t="shared" si="21"/>
        <v>0.2910784116</v>
      </c>
      <c r="P20" s="255">
        <f t="shared" si="21"/>
        <v>0.2245955078</v>
      </c>
      <c r="Q20" s="254">
        <f t="shared" si="21"/>
        <v>0.09544433322</v>
      </c>
      <c r="R20" s="254">
        <f t="shared" si="21"/>
        <v>0.2312477345</v>
      </c>
      <c r="S20" s="254">
        <f t="shared" si="21"/>
        <v>0.2284870514</v>
      </c>
      <c r="T20" s="254">
        <f t="shared" si="21"/>
        <v>0.2765029091</v>
      </c>
      <c r="U20" s="255">
        <f t="shared" si="21"/>
        <v>0.2140932505</v>
      </c>
      <c r="V20" s="254">
        <f t="shared" si="21"/>
        <v>0.09145486027</v>
      </c>
      <c r="W20" s="254">
        <f t="shared" si="21"/>
        <v>0.2223418935</v>
      </c>
      <c r="X20" s="254">
        <f t="shared" si="21"/>
        <v>0.2201054556</v>
      </c>
      <c r="Y20" s="254">
        <f t="shared" si="21"/>
        <v>0.2669132457</v>
      </c>
      <c r="Z20" s="255">
        <f t="shared" si="21"/>
        <v>0.2060211841</v>
      </c>
      <c r="AA20" s="254">
        <f t="shared" si="21"/>
        <v>0.08629619432</v>
      </c>
      <c r="AB20" s="254">
        <f t="shared" si="21"/>
        <v>0.211626159</v>
      </c>
      <c r="AC20" s="254">
        <f t="shared" si="21"/>
        <v>0.2095989296</v>
      </c>
      <c r="AD20" s="254">
        <f t="shared" si="21"/>
        <v>0.255152867</v>
      </c>
      <c r="AE20" s="255">
        <f t="shared" si="21"/>
        <v>0.1959837532</v>
      </c>
      <c r="AF20" s="254">
        <f t="shared" si="21"/>
        <v>0.08097181577</v>
      </c>
      <c r="AG20" s="254">
        <f t="shared" si="21"/>
        <v>0.2005327929</v>
      </c>
      <c r="AH20" s="254">
        <f t="shared" si="21"/>
        <v>0.198987273</v>
      </c>
      <c r="AI20" s="254">
        <f t="shared" si="21"/>
        <v>0.2436332072</v>
      </c>
      <c r="AJ20" s="255">
        <f t="shared" si="21"/>
        <v>0.1857887531</v>
      </c>
      <c r="AK20" s="254">
        <f t="shared" si="21"/>
        <v>0.07702806086</v>
      </c>
      <c r="AL20" s="254">
        <f t="shared" si="21"/>
        <v>0.1920415147</v>
      </c>
      <c r="AM20" s="254">
        <f t="shared" si="21"/>
        <v>0.1906386994</v>
      </c>
      <c r="AN20" s="254">
        <f t="shared" si="21"/>
        <v>0.2340793216</v>
      </c>
      <c r="AO20" s="255">
        <f t="shared" si="21"/>
        <v>0.1778378932</v>
      </c>
      <c r="AP20" s="238"/>
      <c r="AQ20" s="253"/>
      <c r="AR20" s="238"/>
      <c r="AS20" s="238"/>
      <c r="AT20" s="238"/>
      <c r="AU20" s="238"/>
      <c r="AV20" s="253"/>
      <c r="AW20" s="238"/>
      <c r="AX20" s="238"/>
      <c r="AY20" s="238"/>
      <c r="AZ20" s="238"/>
      <c r="BA20" s="253"/>
      <c r="BB20" s="238"/>
      <c r="BC20" s="238"/>
      <c r="BD20" s="238"/>
      <c r="BE20" s="238"/>
      <c r="BF20" s="253"/>
      <c r="BG20" s="238"/>
    </row>
    <row r="21" ht="10.5" customHeight="1">
      <c r="A21" s="181"/>
      <c r="B21" s="238"/>
      <c r="C21" s="238"/>
      <c r="D21" s="238"/>
      <c r="E21" s="238"/>
      <c r="F21" s="256"/>
      <c r="G21" s="238"/>
      <c r="H21" s="238"/>
      <c r="I21" s="238"/>
      <c r="J21" s="238"/>
      <c r="K21" s="256"/>
      <c r="L21" s="238"/>
      <c r="M21" s="253"/>
      <c r="N21" s="253"/>
      <c r="O21" s="238"/>
      <c r="P21" s="256"/>
      <c r="Q21" s="238"/>
      <c r="R21" s="238"/>
      <c r="S21" s="238"/>
      <c r="T21" s="238"/>
      <c r="U21" s="256"/>
      <c r="V21" s="238"/>
      <c r="W21" s="238"/>
      <c r="X21" s="238"/>
      <c r="Y21" s="238"/>
      <c r="Z21" s="256"/>
      <c r="AA21" s="238"/>
      <c r="AB21" s="238"/>
      <c r="AC21" s="238"/>
      <c r="AD21" s="238"/>
      <c r="AE21" s="256"/>
      <c r="AF21" s="238"/>
      <c r="AG21" s="238"/>
      <c r="AH21" s="238"/>
      <c r="AI21" s="238"/>
      <c r="AJ21" s="256"/>
      <c r="AK21" s="238"/>
      <c r="AL21" s="238"/>
      <c r="AM21" s="238"/>
      <c r="AN21" s="238"/>
      <c r="AO21" s="256"/>
      <c r="AP21" s="238"/>
      <c r="AQ21" s="253"/>
      <c r="AR21" s="238"/>
      <c r="AS21" s="238"/>
      <c r="AT21" s="238"/>
      <c r="AU21" s="238"/>
      <c r="AV21" s="253"/>
      <c r="AW21" s="238"/>
      <c r="AX21" s="238"/>
      <c r="AY21" s="238"/>
      <c r="AZ21" s="238"/>
      <c r="BA21" s="253"/>
      <c r="BB21" s="238"/>
      <c r="BC21" s="238"/>
      <c r="BD21" s="238"/>
      <c r="BE21" s="238"/>
      <c r="BF21" s="253"/>
      <c r="BG21" s="238"/>
    </row>
    <row r="22" ht="10.5" customHeight="1">
      <c r="A22" s="259" t="s">
        <v>243</v>
      </c>
      <c r="B22" s="203">
        <f t="shared" ref="B22:AO22" si="22">B10+B14+B18</f>
        <v>222.225</v>
      </c>
      <c r="C22" s="203">
        <f t="shared" si="22"/>
        <v>286.463</v>
      </c>
      <c r="D22" s="203">
        <f t="shared" si="22"/>
        <v>277.551</v>
      </c>
      <c r="E22" s="203">
        <f t="shared" si="22"/>
        <v>285.087</v>
      </c>
      <c r="F22" s="204">
        <f t="shared" si="22"/>
        <v>1071.326</v>
      </c>
      <c r="G22" s="203">
        <f t="shared" si="22"/>
        <v>248.017</v>
      </c>
      <c r="H22" s="203">
        <f t="shared" si="22"/>
        <v>300.941</v>
      </c>
      <c r="I22" s="203">
        <f t="shared" si="22"/>
        <v>292.246</v>
      </c>
      <c r="J22" s="203">
        <f t="shared" si="22"/>
        <v>340.45</v>
      </c>
      <c r="K22" s="204">
        <f t="shared" si="22"/>
        <v>1181.654</v>
      </c>
      <c r="L22" s="203">
        <f t="shared" si="22"/>
        <v>276.662</v>
      </c>
      <c r="M22" s="203">
        <f t="shared" si="22"/>
        <v>340.879</v>
      </c>
      <c r="N22" s="203">
        <f t="shared" si="22"/>
        <v>330.345</v>
      </c>
      <c r="O22" s="203">
        <f t="shared" si="22"/>
        <v>361.1294958</v>
      </c>
      <c r="P22" s="204">
        <f t="shared" si="22"/>
        <v>1309.015496</v>
      </c>
      <c r="Q22" s="203">
        <f t="shared" si="22"/>
        <v>317.6319534</v>
      </c>
      <c r="R22" s="203">
        <f t="shared" si="22"/>
        <v>387.6054404</v>
      </c>
      <c r="S22" s="203">
        <f t="shared" si="22"/>
        <v>376.0927785</v>
      </c>
      <c r="T22" s="203">
        <f t="shared" si="22"/>
        <v>410.5792607</v>
      </c>
      <c r="U22" s="204">
        <f t="shared" si="22"/>
        <v>1491.909433</v>
      </c>
      <c r="V22" s="203">
        <f t="shared" si="22"/>
        <v>353.034502</v>
      </c>
      <c r="W22" s="203">
        <f t="shared" si="22"/>
        <v>429.334372</v>
      </c>
      <c r="X22" s="203">
        <f t="shared" si="22"/>
        <v>415.7912906</v>
      </c>
      <c r="Y22" s="203">
        <f t="shared" si="22"/>
        <v>452.9770454</v>
      </c>
      <c r="Z22" s="204">
        <f t="shared" si="22"/>
        <v>1651.13721</v>
      </c>
      <c r="AA22" s="203">
        <f t="shared" si="22"/>
        <v>389.1039478</v>
      </c>
      <c r="AB22" s="203">
        <f t="shared" si="22"/>
        <v>469.1167593</v>
      </c>
      <c r="AC22" s="203">
        <f t="shared" si="22"/>
        <v>454.0989254</v>
      </c>
      <c r="AD22" s="203">
        <f t="shared" si="22"/>
        <v>492.8096549</v>
      </c>
      <c r="AE22" s="204">
        <f t="shared" si="22"/>
        <v>1805.129287</v>
      </c>
      <c r="AF22" s="203">
        <f t="shared" si="22"/>
        <v>425.0570932</v>
      </c>
      <c r="AG22" s="203">
        <f t="shared" si="22"/>
        <v>507.4447469</v>
      </c>
      <c r="AH22" s="203">
        <f t="shared" si="22"/>
        <v>490.2731388</v>
      </c>
      <c r="AI22" s="203">
        <f t="shared" si="22"/>
        <v>529.0138512</v>
      </c>
      <c r="AJ22" s="204">
        <f t="shared" si="22"/>
        <v>1951.78883</v>
      </c>
      <c r="AK22" s="203">
        <f t="shared" si="22"/>
        <v>457.990054</v>
      </c>
      <c r="AL22" s="203">
        <f t="shared" si="22"/>
        <v>543.1288922</v>
      </c>
      <c r="AM22" s="203">
        <f t="shared" si="22"/>
        <v>524.5370856</v>
      </c>
      <c r="AN22" s="203">
        <f t="shared" si="22"/>
        <v>564.370547</v>
      </c>
      <c r="AO22" s="204">
        <f t="shared" si="22"/>
        <v>2090.026579</v>
      </c>
      <c r="AP22" s="238"/>
      <c r="AQ22" s="253"/>
      <c r="AR22" s="238"/>
      <c r="AS22" s="238"/>
      <c r="AT22" s="238"/>
      <c r="AU22" s="238"/>
      <c r="AV22" s="253"/>
      <c r="AW22" s="238"/>
      <c r="AX22" s="238"/>
      <c r="AY22" s="238"/>
      <c r="AZ22" s="238"/>
      <c r="BA22" s="253"/>
      <c r="BB22" s="238"/>
      <c r="BC22" s="238"/>
      <c r="BD22" s="238"/>
      <c r="BE22" s="238"/>
      <c r="BF22" s="253"/>
      <c r="BG22" s="238"/>
    </row>
    <row r="23" ht="10.5" customHeight="1">
      <c r="A23" s="183" t="s">
        <v>212</v>
      </c>
      <c r="B23" s="220"/>
      <c r="C23" s="220"/>
      <c r="D23" s="220"/>
      <c r="E23" s="220"/>
      <c r="F23" s="260">
        <v>0.1256040636560387</v>
      </c>
      <c r="G23" s="220">
        <f t="shared" ref="G23:AO23" si="23">IFERROR(G22/B22-1,"na")</f>
        <v>0.1160625492</v>
      </c>
      <c r="H23" s="220">
        <f t="shared" si="23"/>
        <v>0.05054055847</v>
      </c>
      <c r="I23" s="220">
        <f t="shared" si="23"/>
        <v>0.05294522448</v>
      </c>
      <c r="J23" s="220">
        <f t="shared" si="23"/>
        <v>0.1941968592</v>
      </c>
      <c r="K23" s="221">
        <f t="shared" si="23"/>
        <v>0.1029826589</v>
      </c>
      <c r="L23" s="220">
        <f t="shared" si="23"/>
        <v>0.1154961152</v>
      </c>
      <c r="M23" s="220">
        <f t="shared" si="23"/>
        <v>0.1327103984</v>
      </c>
      <c r="N23" s="220">
        <f t="shared" si="23"/>
        <v>0.1303661983</v>
      </c>
      <c r="O23" s="220">
        <f t="shared" si="23"/>
        <v>0.06074165305</v>
      </c>
      <c r="P23" s="221">
        <f t="shared" si="23"/>
        <v>0.107782393</v>
      </c>
      <c r="Q23" s="220">
        <f t="shared" si="23"/>
        <v>0.1480866667</v>
      </c>
      <c r="R23" s="220">
        <f t="shared" si="23"/>
        <v>0.1370763246</v>
      </c>
      <c r="S23" s="220">
        <f t="shared" si="23"/>
        <v>0.1384848521</v>
      </c>
      <c r="T23" s="220">
        <f t="shared" si="23"/>
        <v>0.1369308392</v>
      </c>
      <c r="U23" s="221">
        <f t="shared" si="23"/>
        <v>0.1397186953</v>
      </c>
      <c r="V23" s="220">
        <f t="shared" si="23"/>
        <v>0.1114577681</v>
      </c>
      <c r="W23" s="220">
        <f t="shared" si="23"/>
        <v>0.107658271</v>
      </c>
      <c r="X23" s="220">
        <f t="shared" si="23"/>
        <v>0.1055551035</v>
      </c>
      <c r="Y23" s="220">
        <f t="shared" si="23"/>
        <v>0.1032633373</v>
      </c>
      <c r="Z23" s="221">
        <f t="shared" si="23"/>
        <v>0.1067275087</v>
      </c>
      <c r="AA23" s="220">
        <f t="shared" si="23"/>
        <v>0.1021697472</v>
      </c>
      <c r="AB23" s="220">
        <f t="shared" si="23"/>
        <v>0.09266061595</v>
      </c>
      <c r="AC23" s="220">
        <f t="shared" si="23"/>
        <v>0.09213188355</v>
      </c>
      <c r="AD23" s="220">
        <f t="shared" si="23"/>
        <v>0.08793516119</v>
      </c>
      <c r="AE23" s="221">
        <f t="shared" si="23"/>
        <v>0.09326425236</v>
      </c>
      <c r="AF23" s="220">
        <f t="shared" si="23"/>
        <v>0.0923998473</v>
      </c>
      <c r="AG23" s="220">
        <f t="shared" si="23"/>
        <v>0.08170244794</v>
      </c>
      <c r="AH23" s="220">
        <f t="shared" si="23"/>
        <v>0.07966152621</v>
      </c>
      <c r="AI23" s="220">
        <f t="shared" si="23"/>
        <v>0.07346486809</v>
      </c>
      <c r="AJ23" s="221">
        <f t="shared" si="23"/>
        <v>0.08124600478</v>
      </c>
      <c r="AK23" s="220">
        <f t="shared" si="23"/>
        <v>0.07747891143</v>
      </c>
      <c r="AL23" s="220">
        <f t="shared" si="23"/>
        <v>0.07032124288</v>
      </c>
      <c r="AM23" s="220">
        <f t="shared" si="23"/>
        <v>0.06988746492</v>
      </c>
      <c r="AN23" s="220">
        <f t="shared" si="23"/>
        <v>0.06683510411</v>
      </c>
      <c r="AO23" s="221">
        <f t="shared" si="23"/>
        <v>0.07082618091</v>
      </c>
      <c r="AP23" s="238"/>
      <c r="AQ23" s="253"/>
      <c r="AR23" s="238"/>
      <c r="AS23" s="238"/>
      <c r="AT23" s="238"/>
      <c r="AU23" s="238"/>
      <c r="AV23" s="253"/>
      <c r="AW23" s="238"/>
      <c r="AX23" s="238"/>
      <c r="AY23" s="238"/>
      <c r="AZ23" s="238"/>
      <c r="BA23" s="253"/>
      <c r="BB23" s="238"/>
      <c r="BC23" s="238"/>
      <c r="BD23" s="238"/>
      <c r="BE23" s="238"/>
      <c r="BF23" s="253"/>
      <c r="BG23" s="238"/>
    </row>
    <row r="24" ht="10.5" customHeight="1">
      <c r="A24" s="181"/>
      <c r="B24" s="238"/>
      <c r="C24" s="238"/>
      <c r="D24" s="238"/>
      <c r="E24" s="238"/>
      <c r="F24" s="256"/>
      <c r="G24" s="238"/>
      <c r="H24" s="238"/>
      <c r="I24" s="238"/>
      <c r="J24" s="238"/>
      <c r="K24" s="256"/>
      <c r="L24" s="238"/>
      <c r="M24" s="253"/>
      <c r="N24" s="238"/>
      <c r="O24" s="238"/>
      <c r="P24" s="256"/>
      <c r="Q24" s="238"/>
      <c r="R24" s="238"/>
      <c r="S24" s="238"/>
      <c r="T24" s="238"/>
      <c r="U24" s="256"/>
      <c r="V24" s="238"/>
      <c r="W24" s="238"/>
      <c r="X24" s="238"/>
      <c r="Y24" s="238"/>
      <c r="Z24" s="256"/>
      <c r="AA24" s="238"/>
      <c r="AB24" s="238"/>
      <c r="AC24" s="238"/>
      <c r="AD24" s="238"/>
      <c r="AE24" s="256"/>
      <c r="AF24" s="238"/>
      <c r="AG24" s="238"/>
      <c r="AH24" s="238"/>
      <c r="AI24" s="238"/>
      <c r="AJ24" s="256"/>
      <c r="AK24" s="238"/>
      <c r="AL24" s="238"/>
      <c r="AM24" s="238"/>
      <c r="AN24" s="238"/>
      <c r="AO24" s="256"/>
      <c r="AP24" s="238"/>
      <c r="AQ24" s="253"/>
      <c r="AR24" s="238"/>
      <c r="AS24" s="238"/>
      <c r="AT24" s="238"/>
      <c r="AU24" s="238"/>
      <c r="AV24" s="253"/>
      <c r="AW24" s="238"/>
      <c r="AX24" s="238"/>
      <c r="AY24" s="238"/>
      <c r="AZ24" s="238"/>
      <c r="BA24" s="253"/>
      <c r="BB24" s="238"/>
      <c r="BC24" s="238"/>
      <c r="BD24" s="238"/>
      <c r="BE24" s="238"/>
      <c r="BF24" s="253"/>
      <c r="BG24" s="238"/>
    </row>
    <row r="25" ht="10.5" customHeight="1">
      <c r="A25" s="198" t="s">
        <v>244</v>
      </c>
      <c r="B25" s="215"/>
      <c r="C25" s="215"/>
      <c r="D25" s="215"/>
      <c r="E25" s="215"/>
      <c r="F25" s="216"/>
      <c r="G25" s="215"/>
      <c r="H25" s="215"/>
      <c r="I25" s="215"/>
      <c r="J25" s="215"/>
      <c r="K25" s="216"/>
      <c r="L25" s="251"/>
      <c r="M25" s="252"/>
      <c r="N25" s="215"/>
      <c r="O25" s="215"/>
      <c r="P25" s="216"/>
      <c r="Q25" s="215"/>
      <c r="R25" s="215"/>
      <c r="S25" s="215"/>
      <c r="T25" s="215"/>
      <c r="U25" s="216"/>
      <c r="V25" s="215"/>
      <c r="W25" s="215"/>
      <c r="X25" s="215"/>
      <c r="Y25" s="215"/>
      <c r="Z25" s="216"/>
      <c r="AA25" s="215"/>
      <c r="AB25" s="215"/>
      <c r="AC25" s="215"/>
      <c r="AD25" s="215"/>
      <c r="AE25" s="216"/>
      <c r="AF25" s="215"/>
      <c r="AG25" s="215"/>
      <c r="AH25" s="215"/>
      <c r="AI25" s="215"/>
      <c r="AJ25" s="216"/>
      <c r="AK25" s="215"/>
      <c r="AL25" s="215"/>
      <c r="AM25" s="215"/>
      <c r="AN25" s="215"/>
      <c r="AO25" s="216"/>
      <c r="AP25" s="164"/>
      <c r="AQ25" s="187"/>
      <c r="AR25" s="164"/>
      <c r="AS25" s="164"/>
      <c r="AT25" s="164"/>
      <c r="AU25" s="164"/>
      <c r="AV25" s="187"/>
      <c r="AW25" s="164"/>
      <c r="AX25" s="164"/>
      <c r="AY25" s="164"/>
      <c r="AZ25" s="164"/>
      <c r="BA25" s="187"/>
      <c r="BB25" s="164"/>
      <c r="BC25" s="164"/>
      <c r="BD25" s="164"/>
      <c r="BE25" s="164"/>
      <c r="BF25" s="187"/>
      <c r="BG25" s="164"/>
    </row>
    <row r="26" ht="10.5" customHeight="1">
      <c r="A26" s="181"/>
      <c r="B26" s="165"/>
      <c r="C26" s="165"/>
      <c r="D26" s="165"/>
      <c r="E26" s="165"/>
      <c r="F26" s="207"/>
      <c r="G26" s="165"/>
      <c r="H26" s="165"/>
      <c r="I26" s="165"/>
      <c r="J26" s="165"/>
      <c r="K26" s="207"/>
      <c r="L26" s="165"/>
      <c r="M26" s="187"/>
      <c r="N26" s="165"/>
      <c r="O26" s="165"/>
      <c r="P26" s="207"/>
      <c r="Q26" s="165"/>
      <c r="R26" s="165"/>
      <c r="S26" s="165"/>
      <c r="T26" s="165"/>
      <c r="U26" s="207"/>
      <c r="V26" s="165"/>
      <c r="W26" s="165"/>
      <c r="X26" s="165"/>
      <c r="Y26" s="165"/>
      <c r="Z26" s="207"/>
      <c r="AA26" s="165"/>
      <c r="AB26" s="165"/>
      <c r="AC26" s="165"/>
      <c r="AD26" s="165"/>
      <c r="AE26" s="207"/>
      <c r="AF26" s="165"/>
      <c r="AG26" s="165"/>
      <c r="AH26" s="165"/>
      <c r="AI26" s="165"/>
      <c r="AJ26" s="207"/>
      <c r="AK26" s="165"/>
      <c r="AL26" s="165"/>
      <c r="AM26" s="165"/>
      <c r="AN26" s="165"/>
      <c r="AO26" s="207"/>
      <c r="AP26" s="164"/>
      <c r="AQ26" s="187"/>
      <c r="AR26" s="164"/>
      <c r="AS26" s="164"/>
      <c r="AT26" s="164"/>
      <c r="AU26" s="164"/>
      <c r="AV26" s="187"/>
      <c r="AW26" s="164"/>
      <c r="AX26" s="164"/>
      <c r="AY26" s="164"/>
      <c r="AZ26" s="164"/>
      <c r="BA26" s="187"/>
      <c r="BB26" s="164"/>
      <c r="BC26" s="164"/>
      <c r="BD26" s="164"/>
      <c r="BE26" s="164"/>
      <c r="BF26" s="187"/>
      <c r="BG26" s="164"/>
    </row>
    <row r="27" ht="10.5" customHeight="1">
      <c r="A27" s="181" t="s">
        <v>158</v>
      </c>
      <c r="B27" s="184">
        <v>64.735</v>
      </c>
      <c r="C27" s="184">
        <v>66.101</v>
      </c>
      <c r="D27" s="184">
        <v>67.583</v>
      </c>
      <c r="E27" s="184">
        <v>68.309</v>
      </c>
      <c r="F27" s="185">
        <f>SUM(B27:E27)</f>
        <v>266.728</v>
      </c>
      <c r="G27" s="184">
        <f>'Income Statement'!G124</f>
        <v>76.138</v>
      </c>
      <c r="H27" s="184">
        <f>'Income Statement'!H124</f>
        <v>77.409</v>
      </c>
      <c r="I27" s="184">
        <f>'Income Statement'!I124</f>
        <v>72.758</v>
      </c>
      <c r="J27" s="184">
        <f>'Income Statement'!J124</f>
        <v>74.817</v>
      </c>
      <c r="K27" s="185">
        <f>SUM(G27:J27)</f>
        <v>301.122</v>
      </c>
      <c r="L27" s="184">
        <v>84.865</v>
      </c>
      <c r="M27" s="184">
        <f>'Income Statement'!M124</f>
        <v>86.502</v>
      </c>
      <c r="N27" s="184">
        <f>'Income Statement'!N124</f>
        <v>82.367</v>
      </c>
      <c r="O27" s="186">
        <f>O30*'Income Statement'!O$47</f>
        <v>84.62097124</v>
      </c>
      <c r="P27" s="185">
        <f>SUM(L27:O27)</f>
        <v>338.3549712</v>
      </c>
      <c r="Q27" s="186">
        <f>Q30*'Income Statement'!Q$47</f>
        <v>97.80117297</v>
      </c>
      <c r="R27" s="186">
        <f>R30*'Income Statement'!R$47</f>
        <v>101.5734028</v>
      </c>
      <c r="S27" s="186">
        <f>S30*'Income Statement'!S$47</f>
        <v>90.44246974</v>
      </c>
      <c r="T27" s="186">
        <f>T30*'Income Statement'!T$47</f>
        <v>96.51223356</v>
      </c>
      <c r="U27" s="185">
        <f>SUM(Q27:T27)</f>
        <v>386.3292791</v>
      </c>
      <c r="V27" s="186">
        <f>V30*'Income Statement'!V$47</f>
        <v>111.9704279</v>
      </c>
      <c r="W27" s="186">
        <f>W30*'Income Statement'!W$47</f>
        <v>114.3758106</v>
      </c>
      <c r="X27" s="186">
        <f>X30*'Income Statement'!X$47</f>
        <v>101.6077861</v>
      </c>
      <c r="Y27" s="186">
        <f>Y30*'Income Statement'!Y$47</f>
        <v>108.2280013</v>
      </c>
      <c r="Z27" s="185">
        <f>SUM(V27:Y27)</f>
        <v>436.1820259</v>
      </c>
      <c r="AA27" s="186">
        <f>AA30*'Income Statement'!AA$47</f>
        <v>124.432368</v>
      </c>
      <c r="AB27" s="186">
        <f>AB30*'Income Statement'!AB$47</f>
        <v>125.6962546</v>
      </c>
      <c r="AC27" s="186">
        <f>AC30*'Income Statement'!AC$47</f>
        <v>111.5842666</v>
      </c>
      <c r="AD27" s="186">
        <f>AD30*'Income Statement'!AD$47</f>
        <v>118.2924342</v>
      </c>
      <c r="AE27" s="185">
        <f>SUM(AA27:AD27)</f>
        <v>480.0053233</v>
      </c>
      <c r="AF27" s="186">
        <f>AF30*'Income Statement'!AF$47</f>
        <v>142.9077892</v>
      </c>
      <c r="AG27" s="186">
        <f>AG30*'Income Statement'!AG$47</f>
        <v>136.5768797</v>
      </c>
      <c r="AH27" s="186">
        <f>AH30*'Income Statement'!AH$47</f>
        <v>117.7680939</v>
      </c>
      <c r="AI27" s="186">
        <f>AI30*'Income Statement'!AI$47</f>
        <v>125.4776255</v>
      </c>
      <c r="AJ27" s="185">
        <f>SUM(AF27:AI27)</f>
        <v>522.7303883</v>
      </c>
      <c r="AK27" s="186">
        <f>AK30*'Income Statement'!AK$47</f>
        <v>154.5596712</v>
      </c>
      <c r="AL27" s="186">
        <f>AL30*'Income Statement'!AL$47</f>
        <v>146.5465717</v>
      </c>
      <c r="AM27" s="186">
        <f>AM30*'Income Statement'!AM$47</f>
        <v>126.3057627</v>
      </c>
      <c r="AN27" s="186">
        <f>AN30*'Income Statement'!AN$47</f>
        <v>134.116946</v>
      </c>
      <c r="AO27" s="185">
        <f>SUM(AK27:AN27)</f>
        <v>561.5289516</v>
      </c>
      <c r="AP27" s="165"/>
      <c r="AQ27" s="187"/>
      <c r="AR27" s="165"/>
      <c r="AS27" s="165"/>
      <c r="AT27" s="165"/>
      <c r="AU27" s="165"/>
      <c r="AV27" s="187"/>
      <c r="AW27" s="165"/>
      <c r="AX27" s="165"/>
      <c r="AY27" s="165"/>
      <c r="AZ27" s="165"/>
      <c r="BA27" s="187"/>
      <c r="BB27" s="165"/>
      <c r="BC27" s="165"/>
      <c r="BD27" s="165"/>
      <c r="BE27" s="165"/>
      <c r="BF27" s="187"/>
      <c r="BG27" s="165"/>
    </row>
    <row r="28" ht="10.5" customHeight="1">
      <c r="A28" s="183" t="s">
        <v>212</v>
      </c>
      <c r="B28" s="220" t="str">
        <f t="shared" ref="B28:F28" si="24">IFERROR(B27/#REF!-1,"na")</f>
        <v>na</v>
      </c>
      <c r="C28" s="220" t="str">
        <f t="shared" si="24"/>
        <v>na</v>
      </c>
      <c r="D28" s="220" t="str">
        <f t="shared" si="24"/>
        <v>na</v>
      </c>
      <c r="E28" s="220" t="str">
        <f t="shared" si="24"/>
        <v>na</v>
      </c>
      <c r="F28" s="221" t="str">
        <f t="shared" si="24"/>
        <v>na</v>
      </c>
      <c r="G28" s="220">
        <f t="shared" ref="G28:AO28" si="25">IFERROR(G27/B27-1,"na")</f>
        <v>0.1761489148</v>
      </c>
      <c r="H28" s="220">
        <f t="shared" si="25"/>
        <v>0.171071542</v>
      </c>
      <c r="I28" s="220">
        <f t="shared" si="25"/>
        <v>0.07657251084</v>
      </c>
      <c r="J28" s="220">
        <f t="shared" si="25"/>
        <v>0.09527295086</v>
      </c>
      <c r="K28" s="221">
        <f t="shared" si="25"/>
        <v>0.128947842</v>
      </c>
      <c r="L28" s="220">
        <f t="shared" si="25"/>
        <v>0.1146208201</v>
      </c>
      <c r="M28" s="220">
        <f t="shared" si="25"/>
        <v>0.1174669612</v>
      </c>
      <c r="N28" s="220">
        <f t="shared" si="25"/>
        <v>0.1320679513</v>
      </c>
      <c r="O28" s="220">
        <f t="shared" si="25"/>
        <v>0.1310393525</v>
      </c>
      <c r="P28" s="221">
        <f t="shared" si="25"/>
        <v>0.1236474626</v>
      </c>
      <c r="Q28" s="220">
        <f t="shared" si="25"/>
        <v>0.1524323687</v>
      </c>
      <c r="R28" s="220">
        <f t="shared" si="25"/>
        <v>0.1742318426</v>
      </c>
      <c r="S28" s="220">
        <f t="shared" si="25"/>
        <v>0.09804253818</v>
      </c>
      <c r="T28" s="220">
        <f t="shared" si="25"/>
        <v>0.1405238222</v>
      </c>
      <c r="U28" s="221">
        <f t="shared" si="25"/>
        <v>0.141786916</v>
      </c>
      <c r="V28" s="220">
        <f t="shared" si="25"/>
        <v>0.1448781693</v>
      </c>
      <c r="W28" s="220">
        <f t="shared" si="25"/>
        <v>0.1260409461</v>
      </c>
      <c r="X28" s="220">
        <f t="shared" si="25"/>
        <v>0.1234521396</v>
      </c>
      <c r="Y28" s="220">
        <f t="shared" si="25"/>
        <v>0.1213915302</v>
      </c>
      <c r="Z28" s="221">
        <f t="shared" si="25"/>
        <v>0.1290421138</v>
      </c>
      <c r="AA28" s="220">
        <f t="shared" si="25"/>
        <v>0.1112967088</v>
      </c>
      <c r="AB28" s="220">
        <f t="shared" si="25"/>
        <v>0.09897585735</v>
      </c>
      <c r="AC28" s="220">
        <f t="shared" si="25"/>
        <v>0.09818618039</v>
      </c>
      <c r="AD28" s="220">
        <f t="shared" si="25"/>
        <v>0.09299287402</v>
      </c>
      <c r="AE28" s="221">
        <f t="shared" si="25"/>
        <v>0.1004702045</v>
      </c>
      <c r="AF28" s="220">
        <f t="shared" si="25"/>
        <v>0.1484776152</v>
      </c>
      <c r="AG28" s="220">
        <f t="shared" si="25"/>
        <v>0.08656284297</v>
      </c>
      <c r="AH28" s="220">
        <f t="shared" si="25"/>
        <v>0.05541845187</v>
      </c>
      <c r="AI28" s="220">
        <f t="shared" si="25"/>
        <v>0.06074092022</v>
      </c>
      <c r="AJ28" s="221">
        <f t="shared" si="25"/>
        <v>0.08900956497</v>
      </c>
      <c r="AK28" s="220">
        <f t="shared" si="25"/>
        <v>0.08153426816</v>
      </c>
      <c r="AL28" s="220">
        <f t="shared" si="25"/>
        <v>0.07299692329</v>
      </c>
      <c r="AM28" s="220">
        <f t="shared" si="25"/>
        <v>0.0724956015</v>
      </c>
      <c r="AN28" s="220">
        <f t="shared" si="25"/>
        <v>0.06885148208</v>
      </c>
      <c r="AO28" s="221">
        <f t="shared" si="25"/>
        <v>0.07422289611</v>
      </c>
      <c r="AP28" s="165"/>
      <c r="AQ28" s="187"/>
      <c r="AR28" s="165"/>
      <c r="AS28" s="165"/>
      <c r="AT28" s="165"/>
      <c r="AU28" s="165"/>
      <c r="AV28" s="187"/>
      <c r="AW28" s="165"/>
      <c r="AX28" s="165"/>
      <c r="AY28" s="165"/>
      <c r="AZ28" s="165"/>
      <c r="BA28" s="187"/>
      <c r="BB28" s="165"/>
      <c r="BC28" s="165"/>
      <c r="BD28" s="165"/>
      <c r="BE28" s="165"/>
      <c r="BF28" s="187"/>
      <c r="BG28" s="165"/>
    </row>
    <row r="29" ht="10.5" customHeight="1">
      <c r="A29" s="183" t="s">
        <v>245</v>
      </c>
      <c r="B29" s="220">
        <f t="shared" ref="B29:AO29" si="26">B27/B$10</f>
        <v>0.6984635636</v>
      </c>
      <c r="C29" s="220">
        <f t="shared" si="26"/>
        <v>0.6687541733</v>
      </c>
      <c r="D29" s="220">
        <f t="shared" si="26"/>
        <v>0.6884633016</v>
      </c>
      <c r="E29" s="220">
        <f t="shared" si="26"/>
        <v>0.6953277687</v>
      </c>
      <c r="F29" s="261">
        <f t="shared" si="26"/>
        <v>0.687569117</v>
      </c>
      <c r="G29" s="220">
        <f t="shared" si="26"/>
        <v>0.7319553932</v>
      </c>
      <c r="H29" s="220">
        <f t="shared" si="26"/>
        <v>0.7181463958</v>
      </c>
      <c r="I29" s="220">
        <f t="shared" si="26"/>
        <v>0.7104232778</v>
      </c>
      <c r="J29" s="220">
        <f t="shared" si="26"/>
        <v>0.686255985</v>
      </c>
      <c r="K29" s="261">
        <f t="shared" si="26"/>
        <v>0.7114569034</v>
      </c>
      <c r="L29" s="220">
        <f t="shared" si="26"/>
        <v>0.7368032645</v>
      </c>
      <c r="M29" s="220">
        <f t="shared" si="26"/>
        <v>0.7229102943</v>
      </c>
      <c r="N29" s="220">
        <f t="shared" si="26"/>
        <v>0.7245832417</v>
      </c>
      <c r="O29" s="220">
        <f t="shared" si="26"/>
        <v>0.7069093714</v>
      </c>
      <c r="P29" s="261">
        <f t="shared" si="26"/>
        <v>0.7226432511</v>
      </c>
      <c r="Q29" s="220">
        <f t="shared" si="26"/>
        <v>0.6928008075</v>
      </c>
      <c r="R29" s="220">
        <f t="shared" si="26"/>
        <v>0.6916822874</v>
      </c>
      <c r="S29" s="220">
        <f t="shared" si="26"/>
        <v>0.6517714104</v>
      </c>
      <c r="T29" s="220">
        <f t="shared" si="26"/>
        <v>0.661451629</v>
      </c>
      <c r="U29" s="261">
        <f t="shared" si="26"/>
        <v>0.6745853929</v>
      </c>
      <c r="V29" s="220">
        <f t="shared" si="26"/>
        <v>0.7050723367</v>
      </c>
      <c r="W29" s="220">
        <f t="shared" si="26"/>
        <v>0.6915616478</v>
      </c>
      <c r="X29" s="220">
        <f t="shared" si="26"/>
        <v>0.6563733286</v>
      </c>
      <c r="Y29" s="220">
        <f t="shared" si="26"/>
        <v>0.6656011397</v>
      </c>
      <c r="Z29" s="261">
        <f t="shared" si="26"/>
        <v>0.6798364769</v>
      </c>
      <c r="AA29" s="220">
        <f t="shared" si="26"/>
        <v>0.707301325</v>
      </c>
      <c r="AB29" s="220">
        <f t="shared" si="26"/>
        <v>0.6864191898</v>
      </c>
      <c r="AC29" s="220">
        <f t="shared" si="26"/>
        <v>0.6513753614</v>
      </c>
      <c r="AD29" s="220">
        <f t="shared" si="26"/>
        <v>0.6581363733</v>
      </c>
      <c r="AE29" s="261">
        <f t="shared" si="26"/>
        <v>0.6759796245</v>
      </c>
      <c r="AF29" s="220">
        <f t="shared" si="26"/>
        <v>0.7429879404</v>
      </c>
      <c r="AG29" s="220">
        <f t="shared" si="26"/>
        <v>0.6830478175</v>
      </c>
      <c r="AH29" s="220">
        <f t="shared" si="26"/>
        <v>0.6305966743</v>
      </c>
      <c r="AI29" s="220">
        <f t="shared" si="26"/>
        <v>0.6415658149</v>
      </c>
      <c r="AJ29" s="261">
        <f t="shared" si="26"/>
        <v>0.6748120825</v>
      </c>
      <c r="AK29" s="220">
        <f t="shared" si="26"/>
        <v>0.7393480787</v>
      </c>
      <c r="AL29" s="220">
        <f t="shared" si="26"/>
        <v>0.6745788834</v>
      </c>
      <c r="AM29" s="220">
        <f t="shared" si="26"/>
        <v>0.6227078315</v>
      </c>
      <c r="AN29" s="220">
        <f t="shared" si="26"/>
        <v>0.6318895008</v>
      </c>
      <c r="AO29" s="261">
        <f t="shared" si="26"/>
        <v>0.6673977789</v>
      </c>
      <c r="AP29" s="165"/>
      <c r="AQ29" s="187"/>
      <c r="AR29" s="165"/>
      <c r="AS29" s="165"/>
      <c r="AT29" s="165"/>
      <c r="AU29" s="165"/>
      <c r="AV29" s="187"/>
      <c r="AW29" s="165"/>
      <c r="AX29" s="165"/>
      <c r="AY29" s="165"/>
      <c r="AZ29" s="165"/>
      <c r="BA29" s="187"/>
      <c r="BB29" s="165"/>
      <c r="BC29" s="165"/>
      <c r="BD29" s="165"/>
      <c r="BE29" s="165"/>
      <c r="BF29" s="187"/>
      <c r="BG29" s="165"/>
    </row>
    <row r="30" ht="10.5" customHeight="1">
      <c r="A30" s="183" t="s">
        <v>246</v>
      </c>
      <c r="B30" s="220">
        <f t="shared" ref="B30:N30" si="27">B27/B$47</f>
        <v>0.7355079874</v>
      </c>
      <c r="C30" s="220">
        <f t="shared" si="27"/>
        <v>0.5794978346</v>
      </c>
      <c r="D30" s="220">
        <f t="shared" si="27"/>
        <v>0.6158802194</v>
      </c>
      <c r="E30" s="220">
        <f t="shared" si="27"/>
        <v>0.6099998214</v>
      </c>
      <c r="F30" s="261">
        <f t="shared" si="27"/>
        <v>0.6293782858</v>
      </c>
      <c r="G30" s="220">
        <f t="shared" si="27"/>
        <v>0.7161817686</v>
      </c>
      <c r="H30" s="220">
        <f t="shared" si="27"/>
        <v>0.6094093196</v>
      </c>
      <c r="I30" s="220">
        <f t="shared" si="27"/>
        <v>0.6015842043</v>
      </c>
      <c r="J30" s="220">
        <f t="shared" si="27"/>
        <v>0.5875465297</v>
      </c>
      <c r="K30" s="261">
        <f t="shared" si="27"/>
        <v>0.6174201882</v>
      </c>
      <c r="L30" s="220">
        <f t="shared" si="27"/>
        <v>0.7255837416</v>
      </c>
      <c r="M30" s="220">
        <f t="shared" si="27"/>
        <v>0.6085476098</v>
      </c>
      <c r="N30" s="220">
        <f t="shared" si="27"/>
        <v>0.5615765898</v>
      </c>
      <c r="O30" s="258">
        <v>0.59</v>
      </c>
      <c r="P30" s="261">
        <f>P27/P$47</f>
        <v>0.616529988</v>
      </c>
      <c r="Q30" s="258">
        <f t="shared" ref="Q30:T30" si="28">L30-0.7/100</f>
        <v>0.7185837416</v>
      </c>
      <c r="R30" s="258">
        <f t="shared" si="28"/>
        <v>0.6015476098</v>
      </c>
      <c r="S30" s="258">
        <f t="shared" si="28"/>
        <v>0.5545765898</v>
      </c>
      <c r="T30" s="258">
        <f t="shared" si="28"/>
        <v>0.583</v>
      </c>
      <c r="U30" s="261">
        <f>U27/U$47</f>
        <v>0.6097521552</v>
      </c>
      <c r="V30" s="258">
        <f t="shared" ref="V30:Y30" si="29">Q30</f>
        <v>0.7185837416</v>
      </c>
      <c r="W30" s="258">
        <f t="shared" si="29"/>
        <v>0.6015476098</v>
      </c>
      <c r="X30" s="258">
        <f t="shared" si="29"/>
        <v>0.5545765898</v>
      </c>
      <c r="Y30" s="258">
        <f t="shared" si="29"/>
        <v>0.583</v>
      </c>
      <c r="Z30" s="261">
        <f>Z27/Z$47</f>
        <v>0.6102038918</v>
      </c>
      <c r="AA30" s="258">
        <f t="shared" ref="AA30:AD30" si="30">V30</f>
        <v>0.7185837416</v>
      </c>
      <c r="AB30" s="258">
        <f t="shared" si="30"/>
        <v>0.6015476098</v>
      </c>
      <c r="AC30" s="258">
        <f t="shared" si="30"/>
        <v>0.5545765898</v>
      </c>
      <c r="AD30" s="258">
        <f t="shared" si="30"/>
        <v>0.583</v>
      </c>
      <c r="AE30" s="261">
        <f>AE27/AE$47</f>
        <v>0.6105172055</v>
      </c>
      <c r="AF30" s="258">
        <f t="shared" ref="AF30:AI30" si="31">AA30</f>
        <v>0.7185837416</v>
      </c>
      <c r="AG30" s="258">
        <f t="shared" si="31"/>
        <v>0.6015476098</v>
      </c>
      <c r="AH30" s="258">
        <f t="shared" si="31"/>
        <v>0.5545765898</v>
      </c>
      <c r="AI30" s="258">
        <f t="shared" si="31"/>
        <v>0.583</v>
      </c>
      <c r="AJ30" s="261">
        <f>AJ27/AJ$47</f>
        <v>0.6124543353</v>
      </c>
      <c r="AK30" s="258">
        <f t="shared" ref="AK30:AN30" si="32">AF30</f>
        <v>0.7185837416</v>
      </c>
      <c r="AL30" s="258">
        <f t="shared" si="32"/>
        <v>0.6015476098</v>
      </c>
      <c r="AM30" s="258">
        <f t="shared" si="32"/>
        <v>0.5545765898</v>
      </c>
      <c r="AN30" s="258">
        <f t="shared" si="32"/>
        <v>0.583</v>
      </c>
      <c r="AO30" s="261">
        <f>AO27/AO$47</f>
        <v>0.6126863408</v>
      </c>
      <c r="AP30" s="165"/>
      <c r="AQ30" s="187"/>
      <c r="AR30" s="165"/>
      <c r="AS30" s="165"/>
      <c r="AT30" s="165"/>
      <c r="AU30" s="165"/>
      <c r="AV30" s="187"/>
      <c r="AW30" s="165"/>
      <c r="AX30" s="165"/>
      <c r="AY30" s="165"/>
      <c r="AZ30" s="165"/>
      <c r="BA30" s="187"/>
      <c r="BB30" s="165"/>
      <c r="BC30" s="165"/>
      <c r="BD30" s="165"/>
      <c r="BE30" s="165"/>
      <c r="BF30" s="187"/>
      <c r="BG30" s="165"/>
    </row>
    <row r="31" ht="10.5" customHeight="1">
      <c r="A31" s="164"/>
      <c r="B31" s="210"/>
      <c r="C31" s="210"/>
      <c r="D31" s="210"/>
      <c r="E31" s="210"/>
      <c r="F31" s="207"/>
      <c r="G31" s="210"/>
      <c r="H31" s="210"/>
      <c r="I31" s="210"/>
      <c r="J31" s="165"/>
      <c r="K31" s="207"/>
      <c r="L31" s="210"/>
      <c r="M31" s="210"/>
      <c r="N31" s="210"/>
      <c r="O31" s="165"/>
      <c r="P31" s="207"/>
      <c r="Q31" s="165"/>
      <c r="R31" s="165"/>
      <c r="S31" s="165"/>
      <c r="T31" s="165"/>
      <c r="U31" s="207"/>
      <c r="V31" s="165"/>
      <c r="W31" s="165"/>
      <c r="X31" s="165"/>
      <c r="Y31" s="165"/>
      <c r="Z31" s="207"/>
      <c r="AA31" s="165"/>
      <c r="AB31" s="165"/>
      <c r="AC31" s="165"/>
      <c r="AD31" s="165"/>
      <c r="AE31" s="207"/>
      <c r="AF31" s="165"/>
      <c r="AG31" s="165"/>
      <c r="AH31" s="165"/>
      <c r="AI31" s="165"/>
      <c r="AJ31" s="207"/>
      <c r="AK31" s="165"/>
      <c r="AL31" s="165"/>
      <c r="AM31" s="165"/>
      <c r="AN31" s="165"/>
      <c r="AO31" s="207"/>
      <c r="AP31" s="165"/>
      <c r="AQ31" s="187"/>
      <c r="AR31" s="165"/>
      <c r="AS31" s="165"/>
      <c r="AT31" s="165"/>
      <c r="AU31" s="165"/>
      <c r="AV31" s="187"/>
      <c r="AW31" s="165"/>
      <c r="AX31" s="165"/>
      <c r="AY31" s="165"/>
      <c r="AZ31" s="165"/>
      <c r="BA31" s="187"/>
      <c r="BB31" s="165"/>
      <c r="BC31" s="165"/>
      <c r="BD31" s="165"/>
      <c r="BE31" s="165"/>
      <c r="BF31" s="187"/>
      <c r="BG31" s="165"/>
    </row>
    <row r="32" ht="10.5" customHeight="1">
      <c r="A32" s="181" t="s">
        <v>159</v>
      </c>
      <c r="B32" s="184">
        <v>33.53</v>
      </c>
      <c r="C32" s="184">
        <v>48.705</v>
      </c>
      <c r="D32" s="184">
        <v>44.264</v>
      </c>
      <c r="E32" s="184">
        <v>45.019</v>
      </c>
      <c r="F32" s="185">
        <f>SUM(B32:E32)</f>
        <v>171.518</v>
      </c>
      <c r="G32" s="184">
        <f>'Income Statement'!G125</f>
        <v>42.398</v>
      </c>
      <c r="H32" s="184">
        <f>'Income Statement'!H125</f>
        <v>49.296</v>
      </c>
      <c r="I32" s="184">
        <f>'Income Statement'!I125</f>
        <v>50.107</v>
      </c>
      <c r="J32" s="184">
        <f>'Income Statement'!J125</f>
        <v>46.95</v>
      </c>
      <c r="K32" s="185">
        <f>SUM(G32:J32)</f>
        <v>188.751</v>
      </c>
      <c r="L32" s="184">
        <v>45.849</v>
      </c>
      <c r="M32" s="184">
        <f>'Income Statement'!M125</f>
        <v>56.598</v>
      </c>
      <c r="N32" s="184">
        <f>'Income Statement'!N125</f>
        <v>53.737</v>
      </c>
      <c r="O32" s="186">
        <f>O35*'Income Statement'!O$47</f>
        <v>52.88147572</v>
      </c>
      <c r="P32" s="185">
        <f>SUM(L32:O32)</f>
        <v>209.0654757</v>
      </c>
      <c r="Q32" s="186">
        <f>Q35*'Income Statement'!Q$47</f>
        <v>52.3998669</v>
      </c>
      <c r="R32" s="186">
        <f>R35*'Income Statement'!R$47</f>
        <v>66.05056177</v>
      </c>
      <c r="S32" s="186">
        <f>S35*'Income Statement'!S$47</f>
        <v>58.60870698</v>
      </c>
      <c r="T32" s="186">
        <f>T35*'Income Statement'!T$47</f>
        <v>59.87793864</v>
      </c>
      <c r="U32" s="185">
        <f>SUM(Q32:T32)</f>
        <v>236.9370743</v>
      </c>
      <c r="V32" s="186">
        <f>V35*'Income Statement'!V$47</f>
        <v>59.99146369</v>
      </c>
      <c r="W32" s="186">
        <f>W35*'Income Statement'!W$47</f>
        <v>74.37563707</v>
      </c>
      <c r="X32" s="186">
        <f>X35*'Income Statement'!X$47</f>
        <v>65.84407726</v>
      </c>
      <c r="Y32" s="186">
        <f>Y35*'Income Statement'!Y$47</f>
        <v>67.14661324</v>
      </c>
      <c r="Z32" s="185">
        <f>SUM(V32:Y32)</f>
        <v>267.3577913</v>
      </c>
      <c r="AA32" s="186">
        <f>AA35*'Income Statement'!AA$47</f>
        <v>66.66831615</v>
      </c>
      <c r="AB32" s="186">
        <f>AB35*'Income Statement'!AB$47</f>
        <v>81.73702952</v>
      </c>
      <c r="AC32" s="186">
        <f>AC35*'Income Statement'!AC$47</f>
        <v>72.30905571</v>
      </c>
      <c r="AD32" s="186">
        <f>AD35*'Income Statement'!AD$47</f>
        <v>73.39076978</v>
      </c>
      <c r="AE32" s="185">
        <f>SUM(AA32:AD32)</f>
        <v>294.1051712</v>
      </c>
      <c r="AF32" s="186">
        <f>AF35*'Income Statement'!AF$47</f>
        <v>76.56706874</v>
      </c>
      <c r="AG32" s="186">
        <f>AG35*'Income Statement'!AG$47</f>
        <v>88.81241917</v>
      </c>
      <c r="AH32" s="186">
        <f>AH35*'Income Statement'!AH$47</f>
        <v>76.31631163</v>
      </c>
      <c r="AI32" s="186">
        <f>AI35*'Income Statement'!AI$47</f>
        <v>77.84859267</v>
      </c>
      <c r="AJ32" s="185">
        <f>SUM(AF32:AI32)</f>
        <v>319.5443922</v>
      </c>
      <c r="AK32" s="186">
        <f>AK35*'Income Statement'!AK$47</f>
        <v>82.80990866</v>
      </c>
      <c r="AL32" s="186">
        <f>AL35*'Income Statement'!AL$47</f>
        <v>95.29545252</v>
      </c>
      <c r="AM32" s="186">
        <f>AM35*'Income Statement'!AM$47</f>
        <v>81.84890854</v>
      </c>
      <c r="AN32" s="186">
        <f>AN35*'Income Statement'!AN$47</f>
        <v>83.20858366</v>
      </c>
      <c r="AO32" s="185">
        <f>SUM(AK32:AN32)</f>
        <v>343.1628534</v>
      </c>
      <c r="AP32" s="165"/>
      <c r="AQ32" s="187"/>
      <c r="AR32" s="165"/>
      <c r="AS32" s="165"/>
      <c r="AT32" s="165"/>
      <c r="AU32" s="165"/>
      <c r="AV32" s="187"/>
      <c r="AW32" s="165"/>
      <c r="AX32" s="165"/>
      <c r="AY32" s="165"/>
      <c r="AZ32" s="165"/>
      <c r="BA32" s="187"/>
      <c r="BB32" s="165"/>
      <c r="BC32" s="165"/>
      <c r="BD32" s="165"/>
      <c r="BE32" s="165"/>
      <c r="BF32" s="187"/>
      <c r="BG32" s="165"/>
    </row>
    <row r="33" ht="10.5" customHeight="1">
      <c r="A33" s="183" t="s">
        <v>212</v>
      </c>
      <c r="B33" s="220" t="str">
        <f t="shared" ref="B33:F33" si="33">IFERROR(B32/#REF!-1,"na")</f>
        <v>na</v>
      </c>
      <c r="C33" s="220" t="str">
        <f t="shared" si="33"/>
        <v>na</v>
      </c>
      <c r="D33" s="220" t="str">
        <f t="shared" si="33"/>
        <v>na</v>
      </c>
      <c r="E33" s="220" t="str">
        <f t="shared" si="33"/>
        <v>na</v>
      </c>
      <c r="F33" s="221" t="str">
        <f t="shared" si="33"/>
        <v>na</v>
      </c>
      <c r="G33" s="220">
        <f t="shared" ref="G33:AO33" si="34">IFERROR(G32/B32-1,"na")</f>
        <v>0.2644795705</v>
      </c>
      <c r="H33" s="220">
        <f t="shared" si="34"/>
        <v>0.01213427779</v>
      </c>
      <c r="I33" s="220">
        <f t="shared" si="34"/>
        <v>0.1320034339</v>
      </c>
      <c r="J33" s="220">
        <f t="shared" si="34"/>
        <v>0.04289300073</v>
      </c>
      <c r="K33" s="221">
        <f t="shared" si="34"/>
        <v>0.1004734197</v>
      </c>
      <c r="L33" s="220">
        <f t="shared" si="34"/>
        <v>0.08139534884</v>
      </c>
      <c r="M33" s="220">
        <f t="shared" si="34"/>
        <v>0.1481256086</v>
      </c>
      <c r="N33" s="220">
        <f t="shared" si="34"/>
        <v>0.07244496777</v>
      </c>
      <c r="O33" s="220">
        <f t="shared" si="34"/>
        <v>0.1263360111</v>
      </c>
      <c r="P33" s="221">
        <f t="shared" si="34"/>
        <v>0.1076257912</v>
      </c>
      <c r="Q33" s="220">
        <f t="shared" si="34"/>
        <v>0.1428791664</v>
      </c>
      <c r="R33" s="220">
        <f t="shared" si="34"/>
        <v>0.1670122933</v>
      </c>
      <c r="S33" s="220">
        <f t="shared" si="34"/>
        <v>0.0906583356</v>
      </c>
      <c r="T33" s="220">
        <f t="shared" si="34"/>
        <v>0.132304608</v>
      </c>
      <c r="U33" s="221">
        <f t="shared" si="34"/>
        <v>0.1333151659</v>
      </c>
      <c r="V33" s="220">
        <f t="shared" si="34"/>
        <v>0.1448781693</v>
      </c>
      <c r="W33" s="220">
        <f t="shared" si="34"/>
        <v>0.1260409461</v>
      </c>
      <c r="X33" s="220">
        <f t="shared" si="34"/>
        <v>0.1234521396</v>
      </c>
      <c r="Y33" s="220">
        <f t="shared" si="34"/>
        <v>0.1213915302</v>
      </c>
      <c r="Z33" s="221">
        <f t="shared" si="34"/>
        <v>0.1283915447</v>
      </c>
      <c r="AA33" s="220">
        <f t="shared" si="34"/>
        <v>0.1112967088</v>
      </c>
      <c r="AB33" s="220">
        <f t="shared" si="34"/>
        <v>0.09897585735</v>
      </c>
      <c r="AC33" s="220">
        <f t="shared" si="34"/>
        <v>0.09818618039</v>
      </c>
      <c r="AD33" s="220">
        <f t="shared" si="34"/>
        <v>0.09299287402</v>
      </c>
      <c r="AE33" s="221">
        <f t="shared" si="34"/>
        <v>0.1000433905</v>
      </c>
      <c r="AF33" s="220">
        <f t="shared" si="34"/>
        <v>0.1484776152</v>
      </c>
      <c r="AG33" s="220">
        <f t="shared" si="34"/>
        <v>0.08656284297</v>
      </c>
      <c r="AH33" s="220">
        <f t="shared" si="34"/>
        <v>0.05541845187</v>
      </c>
      <c r="AI33" s="220">
        <f t="shared" si="34"/>
        <v>0.06074092022</v>
      </c>
      <c r="AJ33" s="221">
        <f t="shared" si="34"/>
        <v>0.08649702063</v>
      </c>
      <c r="AK33" s="220">
        <f t="shared" si="34"/>
        <v>0.08153426816</v>
      </c>
      <c r="AL33" s="220">
        <f t="shared" si="34"/>
        <v>0.07299692329</v>
      </c>
      <c r="AM33" s="220">
        <f t="shared" si="34"/>
        <v>0.0724956015</v>
      </c>
      <c r="AN33" s="220">
        <f t="shared" si="34"/>
        <v>0.06885148208</v>
      </c>
      <c r="AO33" s="221">
        <f t="shared" si="34"/>
        <v>0.07391292646</v>
      </c>
      <c r="AP33" s="165"/>
      <c r="AQ33" s="187"/>
      <c r="AR33" s="165"/>
      <c r="AS33" s="165"/>
      <c r="AT33" s="165"/>
      <c r="AU33" s="165"/>
      <c r="AV33" s="187"/>
      <c r="AW33" s="165"/>
      <c r="AX33" s="165"/>
      <c r="AY33" s="165"/>
      <c r="AZ33" s="165"/>
      <c r="BA33" s="187"/>
      <c r="BB33" s="165"/>
      <c r="BC33" s="165"/>
      <c r="BD33" s="165"/>
      <c r="BE33" s="165"/>
      <c r="BF33" s="187"/>
      <c r="BG33" s="165"/>
    </row>
    <row r="34" ht="10.5" customHeight="1">
      <c r="A34" s="183" t="s">
        <v>245</v>
      </c>
      <c r="B34" s="220">
        <f t="shared" ref="B34:L34" si="35">B32/B$14</f>
        <v>0.3166732778</v>
      </c>
      <c r="C34" s="220">
        <f t="shared" si="35"/>
        <v>0.4281419492</v>
      </c>
      <c r="D34" s="220">
        <f t="shared" si="35"/>
        <v>0.3908693541</v>
      </c>
      <c r="E34" s="220">
        <f t="shared" si="35"/>
        <v>0.3867279443</v>
      </c>
      <c r="F34" s="261">
        <f t="shared" si="35"/>
        <v>0.3817483352</v>
      </c>
      <c r="G34" s="220">
        <f t="shared" si="35"/>
        <v>0.3464511595</v>
      </c>
      <c r="H34" s="220">
        <f t="shared" si="35"/>
        <v>0.3929032567</v>
      </c>
      <c r="I34" s="220">
        <f t="shared" si="35"/>
        <v>0.3910576593</v>
      </c>
      <c r="J34" s="220">
        <f t="shared" si="35"/>
        <v>0.3717015937</v>
      </c>
      <c r="K34" s="261">
        <f t="shared" si="35"/>
        <v>0.3757831678</v>
      </c>
      <c r="L34" s="220">
        <f t="shared" si="35"/>
        <v>0.3430039875</v>
      </c>
      <c r="M34" s="220">
        <f t="shared" ref="M34:N34" si="36">M32/M$10</f>
        <v>0.4729980444</v>
      </c>
      <c r="N34" s="220">
        <f t="shared" si="36"/>
        <v>0.4727248735</v>
      </c>
      <c r="O34" s="220">
        <f t="shared" ref="O34:AO34" si="37">O32/O$14</f>
        <v>0.3879587595</v>
      </c>
      <c r="P34" s="261">
        <f t="shared" si="37"/>
        <v>0.3823450239</v>
      </c>
      <c r="Q34" s="220">
        <f t="shared" si="37"/>
        <v>0.3585398128</v>
      </c>
      <c r="R34" s="220">
        <f t="shared" si="37"/>
        <v>0.4370656006</v>
      </c>
      <c r="S34" s="220">
        <f t="shared" si="37"/>
        <v>0.3871209943</v>
      </c>
      <c r="T34" s="220">
        <f t="shared" si="37"/>
        <v>0.3961670338</v>
      </c>
      <c r="U34" s="261">
        <f t="shared" si="37"/>
        <v>0.395020046</v>
      </c>
      <c r="V34" s="220">
        <f t="shared" si="37"/>
        <v>0.3704531133</v>
      </c>
      <c r="W34" s="220">
        <f t="shared" si="37"/>
        <v>0.4414308581</v>
      </c>
      <c r="X34" s="220">
        <f t="shared" si="37"/>
        <v>0.3885258714</v>
      </c>
      <c r="Y34" s="220">
        <f t="shared" si="37"/>
        <v>0.3962163076</v>
      </c>
      <c r="Z34" s="261">
        <f t="shared" si="37"/>
        <v>0.3994173356</v>
      </c>
      <c r="AA34" s="220">
        <f t="shared" si="37"/>
        <v>0.3712039838</v>
      </c>
      <c r="AB34" s="220">
        <f t="shared" si="37"/>
        <v>0.4377504958</v>
      </c>
      <c r="AC34" s="220">
        <f t="shared" si="37"/>
        <v>0.3854126367</v>
      </c>
      <c r="AD34" s="220">
        <f t="shared" si="37"/>
        <v>0.3917739546</v>
      </c>
      <c r="AE34" s="261">
        <f t="shared" si="37"/>
        <v>0.3967612668</v>
      </c>
      <c r="AF34" s="220">
        <f t="shared" si="37"/>
        <v>0.3861223166</v>
      </c>
      <c r="AG34" s="220">
        <f t="shared" si="37"/>
        <v>0.4316871689</v>
      </c>
      <c r="AH34" s="220">
        <f t="shared" si="37"/>
        <v>0.3705423257</v>
      </c>
      <c r="AI34" s="220">
        <f t="shared" si="37"/>
        <v>0.3805879666</v>
      </c>
      <c r="AJ34" s="261">
        <f t="shared" si="37"/>
        <v>0.3923016954</v>
      </c>
      <c r="AK34" s="220">
        <f t="shared" si="37"/>
        <v>0.3875718347</v>
      </c>
      <c r="AL34" s="220">
        <f t="shared" si="37"/>
        <v>0.430064618</v>
      </c>
      <c r="AM34" s="220">
        <f t="shared" si="37"/>
        <v>0.3691761674</v>
      </c>
      <c r="AN34" s="220">
        <f t="shared" si="37"/>
        <v>0.3781940084</v>
      </c>
      <c r="AO34" s="261">
        <f t="shared" si="37"/>
        <v>0.3913051526</v>
      </c>
      <c r="AP34" s="165"/>
      <c r="AQ34" s="187"/>
      <c r="AR34" s="165"/>
      <c r="AS34" s="165"/>
      <c r="AT34" s="165"/>
      <c r="AU34" s="165"/>
      <c r="AV34" s="187"/>
      <c r="AW34" s="165"/>
      <c r="AX34" s="165"/>
      <c r="AY34" s="165"/>
      <c r="AZ34" s="165"/>
      <c r="BA34" s="187"/>
      <c r="BB34" s="165"/>
      <c r="BC34" s="165"/>
      <c r="BD34" s="165"/>
      <c r="BE34" s="165"/>
      <c r="BF34" s="187"/>
      <c r="BG34" s="165"/>
    </row>
    <row r="35" ht="10.5" customHeight="1">
      <c r="A35" s="183" t="s">
        <v>246</v>
      </c>
      <c r="B35" s="220">
        <f t="shared" ref="B35:N35" si="38">B32/B$47</f>
        <v>0.3809621197</v>
      </c>
      <c r="C35" s="220">
        <f t="shared" si="38"/>
        <v>0.4269896376</v>
      </c>
      <c r="D35" s="220">
        <f t="shared" si="38"/>
        <v>0.4033754351</v>
      </c>
      <c r="E35" s="220">
        <f t="shared" si="38"/>
        <v>0.4020199675</v>
      </c>
      <c r="F35" s="261">
        <f t="shared" si="38"/>
        <v>0.4047183079</v>
      </c>
      <c r="G35" s="220">
        <f t="shared" si="38"/>
        <v>0.3988110355</v>
      </c>
      <c r="H35" s="220">
        <f t="shared" si="38"/>
        <v>0.3880871968</v>
      </c>
      <c r="I35" s="220">
        <f t="shared" si="38"/>
        <v>0.4142991798</v>
      </c>
      <c r="J35" s="220">
        <f t="shared" si="38"/>
        <v>0.3687037648</v>
      </c>
      <c r="K35" s="261">
        <f t="shared" si="38"/>
        <v>0.3870148244</v>
      </c>
      <c r="L35" s="220">
        <f t="shared" si="38"/>
        <v>0.3920024624</v>
      </c>
      <c r="M35" s="220">
        <f t="shared" si="38"/>
        <v>0.3981708818</v>
      </c>
      <c r="N35" s="220">
        <f t="shared" si="38"/>
        <v>0.3663778116</v>
      </c>
      <c r="O35" s="258">
        <f>J35</f>
        <v>0.3687037648</v>
      </c>
      <c r="P35" s="261">
        <f>P32/P$47</f>
        <v>0.3809464798</v>
      </c>
      <c r="Q35" s="258">
        <f t="shared" ref="Q35:T35" si="39">L35-0.7/100</f>
        <v>0.3850024624</v>
      </c>
      <c r="R35" s="258">
        <f t="shared" si="39"/>
        <v>0.3911708818</v>
      </c>
      <c r="S35" s="258">
        <f t="shared" si="39"/>
        <v>0.3593778116</v>
      </c>
      <c r="T35" s="258">
        <f t="shared" si="39"/>
        <v>0.3617037648</v>
      </c>
      <c r="U35" s="261">
        <f>U32/U$47</f>
        <v>0.3739630919</v>
      </c>
      <c r="V35" s="258">
        <f t="shared" ref="V35:Y35" si="40">Q35</f>
        <v>0.3850024624</v>
      </c>
      <c r="W35" s="258">
        <f t="shared" si="40"/>
        <v>0.3911708818</v>
      </c>
      <c r="X35" s="258">
        <f t="shared" si="40"/>
        <v>0.3593778116</v>
      </c>
      <c r="Y35" s="258">
        <f t="shared" si="40"/>
        <v>0.3617037648</v>
      </c>
      <c r="Z35" s="261">
        <f>Z32/Z$47</f>
        <v>0.3740245013</v>
      </c>
      <c r="AA35" s="258">
        <f t="shared" ref="AA35:AD35" si="41">V35</f>
        <v>0.3850024624</v>
      </c>
      <c r="AB35" s="258">
        <f t="shared" si="41"/>
        <v>0.3911708818</v>
      </c>
      <c r="AC35" s="258">
        <f t="shared" si="41"/>
        <v>0.3593778116</v>
      </c>
      <c r="AD35" s="258">
        <f t="shared" si="41"/>
        <v>0.3617037648</v>
      </c>
      <c r="AE35" s="261">
        <f>AE32/AE$47</f>
        <v>0.3740714082</v>
      </c>
      <c r="AF35" s="258">
        <f t="shared" ref="AF35:AI35" si="42">AA35</f>
        <v>0.3850024624</v>
      </c>
      <c r="AG35" s="258">
        <f t="shared" si="42"/>
        <v>0.3911708818</v>
      </c>
      <c r="AH35" s="258">
        <f t="shared" si="42"/>
        <v>0.3593778116</v>
      </c>
      <c r="AI35" s="258">
        <f t="shared" si="42"/>
        <v>0.3617037648</v>
      </c>
      <c r="AJ35" s="261">
        <f>AJ32/AJ$47</f>
        <v>0.3743925219</v>
      </c>
      <c r="AK35" s="258">
        <f t="shared" ref="AK35:AN35" si="43">AF35</f>
        <v>0.3850024624</v>
      </c>
      <c r="AL35" s="258">
        <f t="shared" si="43"/>
        <v>0.3911708818</v>
      </c>
      <c r="AM35" s="258">
        <f t="shared" si="43"/>
        <v>0.3593778116</v>
      </c>
      <c r="AN35" s="258">
        <f t="shared" si="43"/>
        <v>0.3617037648</v>
      </c>
      <c r="AO35" s="261">
        <f>AO32/AO$47</f>
        <v>0.3744262738</v>
      </c>
      <c r="AP35" s="165"/>
      <c r="AQ35" s="187"/>
      <c r="AR35" s="165"/>
      <c r="AS35" s="165"/>
      <c r="AT35" s="165"/>
      <c r="AU35" s="165"/>
      <c r="AV35" s="187"/>
      <c r="AW35" s="165"/>
      <c r="AX35" s="165"/>
      <c r="AY35" s="165"/>
      <c r="AZ35" s="165"/>
      <c r="BA35" s="187"/>
      <c r="BB35" s="165"/>
      <c r="BC35" s="165"/>
      <c r="BD35" s="165"/>
      <c r="BE35" s="165"/>
      <c r="BF35" s="187"/>
      <c r="BG35" s="165"/>
    </row>
    <row r="36" ht="10.5" customHeight="1">
      <c r="A36" s="164"/>
      <c r="B36" s="210"/>
      <c r="C36" s="210"/>
      <c r="D36" s="210"/>
      <c r="E36" s="210"/>
      <c r="F36" s="207"/>
      <c r="G36" s="210"/>
      <c r="H36" s="210"/>
      <c r="I36" s="210"/>
      <c r="J36" s="165"/>
      <c r="K36" s="207"/>
      <c r="L36" s="210"/>
      <c r="M36" s="210"/>
      <c r="N36" s="210"/>
      <c r="O36" s="165"/>
      <c r="P36" s="207"/>
      <c r="Q36" s="165"/>
      <c r="R36" s="165"/>
      <c r="S36" s="165"/>
      <c r="T36" s="165"/>
      <c r="U36" s="207"/>
      <c r="V36" s="165"/>
      <c r="W36" s="165"/>
      <c r="X36" s="165"/>
      <c r="Y36" s="165"/>
      <c r="Z36" s="207"/>
      <c r="AA36" s="165"/>
      <c r="AB36" s="165"/>
      <c r="AC36" s="165"/>
      <c r="AD36" s="165"/>
      <c r="AE36" s="207"/>
      <c r="AF36" s="165"/>
      <c r="AG36" s="165"/>
      <c r="AH36" s="165"/>
      <c r="AI36" s="165"/>
      <c r="AJ36" s="207"/>
      <c r="AK36" s="165"/>
      <c r="AL36" s="165"/>
      <c r="AM36" s="165"/>
      <c r="AN36" s="165"/>
      <c r="AO36" s="207"/>
      <c r="AP36" s="165"/>
      <c r="AQ36" s="187"/>
      <c r="AR36" s="165"/>
      <c r="AS36" s="165"/>
      <c r="AT36" s="165"/>
      <c r="AU36" s="165"/>
      <c r="AV36" s="187"/>
      <c r="AW36" s="165"/>
      <c r="AX36" s="165"/>
      <c r="AY36" s="165"/>
      <c r="AZ36" s="165"/>
      <c r="BA36" s="187"/>
      <c r="BB36" s="165"/>
      <c r="BC36" s="165"/>
      <c r="BD36" s="165"/>
      <c r="BE36" s="165"/>
      <c r="BF36" s="187"/>
      <c r="BG36" s="165"/>
    </row>
    <row r="37" ht="10.5" customHeight="1">
      <c r="A37" s="181" t="s">
        <v>160</v>
      </c>
      <c r="B37" s="184">
        <v>5.571</v>
      </c>
      <c r="C37" s="184">
        <v>17.129</v>
      </c>
      <c r="D37" s="184">
        <v>16.434</v>
      </c>
      <c r="E37" s="184">
        <v>16.913</v>
      </c>
      <c r="F37" s="185">
        <f>SUM(B37:E37)</f>
        <v>56.047</v>
      </c>
      <c r="G37" s="184">
        <f>'Income Statement'!G126</f>
        <v>4.798</v>
      </c>
      <c r="H37" s="184">
        <f>'Income Statement'!H126</f>
        <v>18.575</v>
      </c>
      <c r="I37" s="184">
        <f>'Income Statement'!I126</f>
        <v>18.487</v>
      </c>
      <c r="J37" s="184">
        <f>'Income Statement'!J126</f>
        <v>29.918</v>
      </c>
      <c r="K37" s="185">
        <f>SUM(G37:J37)</f>
        <v>71.778</v>
      </c>
      <c r="L37" s="184">
        <v>7.442</v>
      </c>
      <c r="M37" s="184">
        <f>'Income Statement'!M126</f>
        <v>26.435</v>
      </c>
      <c r="N37" s="184">
        <f>'Income Statement'!N126</f>
        <v>23.724</v>
      </c>
      <c r="O37" s="186">
        <f>O40*'Income Statement'!O$47</f>
        <v>33.69772078</v>
      </c>
      <c r="P37" s="185">
        <f>SUM(L37:O37)</f>
        <v>91.29872078</v>
      </c>
      <c r="Q37" s="186">
        <f>Q40*'Income Statement'!Q$47</f>
        <v>7.707228949</v>
      </c>
      <c r="R37" s="186">
        <f>R40*'Income Statement'!R$47</f>
        <v>30.22005565</v>
      </c>
      <c r="S37" s="186">
        <f>S40*'Income Statement'!S$47</f>
        <v>25.23718334</v>
      </c>
      <c r="T37" s="186">
        <f>T40*'Income Statement'!T$47</f>
        <v>37.73570466</v>
      </c>
      <c r="U37" s="185">
        <f>SUM(Q37:T37)</f>
        <v>100.9001726</v>
      </c>
      <c r="V37" s="186">
        <f>V40*'Income Statement'!V$47</f>
        <v>8.823838169</v>
      </c>
      <c r="W37" s="186">
        <f>W40*'Income Statement'!W$47</f>
        <v>34.02902005</v>
      </c>
      <c r="X37" s="186">
        <f>X40*'Income Statement'!X$47</f>
        <v>28.35276762</v>
      </c>
      <c r="Y37" s="186">
        <f>Y40*'Income Statement'!Y$47</f>
        <v>42.31649959</v>
      </c>
      <c r="Z37" s="185">
        <f>SUM(V37:Y37)</f>
        <v>113.5221254</v>
      </c>
      <c r="AA37" s="186">
        <f>AA40*'Income Statement'!AA$47</f>
        <v>9.805902317</v>
      </c>
      <c r="AB37" s="186">
        <f>AB40*'Income Statement'!AB$47</f>
        <v>37.39707148</v>
      </c>
      <c r="AC37" s="186">
        <f>AC40*'Income Statement'!AC$47</f>
        <v>31.13661758</v>
      </c>
      <c r="AD37" s="186">
        <f>AD40*'Income Statement'!AD$47</f>
        <v>46.2516325</v>
      </c>
      <c r="AE37" s="185">
        <f>SUM(AA37:AD37)</f>
        <v>124.5912239</v>
      </c>
      <c r="AF37" s="186">
        <f>AF40*'Income Statement'!AF$47</f>
        <v>11.26185931</v>
      </c>
      <c r="AG37" s="186">
        <f>AG40*'Income Statement'!AG$47</f>
        <v>40.63426831</v>
      </c>
      <c r="AH37" s="186">
        <f>AH40*'Income Statement'!AH$47</f>
        <v>32.86216072</v>
      </c>
      <c r="AI37" s="186">
        <f>AI40*'Income Statement'!AI$47</f>
        <v>49.06099923</v>
      </c>
      <c r="AJ37" s="185">
        <f>SUM(AF37:AI37)</f>
        <v>133.8192876</v>
      </c>
      <c r="AK37" s="186">
        <f>AK40*'Income Statement'!AK$47</f>
        <v>12.18008676</v>
      </c>
      <c r="AL37" s="186">
        <f>AL40*'Income Statement'!AL$47</f>
        <v>43.60044488</v>
      </c>
      <c r="AM37" s="186">
        <f>AM40*'Income Statement'!AM$47</f>
        <v>35.24452283</v>
      </c>
      <c r="AN37" s="186">
        <f>AN40*'Income Statement'!AN$47</f>
        <v>52.43892173</v>
      </c>
      <c r="AO37" s="185">
        <f>SUM(AK37:AN37)</f>
        <v>143.4639762</v>
      </c>
      <c r="AP37" s="165"/>
      <c r="AQ37" s="187"/>
      <c r="AR37" s="165"/>
      <c r="AS37" s="165"/>
      <c r="AT37" s="165"/>
      <c r="AU37" s="165"/>
      <c r="AV37" s="187"/>
      <c r="AW37" s="165"/>
      <c r="AX37" s="165"/>
      <c r="AY37" s="165"/>
      <c r="AZ37" s="165"/>
      <c r="BA37" s="187"/>
      <c r="BB37" s="165"/>
      <c r="BC37" s="165"/>
      <c r="BD37" s="165"/>
      <c r="BE37" s="165"/>
      <c r="BF37" s="187"/>
      <c r="BG37" s="165"/>
    </row>
    <row r="38" ht="10.5" customHeight="1">
      <c r="A38" s="183" t="s">
        <v>212</v>
      </c>
      <c r="B38" s="220" t="str">
        <f t="shared" ref="B38:F38" si="44">IFERROR(B37/#REF!-1,"na")</f>
        <v>na</v>
      </c>
      <c r="C38" s="220" t="str">
        <f t="shared" si="44"/>
        <v>na</v>
      </c>
      <c r="D38" s="220" t="str">
        <f t="shared" si="44"/>
        <v>na</v>
      </c>
      <c r="E38" s="220" t="str">
        <f t="shared" si="44"/>
        <v>na</v>
      </c>
      <c r="F38" s="221" t="str">
        <f t="shared" si="44"/>
        <v>na</v>
      </c>
      <c r="G38" s="220">
        <f t="shared" ref="G38:AO38" si="45">IFERROR(G37/B37-1,"na")</f>
        <v>-0.1387542631</v>
      </c>
      <c r="H38" s="220">
        <f t="shared" si="45"/>
        <v>0.08441823808</v>
      </c>
      <c r="I38" s="220">
        <f t="shared" si="45"/>
        <v>0.1249239382</v>
      </c>
      <c r="J38" s="220">
        <f t="shared" si="45"/>
        <v>0.7689351387</v>
      </c>
      <c r="K38" s="221">
        <f t="shared" si="45"/>
        <v>0.2806751476</v>
      </c>
      <c r="L38" s="220">
        <f t="shared" si="45"/>
        <v>0.5510629429</v>
      </c>
      <c r="M38" s="220">
        <f t="shared" si="45"/>
        <v>0.4231493943</v>
      </c>
      <c r="N38" s="220">
        <f t="shared" si="45"/>
        <v>0.2832801428</v>
      </c>
      <c r="O38" s="220">
        <f t="shared" si="45"/>
        <v>0.1263360111</v>
      </c>
      <c r="P38" s="221">
        <f t="shared" si="45"/>
        <v>0.2719596642</v>
      </c>
      <c r="Q38" s="220">
        <f t="shared" si="45"/>
        <v>0.03563947177</v>
      </c>
      <c r="R38" s="220">
        <f t="shared" si="45"/>
        <v>0.1431834933</v>
      </c>
      <c r="S38" s="220">
        <f t="shared" si="45"/>
        <v>0.06378280817</v>
      </c>
      <c r="T38" s="220">
        <f t="shared" si="45"/>
        <v>0.1198295844</v>
      </c>
      <c r="U38" s="221">
        <f t="shared" si="45"/>
        <v>0.1051652392</v>
      </c>
      <c r="V38" s="220">
        <f t="shared" si="45"/>
        <v>0.1448781693</v>
      </c>
      <c r="W38" s="220">
        <f t="shared" si="45"/>
        <v>0.1260409461</v>
      </c>
      <c r="X38" s="220">
        <f t="shared" si="45"/>
        <v>0.1234521396</v>
      </c>
      <c r="Y38" s="220">
        <f t="shared" si="45"/>
        <v>0.1213915302</v>
      </c>
      <c r="Z38" s="221">
        <f t="shared" si="45"/>
        <v>0.1250934713</v>
      </c>
      <c r="AA38" s="220">
        <f t="shared" si="45"/>
        <v>0.1112967088</v>
      </c>
      <c r="AB38" s="220">
        <f t="shared" si="45"/>
        <v>0.09897585735</v>
      </c>
      <c r="AC38" s="220">
        <f t="shared" si="45"/>
        <v>0.09818618039</v>
      </c>
      <c r="AD38" s="220">
        <f t="shared" si="45"/>
        <v>0.09299287402</v>
      </c>
      <c r="AE38" s="221">
        <f t="shared" si="45"/>
        <v>0.09750608889</v>
      </c>
      <c r="AF38" s="220">
        <f t="shared" si="45"/>
        <v>0.1484776152</v>
      </c>
      <c r="AG38" s="220">
        <f t="shared" si="45"/>
        <v>0.08656284297</v>
      </c>
      <c r="AH38" s="220">
        <f t="shared" si="45"/>
        <v>0.05541845187</v>
      </c>
      <c r="AI38" s="220">
        <f t="shared" si="45"/>
        <v>0.06074092022</v>
      </c>
      <c r="AJ38" s="221">
        <f t="shared" si="45"/>
        <v>0.0740667231</v>
      </c>
      <c r="AK38" s="220">
        <f t="shared" si="45"/>
        <v>0.08153426816</v>
      </c>
      <c r="AL38" s="220">
        <f t="shared" si="45"/>
        <v>0.07299692329</v>
      </c>
      <c r="AM38" s="220">
        <f t="shared" si="45"/>
        <v>0.0724956015</v>
      </c>
      <c r="AN38" s="220">
        <f t="shared" si="45"/>
        <v>0.06885148208</v>
      </c>
      <c r="AO38" s="221">
        <f t="shared" si="45"/>
        <v>0.07207248533</v>
      </c>
      <c r="AP38" s="165"/>
      <c r="AQ38" s="187"/>
      <c r="AR38" s="165"/>
      <c r="AS38" s="165"/>
      <c r="AT38" s="165"/>
      <c r="AU38" s="165"/>
      <c r="AV38" s="187"/>
      <c r="AW38" s="165"/>
      <c r="AX38" s="165"/>
      <c r="AY38" s="165"/>
      <c r="AZ38" s="165"/>
      <c r="BA38" s="187"/>
      <c r="BB38" s="165"/>
      <c r="BC38" s="165"/>
      <c r="BD38" s="165"/>
      <c r="BE38" s="165"/>
      <c r="BF38" s="187"/>
      <c r="BG38" s="165"/>
    </row>
    <row r="39" ht="10.5" customHeight="1">
      <c r="A39" s="183" t="s">
        <v>245</v>
      </c>
      <c r="B39" s="220">
        <f t="shared" ref="B39:L39" si="46">B37/B$18</f>
        <v>0.2354507417</v>
      </c>
      <c r="C39" s="220">
        <f t="shared" si="46"/>
        <v>0.2319054453</v>
      </c>
      <c r="D39" s="220">
        <f t="shared" si="46"/>
        <v>0.2484691795</v>
      </c>
      <c r="E39" s="220">
        <f t="shared" si="46"/>
        <v>0.2401152803</v>
      </c>
      <c r="F39" s="261">
        <f t="shared" si="46"/>
        <v>0.2394137573</v>
      </c>
      <c r="G39" s="220">
        <f t="shared" si="46"/>
        <v>0.2219344095</v>
      </c>
      <c r="H39" s="220">
        <f t="shared" si="46"/>
        <v>0.2744330354</v>
      </c>
      <c r="I39" s="220">
        <f t="shared" si="46"/>
        <v>0.2996320848</v>
      </c>
      <c r="J39" s="220">
        <f t="shared" si="46"/>
        <v>0.2846161896</v>
      </c>
      <c r="K39" s="261">
        <f t="shared" si="46"/>
        <v>0.2802514446</v>
      </c>
      <c r="L39" s="220">
        <f t="shared" si="46"/>
        <v>0.2675727178</v>
      </c>
      <c r="M39" s="220">
        <f t="shared" ref="M39:N39" si="47">M37/M$10</f>
        <v>0.2209212923</v>
      </c>
      <c r="N39" s="220">
        <f t="shared" si="47"/>
        <v>0.2087002419</v>
      </c>
      <c r="O39" s="220">
        <f t="shared" ref="O39:AO39" si="48">O37/O$18</f>
        <v>0.3205734637</v>
      </c>
      <c r="P39" s="261">
        <f t="shared" si="48"/>
        <v>0.3105409229</v>
      </c>
      <c r="Q39" s="220">
        <f t="shared" si="48"/>
        <v>0.2542283194</v>
      </c>
      <c r="R39" s="220">
        <f t="shared" si="48"/>
        <v>0.3371536834</v>
      </c>
      <c r="S39" s="220">
        <f t="shared" si="48"/>
        <v>0.2936867107</v>
      </c>
      <c r="T39" s="220">
        <f t="shared" si="48"/>
        <v>0.3323959709</v>
      </c>
      <c r="U39" s="261">
        <f t="shared" si="48"/>
        <v>0.3158977068</v>
      </c>
      <c r="V39" s="220">
        <f t="shared" si="48"/>
        <v>0.2732961999</v>
      </c>
      <c r="W39" s="220">
        <f t="shared" si="48"/>
        <v>0.3564777959</v>
      </c>
      <c r="X39" s="220">
        <f t="shared" si="48"/>
        <v>0.3098055996</v>
      </c>
      <c r="Y39" s="220">
        <f t="shared" si="48"/>
        <v>0.349996269</v>
      </c>
      <c r="Z39" s="261">
        <f t="shared" si="48"/>
        <v>0.3337224859</v>
      </c>
      <c r="AA39" s="220">
        <f t="shared" si="48"/>
        <v>0.2920318918</v>
      </c>
      <c r="AB39" s="220">
        <f t="shared" si="48"/>
        <v>0.3766927802</v>
      </c>
      <c r="AC39" s="220">
        <f t="shared" si="48"/>
        <v>0.3271386808</v>
      </c>
      <c r="AD39" s="220">
        <f t="shared" si="48"/>
        <v>0.3678302192</v>
      </c>
      <c r="AE39" s="261">
        <f t="shared" si="48"/>
        <v>0.3521754426</v>
      </c>
      <c r="AF39" s="220">
        <f t="shared" si="48"/>
        <v>0.3272117957</v>
      </c>
      <c r="AG39" s="220">
        <f t="shared" si="48"/>
        <v>0.3993174421</v>
      </c>
      <c r="AH39" s="220">
        <f t="shared" si="48"/>
        <v>0.3368470244</v>
      </c>
      <c r="AI39" s="220">
        <f t="shared" si="48"/>
        <v>0.3806561611</v>
      </c>
      <c r="AJ39" s="261">
        <f t="shared" si="48"/>
        <v>0.3690340718</v>
      </c>
      <c r="AK39" s="220">
        <f t="shared" si="48"/>
        <v>0.3452592878</v>
      </c>
      <c r="AL39" s="220">
        <f t="shared" si="48"/>
        <v>0.4180159871</v>
      </c>
      <c r="AM39" s="220">
        <f t="shared" si="48"/>
        <v>0.352455563</v>
      </c>
      <c r="AN39" s="220">
        <f t="shared" si="48"/>
        <v>0.3969413678</v>
      </c>
      <c r="AO39" s="261">
        <f t="shared" si="48"/>
        <v>0.3859817312</v>
      </c>
      <c r="AP39" s="165"/>
      <c r="AQ39" s="187"/>
      <c r="AR39" s="165"/>
      <c r="AS39" s="165"/>
      <c r="AT39" s="165"/>
      <c r="AU39" s="165"/>
      <c r="AV39" s="187"/>
      <c r="AW39" s="165"/>
      <c r="AX39" s="165"/>
      <c r="AY39" s="165"/>
      <c r="AZ39" s="165"/>
      <c r="BA39" s="187"/>
      <c r="BB39" s="165"/>
      <c r="BC39" s="165"/>
      <c r="BD39" s="165"/>
      <c r="BE39" s="165"/>
      <c r="BF39" s="187"/>
      <c r="BG39" s="165"/>
    </row>
    <row r="40" ht="10.5" customHeight="1">
      <c r="A40" s="183" t="s">
        <v>246</v>
      </c>
      <c r="B40" s="220">
        <f t="shared" ref="B40:N40" si="49">B37/B$47</f>
        <v>0.06329674824</v>
      </c>
      <c r="C40" s="220">
        <f t="shared" si="49"/>
        <v>0.1501674469</v>
      </c>
      <c r="D40" s="220">
        <f t="shared" si="49"/>
        <v>0.1497621521</v>
      </c>
      <c r="E40" s="220">
        <f t="shared" si="49"/>
        <v>0.1510332018</v>
      </c>
      <c r="F40" s="261">
        <f t="shared" si="49"/>
        <v>0.1322499504</v>
      </c>
      <c r="G40" s="220">
        <f t="shared" si="49"/>
        <v>0.04513173613</v>
      </c>
      <c r="H40" s="220">
        <f t="shared" si="49"/>
        <v>0.1462333593</v>
      </c>
      <c r="I40" s="220">
        <f t="shared" si="49"/>
        <v>0.1528558672</v>
      </c>
      <c r="J40" s="220">
        <f t="shared" si="49"/>
        <v>0.2349495045</v>
      </c>
      <c r="K40" s="261">
        <f t="shared" si="49"/>
        <v>0.1471735253</v>
      </c>
      <c r="L40" s="220">
        <f t="shared" si="49"/>
        <v>0.06362804696</v>
      </c>
      <c r="M40" s="220">
        <f t="shared" si="49"/>
        <v>0.1859720708</v>
      </c>
      <c r="N40" s="220">
        <f t="shared" si="49"/>
        <v>0.1617497665</v>
      </c>
      <c r="O40" s="258">
        <f>J40</f>
        <v>0.2349495045</v>
      </c>
      <c r="P40" s="261">
        <f>P37/P$47</f>
        <v>0.1663590135</v>
      </c>
      <c r="Q40" s="258">
        <f t="shared" ref="Q40:T40" si="50">L40-0.7/100</f>
        <v>0.05662804696</v>
      </c>
      <c r="R40" s="258">
        <f t="shared" si="50"/>
        <v>0.1789720708</v>
      </c>
      <c r="S40" s="258">
        <f t="shared" si="50"/>
        <v>0.1547497665</v>
      </c>
      <c r="T40" s="258">
        <f t="shared" si="50"/>
        <v>0.2279495045</v>
      </c>
      <c r="U40" s="261">
        <f>U37/U$47</f>
        <v>0.1592530026</v>
      </c>
      <c r="V40" s="258">
        <f t="shared" ref="V40:Y40" si="51">Q40</f>
        <v>0.05662804696</v>
      </c>
      <c r="W40" s="258">
        <f t="shared" si="51"/>
        <v>0.1789720708</v>
      </c>
      <c r="X40" s="258">
        <f t="shared" si="51"/>
        <v>0.1547497665</v>
      </c>
      <c r="Y40" s="258">
        <f t="shared" si="51"/>
        <v>0.2279495045</v>
      </c>
      <c r="Z40" s="261">
        <f>Z37/Z$47</f>
        <v>0.1588136113</v>
      </c>
      <c r="AA40" s="258">
        <f t="shared" ref="AA40:AD40" si="52">V40</f>
        <v>0.05662804696</v>
      </c>
      <c r="AB40" s="258">
        <f t="shared" si="52"/>
        <v>0.1789720708</v>
      </c>
      <c r="AC40" s="258">
        <f t="shared" si="52"/>
        <v>0.1547497665</v>
      </c>
      <c r="AD40" s="258">
        <f t="shared" si="52"/>
        <v>0.2279495045</v>
      </c>
      <c r="AE40" s="261">
        <f>AE37/AE$47</f>
        <v>0.1584671714</v>
      </c>
      <c r="AF40" s="258">
        <f t="shared" ref="AF40:AI40" si="53">AA40</f>
        <v>0.05662804696</v>
      </c>
      <c r="AG40" s="258">
        <f t="shared" si="53"/>
        <v>0.1789720708</v>
      </c>
      <c r="AH40" s="258">
        <f t="shared" si="53"/>
        <v>0.1547497665</v>
      </c>
      <c r="AI40" s="258">
        <f t="shared" si="53"/>
        <v>0.2279495045</v>
      </c>
      <c r="AJ40" s="261">
        <f>AJ37/AJ$47</f>
        <v>0.1567886709</v>
      </c>
      <c r="AK40" s="258">
        <f t="shared" ref="AK40:AN40" si="54">AF40</f>
        <v>0.05662804696</v>
      </c>
      <c r="AL40" s="258">
        <f t="shared" si="54"/>
        <v>0.1789720708</v>
      </c>
      <c r="AM40" s="258">
        <f t="shared" si="54"/>
        <v>0.1547497665</v>
      </c>
      <c r="AN40" s="258">
        <f t="shared" si="54"/>
        <v>0.2279495045</v>
      </c>
      <c r="AO40" s="261">
        <f>AO37/AO$47</f>
        <v>0.1565340814</v>
      </c>
      <c r="AP40" s="165"/>
      <c r="AQ40" s="187"/>
      <c r="AR40" s="165"/>
      <c r="AS40" s="165"/>
      <c r="AT40" s="165"/>
      <c r="AU40" s="165"/>
      <c r="AV40" s="187"/>
      <c r="AW40" s="165"/>
      <c r="AX40" s="165"/>
      <c r="AY40" s="165"/>
      <c r="AZ40" s="165"/>
      <c r="BA40" s="187"/>
      <c r="BB40" s="165"/>
      <c r="BC40" s="165"/>
      <c r="BD40" s="165"/>
      <c r="BE40" s="165"/>
      <c r="BF40" s="187"/>
      <c r="BG40" s="165"/>
    </row>
    <row r="41" ht="10.5" customHeight="1">
      <c r="A41" s="164"/>
      <c r="B41" s="210"/>
      <c r="C41" s="210"/>
      <c r="D41" s="210"/>
      <c r="E41" s="210"/>
      <c r="F41" s="207"/>
      <c r="G41" s="210"/>
      <c r="H41" s="210"/>
      <c r="I41" s="210"/>
      <c r="J41" s="165"/>
      <c r="K41" s="207"/>
      <c r="L41" s="210"/>
      <c r="M41" s="210"/>
      <c r="N41" s="210"/>
      <c r="O41" s="165"/>
      <c r="P41" s="207"/>
      <c r="Q41" s="165"/>
      <c r="R41" s="165"/>
      <c r="S41" s="165"/>
      <c r="T41" s="165"/>
      <c r="U41" s="207"/>
      <c r="V41" s="165"/>
      <c r="W41" s="165"/>
      <c r="X41" s="165"/>
      <c r="Y41" s="165"/>
      <c r="Z41" s="207"/>
      <c r="AA41" s="165"/>
      <c r="AB41" s="165"/>
      <c r="AC41" s="165"/>
      <c r="AD41" s="165"/>
      <c r="AE41" s="207"/>
      <c r="AF41" s="165"/>
      <c r="AG41" s="165"/>
      <c r="AH41" s="165"/>
      <c r="AI41" s="165"/>
      <c r="AJ41" s="207"/>
      <c r="AK41" s="165"/>
      <c r="AL41" s="165"/>
      <c r="AM41" s="165"/>
      <c r="AN41" s="165"/>
      <c r="AO41" s="207"/>
      <c r="AP41" s="165"/>
      <c r="AQ41" s="187"/>
      <c r="AR41" s="165"/>
      <c r="AS41" s="165"/>
      <c r="AT41" s="165"/>
      <c r="AU41" s="165"/>
      <c r="AV41" s="187"/>
      <c r="AW41" s="165"/>
      <c r="AX41" s="165"/>
      <c r="AY41" s="165"/>
      <c r="AZ41" s="165"/>
      <c r="BA41" s="187"/>
      <c r="BB41" s="165"/>
      <c r="BC41" s="165"/>
      <c r="BD41" s="165"/>
      <c r="BE41" s="165"/>
      <c r="BF41" s="187"/>
      <c r="BG41" s="165"/>
    </row>
    <row r="42" ht="10.5" customHeight="1">
      <c r="A42" s="181" t="s">
        <v>228</v>
      </c>
      <c r="B42" s="184">
        <v>-15.822</v>
      </c>
      <c r="C42" s="184">
        <v>-17.869</v>
      </c>
      <c r="D42" s="184">
        <v>-18.547</v>
      </c>
      <c r="E42" s="184">
        <v>-18.259</v>
      </c>
      <c r="F42" s="185">
        <f>SUM(B42:E42)</f>
        <v>-70.497</v>
      </c>
      <c r="G42" s="184">
        <f>'Income Statement'!G127</f>
        <v>-17.023</v>
      </c>
      <c r="H42" s="184">
        <f>'Income Statement'!H127</f>
        <v>-18.257</v>
      </c>
      <c r="I42" s="184">
        <f>'Income Statement'!I127</f>
        <v>-20.408</v>
      </c>
      <c r="J42" s="184">
        <f>'Income Statement'!J127</f>
        <v>-18.253</v>
      </c>
      <c r="K42" s="185">
        <f>SUM(G42:J42)</f>
        <v>-73.941</v>
      </c>
      <c r="L42" s="184">
        <v>-21.151</v>
      </c>
      <c r="M42" s="184">
        <f>'Income Statement'!M127</f>
        <v>-21.926</v>
      </c>
      <c r="N42" s="184">
        <f>'Income Statement'!N127</f>
        <v>-19.062</v>
      </c>
      <c r="O42" s="186">
        <f>O47-O27-O32-O37</f>
        <v>-27.77479276</v>
      </c>
      <c r="P42" s="185">
        <f>SUM(L42:O42)</f>
        <v>-89.91379276</v>
      </c>
      <c r="Q42" s="186">
        <f t="shared" ref="Q42:T42" si="55">Q47-Q27-Q32-Q37</f>
        <v>-21.80558891</v>
      </c>
      <c r="R42" s="186">
        <f t="shared" si="55"/>
        <v>-28.99054768</v>
      </c>
      <c r="S42" s="186">
        <f t="shared" si="55"/>
        <v>-11.20453826</v>
      </c>
      <c r="T42" s="186">
        <f t="shared" si="55"/>
        <v>-28.58173696</v>
      </c>
      <c r="U42" s="185">
        <f>SUM(Q42:T42)</f>
        <v>-90.58241181</v>
      </c>
      <c r="V42" s="186">
        <f t="shared" ref="V42:Y42" si="56">V47-V27-V32-V37</f>
        <v>-24.96474271</v>
      </c>
      <c r="W42" s="186">
        <f t="shared" si="56"/>
        <v>-32.64454374</v>
      </c>
      <c r="X42" s="186">
        <f t="shared" si="56"/>
        <v>-12.58776249</v>
      </c>
      <c r="Y42" s="186">
        <f t="shared" si="56"/>
        <v>-32.05131774</v>
      </c>
      <c r="Z42" s="185">
        <f>SUM(V42:Y42)</f>
        <v>-102.2483667</v>
      </c>
      <c r="AA42" s="186">
        <f t="shared" ref="AA42:AD42" si="57">AA47-AA27-AA32-AA37</f>
        <v>-27.74323641</v>
      </c>
      <c r="AB42" s="186">
        <f t="shared" si="57"/>
        <v>-35.87556544</v>
      </c>
      <c r="AC42" s="186">
        <f t="shared" si="57"/>
        <v>-13.8237068</v>
      </c>
      <c r="AD42" s="186">
        <f t="shared" si="57"/>
        <v>-35.0318619</v>
      </c>
      <c r="AE42" s="185">
        <f>SUM(AA42:AD42)</f>
        <v>-112.4743706</v>
      </c>
      <c r="AF42" s="186">
        <f t="shared" ref="AF42:AI42" si="58">AF47-AF27-AF32-AF37</f>
        <v>-31.86248599</v>
      </c>
      <c r="AG42" s="186">
        <f t="shared" si="58"/>
        <v>-38.98105638</v>
      </c>
      <c r="AH42" s="186">
        <f t="shared" si="58"/>
        <v>-14.58979523</v>
      </c>
      <c r="AI42" s="186">
        <f t="shared" si="58"/>
        <v>-37.15972943</v>
      </c>
      <c r="AJ42" s="185">
        <f>SUM(AF42:AI42)</f>
        <v>-122.593067</v>
      </c>
      <c r="AK42" s="186">
        <f t="shared" ref="AK42:AN42" si="59">AK47-AK27-AK32-AK37</f>
        <v>-34.46037047</v>
      </c>
      <c r="AL42" s="186">
        <f t="shared" si="59"/>
        <v>-41.82655356</v>
      </c>
      <c r="AM42" s="186">
        <f t="shared" si="59"/>
        <v>-15.64749122</v>
      </c>
      <c r="AN42" s="186">
        <f t="shared" si="59"/>
        <v>-39.71823187</v>
      </c>
      <c r="AO42" s="185">
        <f>SUM(AK42:AN42)</f>
        <v>-131.6526471</v>
      </c>
      <c r="AP42" s="165"/>
      <c r="AQ42" s="187"/>
      <c r="AR42" s="165"/>
      <c r="AS42" s="165"/>
      <c r="AT42" s="165"/>
      <c r="AU42" s="165"/>
      <c r="AV42" s="187"/>
      <c r="AW42" s="165"/>
      <c r="AX42" s="165"/>
      <c r="AY42" s="165"/>
      <c r="AZ42" s="165"/>
      <c r="BA42" s="187"/>
      <c r="BB42" s="165"/>
      <c r="BC42" s="165"/>
      <c r="BD42" s="165"/>
      <c r="BE42" s="165"/>
      <c r="BF42" s="187"/>
      <c r="BG42" s="165"/>
    </row>
    <row r="43" ht="10.5" customHeight="1">
      <c r="A43" s="183" t="s">
        <v>212</v>
      </c>
      <c r="B43" s="220" t="str">
        <f t="shared" ref="B43:F43" si="60">IFERROR(B42/#REF!-1,"na")</f>
        <v>na</v>
      </c>
      <c r="C43" s="220" t="str">
        <f t="shared" si="60"/>
        <v>na</v>
      </c>
      <c r="D43" s="220" t="str">
        <f t="shared" si="60"/>
        <v>na</v>
      </c>
      <c r="E43" s="220" t="str">
        <f t="shared" si="60"/>
        <v>na</v>
      </c>
      <c r="F43" s="221" t="str">
        <f t="shared" si="60"/>
        <v>na</v>
      </c>
      <c r="G43" s="220">
        <f t="shared" ref="G43:AO43" si="61">IFERROR(G42/B42-1,"na")</f>
        <v>0.07590696499</v>
      </c>
      <c r="H43" s="220">
        <f t="shared" si="61"/>
        <v>0.02171358218</v>
      </c>
      <c r="I43" s="220">
        <f t="shared" si="61"/>
        <v>0.1003396776</v>
      </c>
      <c r="J43" s="220">
        <f t="shared" si="61"/>
        <v>-0.0003286050715</v>
      </c>
      <c r="K43" s="221">
        <f t="shared" si="61"/>
        <v>0.04885314269</v>
      </c>
      <c r="L43" s="220">
        <f t="shared" si="61"/>
        <v>0.2424954473</v>
      </c>
      <c r="M43" s="220">
        <f t="shared" si="61"/>
        <v>0.2009640138</v>
      </c>
      <c r="N43" s="220">
        <f t="shared" si="61"/>
        <v>-0.06595452764</v>
      </c>
      <c r="O43" s="220">
        <f t="shared" si="61"/>
        <v>0.5216563173</v>
      </c>
      <c r="P43" s="221">
        <f t="shared" si="61"/>
        <v>0.2160207836</v>
      </c>
      <c r="Q43" s="220">
        <f t="shared" si="61"/>
        <v>0.0309483669</v>
      </c>
      <c r="R43" s="220">
        <f t="shared" si="61"/>
        <v>0.3221995658</v>
      </c>
      <c r="S43" s="220">
        <f t="shared" si="61"/>
        <v>-0.412205526</v>
      </c>
      <c r="T43" s="220">
        <f t="shared" si="61"/>
        <v>0.02905311326</v>
      </c>
      <c r="U43" s="221">
        <f t="shared" si="61"/>
        <v>0.007436223426</v>
      </c>
      <c r="V43" s="220">
        <f t="shared" si="61"/>
        <v>0.1448781693</v>
      </c>
      <c r="W43" s="220">
        <f t="shared" si="61"/>
        <v>0.1260409461</v>
      </c>
      <c r="X43" s="220">
        <f t="shared" si="61"/>
        <v>0.1234521396</v>
      </c>
      <c r="Y43" s="220">
        <f t="shared" si="61"/>
        <v>0.1213915302</v>
      </c>
      <c r="Z43" s="221">
        <f t="shared" si="61"/>
        <v>0.1287883004</v>
      </c>
      <c r="AA43" s="220">
        <f t="shared" si="61"/>
        <v>0.1112967088</v>
      </c>
      <c r="AB43" s="220">
        <f t="shared" si="61"/>
        <v>0.09897585735</v>
      </c>
      <c r="AC43" s="220">
        <f t="shared" si="61"/>
        <v>0.09818618039</v>
      </c>
      <c r="AD43" s="220">
        <f t="shared" si="61"/>
        <v>0.09299287402</v>
      </c>
      <c r="AE43" s="221">
        <f t="shared" si="61"/>
        <v>0.1000114154</v>
      </c>
      <c r="AF43" s="220">
        <f t="shared" si="61"/>
        <v>0.1484776152</v>
      </c>
      <c r="AG43" s="220">
        <f t="shared" si="61"/>
        <v>0.08656284297</v>
      </c>
      <c r="AH43" s="220">
        <f t="shared" si="61"/>
        <v>0.05541845187</v>
      </c>
      <c r="AI43" s="220">
        <f t="shared" si="61"/>
        <v>0.06074092022</v>
      </c>
      <c r="AJ43" s="221">
        <f t="shared" si="61"/>
        <v>0.08996446414</v>
      </c>
      <c r="AK43" s="220">
        <f t="shared" si="61"/>
        <v>0.08153426816</v>
      </c>
      <c r="AL43" s="220">
        <f t="shared" si="61"/>
        <v>0.07299692329</v>
      </c>
      <c r="AM43" s="220">
        <f t="shared" si="61"/>
        <v>0.0724956015</v>
      </c>
      <c r="AN43" s="220">
        <f t="shared" si="61"/>
        <v>0.06885148208</v>
      </c>
      <c r="AO43" s="221">
        <f t="shared" si="61"/>
        <v>0.07389961198</v>
      </c>
      <c r="AP43" s="165"/>
      <c r="AQ43" s="187"/>
      <c r="AR43" s="165"/>
      <c r="AS43" s="165"/>
      <c r="AT43" s="165"/>
      <c r="AU43" s="165"/>
      <c r="AV43" s="187"/>
      <c r="AW43" s="165"/>
      <c r="AX43" s="165"/>
      <c r="AY43" s="165"/>
      <c r="AZ43" s="165"/>
      <c r="BA43" s="187"/>
      <c r="BB43" s="165"/>
      <c r="BC43" s="165"/>
      <c r="BD43" s="165"/>
      <c r="BE43" s="165"/>
      <c r="BF43" s="187"/>
      <c r="BG43" s="165"/>
    </row>
    <row r="44" ht="10.5" customHeight="1">
      <c r="A44" s="183" t="s">
        <v>245</v>
      </c>
      <c r="B44" s="220">
        <f t="shared" ref="B44:AO44" si="62">B42/B$22</f>
        <v>-0.07119811002</v>
      </c>
      <c r="C44" s="220">
        <f t="shared" si="62"/>
        <v>-0.06237803835</v>
      </c>
      <c r="D44" s="220">
        <f t="shared" si="62"/>
        <v>-0.06682375491</v>
      </c>
      <c r="E44" s="220">
        <f t="shared" si="62"/>
        <v>-0.06404711544</v>
      </c>
      <c r="F44" s="255">
        <f t="shared" si="62"/>
        <v>-0.06580349959</v>
      </c>
      <c r="G44" s="220">
        <f t="shared" si="62"/>
        <v>-0.06863642412</v>
      </c>
      <c r="H44" s="220">
        <f t="shared" si="62"/>
        <v>-0.06066637647</v>
      </c>
      <c r="I44" s="220">
        <f t="shared" si="62"/>
        <v>-0.06983158024</v>
      </c>
      <c r="J44" s="220">
        <f t="shared" si="62"/>
        <v>-0.05361433397</v>
      </c>
      <c r="K44" s="255">
        <f t="shared" si="62"/>
        <v>-0.06257415453</v>
      </c>
      <c r="L44" s="220">
        <f t="shared" si="62"/>
        <v>-0.07645068712</v>
      </c>
      <c r="M44" s="220">
        <f t="shared" si="62"/>
        <v>-0.06432194415</v>
      </c>
      <c r="N44" s="220">
        <f t="shared" si="62"/>
        <v>-0.05770331018</v>
      </c>
      <c r="O44" s="220">
        <f t="shared" si="62"/>
        <v>-0.07691089508</v>
      </c>
      <c r="P44" s="255">
        <f t="shared" si="62"/>
        <v>-0.06868810419</v>
      </c>
      <c r="Q44" s="220">
        <f t="shared" si="62"/>
        <v>-0.06865048896</v>
      </c>
      <c r="R44" s="220">
        <f t="shared" si="62"/>
        <v>-0.07479396483</v>
      </c>
      <c r="S44" s="220">
        <f t="shared" si="62"/>
        <v>-0.02979195269</v>
      </c>
      <c r="T44" s="220">
        <f t="shared" si="62"/>
        <v>-0.06961320187</v>
      </c>
      <c r="U44" s="255">
        <f t="shared" si="62"/>
        <v>-0.06071575781</v>
      </c>
      <c r="V44" s="220">
        <f t="shared" si="62"/>
        <v>-0.07071473912</v>
      </c>
      <c r="W44" s="220">
        <f t="shared" si="62"/>
        <v>-0.07603524402</v>
      </c>
      <c r="X44" s="220">
        <f t="shared" si="62"/>
        <v>-0.03027423318</v>
      </c>
      <c r="Y44" s="220">
        <f t="shared" si="62"/>
        <v>-0.07075704624</v>
      </c>
      <c r="Z44" s="255">
        <f t="shared" si="62"/>
        <v>-0.06192602653</v>
      </c>
      <c r="AA44" s="220">
        <f t="shared" si="62"/>
        <v>-0.07130032107</v>
      </c>
      <c r="AB44" s="220">
        <f t="shared" si="62"/>
        <v>-0.07647470428</v>
      </c>
      <c r="AC44" s="220">
        <f t="shared" si="62"/>
        <v>-0.03044206016</v>
      </c>
      <c r="AD44" s="220">
        <f t="shared" si="62"/>
        <v>-0.07108598939</v>
      </c>
      <c r="AE44" s="255">
        <f t="shared" si="62"/>
        <v>-0.06230820769</v>
      </c>
      <c r="AF44" s="220">
        <f t="shared" si="62"/>
        <v>-0.07496048531</v>
      </c>
      <c r="AG44" s="220">
        <f t="shared" si="62"/>
        <v>-0.07681832675</v>
      </c>
      <c r="AH44" s="220">
        <f t="shared" si="62"/>
        <v>-0.02975850415</v>
      </c>
      <c r="AI44" s="220">
        <f t="shared" si="62"/>
        <v>-0.07024339598</v>
      </c>
      <c r="AJ44" s="255">
        <f t="shared" si="62"/>
        <v>-0.06281062026</v>
      </c>
      <c r="AK44" s="220">
        <f t="shared" si="62"/>
        <v>-0.07524261752</v>
      </c>
      <c r="AL44" s="220">
        <f t="shared" si="62"/>
        <v>-0.07701036377</v>
      </c>
      <c r="AM44" s="220">
        <f t="shared" si="62"/>
        <v>-0.02983104845</v>
      </c>
      <c r="AN44" s="220">
        <f t="shared" si="62"/>
        <v>-0.07037615992</v>
      </c>
      <c r="AO44" s="255">
        <f t="shared" si="62"/>
        <v>-0.06299089612</v>
      </c>
      <c r="AP44" s="165"/>
      <c r="AQ44" s="187"/>
      <c r="AR44" s="165"/>
      <c r="AS44" s="165"/>
      <c r="AT44" s="165"/>
      <c r="AU44" s="165"/>
      <c r="AV44" s="187"/>
      <c r="AW44" s="165"/>
      <c r="AX44" s="165"/>
      <c r="AY44" s="165"/>
      <c r="AZ44" s="165"/>
      <c r="BA44" s="187"/>
      <c r="BB44" s="165"/>
      <c r="BC44" s="165"/>
      <c r="BD44" s="165"/>
      <c r="BE44" s="165"/>
      <c r="BF44" s="187"/>
      <c r="BG44" s="165"/>
    </row>
    <row r="45" ht="10.5" customHeight="1">
      <c r="A45" s="183" t="s">
        <v>246</v>
      </c>
      <c r="B45" s="220">
        <f t="shared" ref="B45:AO45" si="63">B42/B$47</f>
        <v>-0.1797668553</v>
      </c>
      <c r="C45" s="220">
        <f t="shared" si="63"/>
        <v>-0.1566549191</v>
      </c>
      <c r="D45" s="220">
        <f t="shared" si="63"/>
        <v>-0.1690178067</v>
      </c>
      <c r="E45" s="220">
        <f t="shared" si="63"/>
        <v>-0.1630529907</v>
      </c>
      <c r="F45" s="255">
        <f t="shared" si="63"/>
        <v>-0.1663465441</v>
      </c>
      <c r="G45" s="220">
        <f t="shared" si="63"/>
        <v>-0.1601245403</v>
      </c>
      <c r="H45" s="220">
        <f t="shared" si="63"/>
        <v>-0.1437298757</v>
      </c>
      <c r="I45" s="220">
        <f t="shared" si="63"/>
        <v>-0.1687392512</v>
      </c>
      <c r="J45" s="220">
        <f t="shared" si="63"/>
        <v>-0.1433429141</v>
      </c>
      <c r="K45" s="255">
        <f t="shared" si="63"/>
        <v>-0.1516085379</v>
      </c>
      <c r="L45" s="220">
        <f t="shared" si="63"/>
        <v>-0.1808380571</v>
      </c>
      <c r="M45" s="220">
        <f t="shared" si="63"/>
        <v>-0.1542509409</v>
      </c>
      <c r="N45" s="220">
        <f t="shared" si="63"/>
        <v>-0.129964342</v>
      </c>
      <c r="O45" s="220">
        <f t="shared" si="63"/>
        <v>-0.1936532693</v>
      </c>
      <c r="P45" s="255">
        <f t="shared" si="63"/>
        <v>-0.1638354813</v>
      </c>
      <c r="Q45" s="220">
        <f t="shared" si="63"/>
        <v>-0.1602142509</v>
      </c>
      <c r="R45" s="220">
        <f t="shared" si="63"/>
        <v>-0.1716905625</v>
      </c>
      <c r="S45" s="220">
        <f t="shared" si="63"/>
        <v>-0.06870416783</v>
      </c>
      <c r="T45" s="220">
        <f t="shared" si="63"/>
        <v>-0.1726532693</v>
      </c>
      <c r="U45" s="255">
        <f t="shared" si="63"/>
        <v>-0.1429682496</v>
      </c>
      <c r="V45" s="220">
        <f t="shared" si="63"/>
        <v>-0.1602142509</v>
      </c>
      <c r="W45" s="220">
        <f t="shared" si="63"/>
        <v>-0.1716905625</v>
      </c>
      <c r="X45" s="220">
        <f t="shared" si="63"/>
        <v>-0.06870416783</v>
      </c>
      <c r="Y45" s="220">
        <f t="shared" si="63"/>
        <v>-0.1726532693</v>
      </c>
      <c r="Z45" s="255">
        <f t="shared" si="63"/>
        <v>-0.1430420044</v>
      </c>
      <c r="AA45" s="220">
        <f t="shared" si="63"/>
        <v>-0.1602142509</v>
      </c>
      <c r="AB45" s="220">
        <f t="shared" si="63"/>
        <v>-0.1716905625</v>
      </c>
      <c r="AC45" s="220">
        <f t="shared" si="63"/>
        <v>-0.06870416783</v>
      </c>
      <c r="AD45" s="220">
        <f t="shared" si="63"/>
        <v>-0.1726532693</v>
      </c>
      <c r="AE45" s="255">
        <f t="shared" si="63"/>
        <v>-0.1430557852</v>
      </c>
      <c r="AF45" s="220">
        <f t="shared" si="63"/>
        <v>-0.1602142509</v>
      </c>
      <c r="AG45" s="220">
        <f t="shared" si="63"/>
        <v>-0.1716905625</v>
      </c>
      <c r="AH45" s="220">
        <f t="shared" si="63"/>
        <v>-0.06870416783</v>
      </c>
      <c r="AI45" s="220">
        <f t="shared" si="63"/>
        <v>-0.1726532693</v>
      </c>
      <c r="AJ45" s="255">
        <f t="shared" si="63"/>
        <v>-0.1436355281</v>
      </c>
      <c r="AK45" s="220">
        <f t="shared" si="63"/>
        <v>-0.1602142509</v>
      </c>
      <c r="AL45" s="220">
        <f t="shared" si="63"/>
        <v>-0.1716905625</v>
      </c>
      <c r="AM45" s="220">
        <f t="shared" si="63"/>
        <v>-0.06870416783</v>
      </c>
      <c r="AN45" s="220">
        <f t="shared" si="63"/>
        <v>-0.1726532693</v>
      </c>
      <c r="AO45" s="255">
        <f t="shared" si="63"/>
        <v>-0.143646696</v>
      </c>
      <c r="AP45" s="165"/>
      <c r="AQ45" s="187"/>
      <c r="AR45" s="165"/>
      <c r="AS45" s="165"/>
      <c r="AT45" s="165"/>
      <c r="AU45" s="165"/>
      <c r="AV45" s="187"/>
      <c r="AW45" s="165"/>
      <c r="AX45" s="165"/>
      <c r="AY45" s="165"/>
      <c r="AZ45" s="165"/>
      <c r="BA45" s="187"/>
      <c r="BB45" s="165"/>
      <c r="BC45" s="165"/>
      <c r="BD45" s="165"/>
      <c r="BE45" s="165"/>
      <c r="BF45" s="187"/>
      <c r="BG45" s="165"/>
    </row>
    <row r="46" ht="10.5" customHeight="1">
      <c r="A46" s="202"/>
      <c r="B46" s="213"/>
      <c r="C46" s="213"/>
      <c r="D46" s="213"/>
      <c r="E46" s="213"/>
      <c r="F46" s="216"/>
      <c r="G46" s="213"/>
      <c r="H46" s="213"/>
      <c r="I46" s="213"/>
      <c r="J46" s="215"/>
      <c r="K46" s="216"/>
      <c r="L46" s="213"/>
      <c r="M46" s="213"/>
      <c r="N46" s="215"/>
      <c r="O46" s="215"/>
      <c r="P46" s="216"/>
      <c r="Q46" s="215"/>
      <c r="R46" s="215"/>
      <c r="S46" s="215"/>
      <c r="T46" s="215"/>
      <c r="U46" s="216"/>
      <c r="V46" s="215"/>
      <c r="W46" s="215"/>
      <c r="X46" s="215"/>
      <c r="Y46" s="215"/>
      <c r="Z46" s="216"/>
      <c r="AA46" s="215"/>
      <c r="AB46" s="215"/>
      <c r="AC46" s="215"/>
      <c r="AD46" s="215"/>
      <c r="AE46" s="216"/>
      <c r="AF46" s="215"/>
      <c r="AG46" s="215"/>
      <c r="AH46" s="215"/>
      <c r="AI46" s="215"/>
      <c r="AJ46" s="216"/>
      <c r="AK46" s="215"/>
      <c r="AL46" s="215"/>
      <c r="AM46" s="215"/>
      <c r="AN46" s="215"/>
      <c r="AO46" s="216"/>
      <c r="AP46" s="165"/>
      <c r="AQ46" s="187"/>
      <c r="AR46" s="165"/>
      <c r="AS46" s="165"/>
      <c r="AT46" s="165"/>
      <c r="AU46" s="165"/>
      <c r="AV46" s="187"/>
      <c r="AW46" s="165"/>
      <c r="AX46" s="165"/>
      <c r="AY46" s="165"/>
      <c r="AZ46" s="165"/>
      <c r="BA46" s="187"/>
      <c r="BB46" s="165"/>
      <c r="BC46" s="165"/>
      <c r="BD46" s="165"/>
      <c r="BE46" s="165"/>
      <c r="BF46" s="187"/>
      <c r="BG46" s="165"/>
    </row>
    <row r="47" ht="10.5" customHeight="1">
      <c r="A47" s="259" t="s">
        <v>247</v>
      </c>
      <c r="B47" s="203">
        <f t="shared" ref="B47:I47" si="64">B27+B32+B37+B42</f>
        <v>88.014</v>
      </c>
      <c r="C47" s="203">
        <f t="shared" si="64"/>
        <v>114.066</v>
      </c>
      <c r="D47" s="203">
        <f t="shared" si="64"/>
        <v>109.734</v>
      </c>
      <c r="E47" s="203">
        <f t="shared" si="64"/>
        <v>111.982</v>
      </c>
      <c r="F47" s="204">
        <f t="shared" si="64"/>
        <v>423.796</v>
      </c>
      <c r="G47" s="203">
        <f t="shared" si="64"/>
        <v>106.311</v>
      </c>
      <c r="H47" s="203">
        <f t="shared" si="64"/>
        <v>127.023</v>
      </c>
      <c r="I47" s="203">
        <f t="shared" si="64"/>
        <v>120.944</v>
      </c>
      <c r="J47" s="203">
        <f>'Income Statement'!J47</f>
        <v>127.338</v>
      </c>
      <c r="K47" s="204">
        <f>K27+K32+K37+K42</f>
        <v>487.71</v>
      </c>
      <c r="L47" s="203">
        <f>'Income Statement'!L47</f>
        <v>116.961</v>
      </c>
      <c r="M47" s="203">
        <f>'Income Statement'!M47</f>
        <v>142.145</v>
      </c>
      <c r="N47" s="203">
        <f>'Income Statement'!N47</f>
        <v>146.671</v>
      </c>
      <c r="O47" s="203">
        <f>'Income Statement'!O47</f>
        <v>143.425375</v>
      </c>
      <c r="P47" s="204">
        <f>P27+P32+P37+P42</f>
        <v>548.805375</v>
      </c>
      <c r="Q47" s="203">
        <f>'Income Statement'!Q47</f>
        <v>136.1026799</v>
      </c>
      <c r="R47" s="203">
        <f>'Income Statement'!R47</f>
        <v>168.8534726</v>
      </c>
      <c r="S47" s="203">
        <f>'Income Statement'!S47</f>
        <v>163.0838218</v>
      </c>
      <c r="T47" s="203">
        <f>'Income Statement'!T47</f>
        <v>165.5441399</v>
      </c>
      <c r="U47" s="204">
        <f>U27+U32+U37+U42</f>
        <v>633.5841142</v>
      </c>
      <c r="V47" s="203">
        <f>'Income Statement'!V47</f>
        <v>155.820987</v>
      </c>
      <c r="W47" s="203">
        <f>'Income Statement'!W47</f>
        <v>190.135924</v>
      </c>
      <c r="X47" s="203">
        <f>'Income Statement'!X47</f>
        <v>183.2168685</v>
      </c>
      <c r="Y47" s="203">
        <f>'Income Statement'!Y47</f>
        <v>185.6397964</v>
      </c>
      <c r="Z47" s="204">
        <f>Z27+Z32+Z37+Z42</f>
        <v>714.8135759</v>
      </c>
      <c r="AA47" s="203">
        <f>'Income Statement'!AA47</f>
        <v>173.16335</v>
      </c>
      <c r="AB47" s="203">
        <f>'Income Statement'!AB47</f>
        <v>208.9547901</v>
      </c>
      <c r="AC47" s="203">
        <f>'Income Statement'!AC47</f>
        <v>201.206233</v>
      </c>
      <c r="AD47" s="203">
        <f>'Income Statement'!AD47</f>
        <v>202.9029746</v>
      </c>
      <c r="AE47" s="204">
        <f>AE27+AE32+AE37+AE42</f>
        <v>786.2273478</v>
      </c>
      <c r="AF47" s="203">
        <f>'Income Statement'!AF47</f>
        <v>198.8742313</v>
      </c>
      <c r="AG47" s="203">
        <f>'Income Statement'!AG47</f>
        <v>227.0425108</v>
      </c>
      <c r="AH47" s="203">
        <f>'Income Statement'!AH47</f>
        <v>212.356771</v>
      </c>
      <c r="AI47" s="203">
        <f>'Income Statement'!AI47</f>
        <v>215.2274879</v>
      </c>
      <c r="AJ47" s="204">
        <f>AJ27+AJ32+AJ37+AJ42</f>
        <v>853.501001</v>
      </c>
      <c r="AK47" s="203">
        <f>'Income Statement'!AK47</f>
        <v>215.0892962</v>
      </c>
      <c r="AL47" s="203">
        <f>'Income Statement'!AL47</f>
        <v>243.6159155</v>
      </c>
      <c r="AM47" s="203">
        <f>'Income Statement'!AM47</f>
        <v>227.7517028</v>
      </c>
      <c r="AN47" s="203">
        <f>'Income Statement'!AN47</f>
        <v>230.0462195</v>
      </c>
      <c r="AO47" s="204">
        <f>AO27+AO32+AO37+AO42</f>
        <v>916.503134</v>
      </c>
      <c r="AP47" s="165"/>
      <c r="AQ47" s="187"/>
      <c r="AR47" s="165"/>
      <c r="AS47" s="165"/>
      <c r="AT47" s="165"/>
      <c r="AU47" s="165"/>
      <c r="AV47" s="187"/>
      <c r="AW47" s="165"/>
      <c r="AX47" s="165"/>
      <c r="AY47" s="165"/>
      <c r="AZ47" s="165"/>
      <c r="BA47" s="187"/>
      <c r="BB47" s="165"/>
      <c r="BC47" s="165"/>
      <c r="BD47" s="165"/>
      <c r="BE47" s="165"/>
      <c r="BF47" s="187"/>
      <c r="BG47" s="165"/>
    </row>
    <row r="48" ht="10.5" customHeight="1">
      <c r="A48" s="183"/>
      <c r="B48" s="210"/>
      <c r="C48" s="210"/>
      <c r="D48" s="210"/>
      <c r="E48" s="210"/>
      <c r="F48" s="207"/>
      <c r="G48" s="210"/>
      <c r="H48" s="210"/>
      <c r="I48" s="210"/>
      <c r="J48" s="165"/>
      <c r="K48" s="207"/>
      <c r="L48" s="165"/>
      <c r="M48" s="187"/>
      <c r="N48" s="165"/>
      <c r="O48" s="165"/>
      <c r="P48" s="207"/>
      <c r="Q48" s="165"/>
      <c r="R48" s="165"/>
      <c r="S48" s="165"/>
      <c r="T48" s="165"/>
      <c r="U48" s="207"/>
      <c r="V48" s="165"/>
      <c r="W48" s="165"/>
      <c r="X48" s="165"/>
      <c r="Y48" s="165"/>
      <c r="Z48" s="207"/>
      <c r="AA48" s="165"/>
      <c r="AB48" s="165"/>
      <c r="AC48" s="165"/>
      <c r="AD48" s="165"/>
      <c r="AE48" s="207"/>
      <c r="AF48" s="165"/>
      <c r="AG48" s="165"/>
      <c r="AH48" s="165"/>
      <c r="AI48" s="165"/>
      <c r="AJ48" s="207"/>
      <c r="AK48" s="165"/>
      <c r="AL48" s="165"/>
      <c r="AM48" s="165"/>
      <c r="AN48" s="165"/>
      <c r="AO48" s="207"/>
      <c r="AP48" s="165"/>
      <c r="AQ48" s="187"/>
      <c r="AR48" s="165"/>
      <c r="AS48" s="165"/>
      <c r="AT48" s="165"/>
      <c r="AU48" s="165"/>
      <c r="AV48" s="187"/>
      <c r="AW48" s="165"/>
      <c r="AX48" s="165"/>
      <c r="AY48" s="165"/>
      <c r="AZ48" s="165"/>
      <c r="BA48" s="187"/>
      <c r="BB48" s="165"/>
      <c r="BC48" s="165"/>
      <c r="BD48" s="165"/>
      <c r="BE48" s="165"/>
      <c r="BF48" s="187"/>
      <c r="BG48" s="165"/>
    </row>
    <row r="49" ht="10.5" customHeight="1">
      <c r="A49" s="183"/>
      <c r="B49" s="210"/>
      <c r="C49" s="210"/>
      <c r="D49" s="210"/>
      <c r="E49" s="210"/>
      <c r="F49" s="207"/>
      <c r="G49" s="210"/>
      <c r="H49" s="210"/>
      <c r="I49" s="210"/>
      <c r="J49" s="165"/>
      <c r="K49" s="207"/>
      <c r="L49" s="165"/>
      <c r="M49" s="187"/>
      <c r="N49" s="165"/>
      <c r="O49" s="165"/>
      <c r="P49" s="207"/>
      <c r="Q49" s="165"/>
      <c r="R49" s="165"/>
      <c r="S49" s="165"/>
      <c r="T49" s="165"/>
      <c r="U49" s="207"/>
      <c r="V49" s="165"/>
      <c r="W49" s="165"/>
      <c r="X49" s="165"/>
      <c r="Y49" s="165"/>
      <c r="Z49" s="207"/>
      <c r="AA49" s="165"/>
      <c r="AB49" s="165"/>
      <c r="AC49" s="165"/>
      <c r="AD49" s="165"/>
      <c r="AE49" s="207"/>
      <c r="AF49" s="165"/>
      <c r="AG49" s="165"/>
      <c r="AH49" s="165"/>
      <c r="AI49" s="165"/>
      <c r="AJ49" s="207"/>
      <c r="AK49" s="165"/>
      <c r="AL49" s="165"/>
      <c r="AM49" s="165"/>
      <c r="AN49" s="165"/>
      <c r="AO49" s="207"/>
      <c r="AP49" s="165"/>
      <c r="AQ49" s="187"/>
      <c r="AR49" s="165"/>
      <c r="AS49" s="165"/>
      <c r="AT49" s="165"/>
      <c r="AU49" s="165"/>
      <c r="AV49" s="187"/>
      <c r="AW49" s="165"/>
      <c r="AX49" s="165"/>
      <c r="AY49" s="165"/>
      <c r="AZ49" s="165"/>
      <c r="BA49" s="187"/>
      <c r="BB49" s="165"/>
      <c r="BC49" s="165"/>
      <c r="BD49" s="165"/>
      <c r="BE49" s="165"/>
      <c r="BF49" s="187"/>
      <c r="BG49" s="165"/>
    </row>
    <row r="50" ht="10.5" customHeight="1">
      <c r="A50" s="198" t="s">
        <v>230</v>
      </c>
      <c r="B50" s="213"/>
      <c r="C50" s="213"/>
      <c r="D50" s="213"/>
      <c r="E50" s="213"/>
      <c r="F50" s="216"/>
      <c r="G50" s="213"/>
      <c r="H50" s="213"/>
      <c r="I50" s="213"/>
      <c r="J50" s="215"/>
      <c r="K50" s="216"/>
      <c r="L50" s="215"/>
      <c r="M50" s="252"/>
      <c r="N50" s="215"/>
      <c r="O50" s="215"/>
      <c r="P50" s="216"/>
      <c r="Q50" s="215"/>
      <c r="R50" s="215"/>
      <c r="S50" s="215"/>
      <c r="T50" s="215"/>
      <c r="U50" s="216"/>
      <c r="V50" s="215"/>
      <c r="W50" s="215"/>
      <c r="X50" s="215"/>
      <c r="Y50" s="215"/>
      <c r="Z50" s="216"/>
      <c r="AA50" s="215"/>
      <c r="AB50" s="215"/>
      <c r="AC50" s="215"/>
      <c r="AD50" s="215"/>
      <c r="AE50" s="216"/>
      <c r="AF50" s="215"/>
      <c r="AG50" s="215"/>
      <c r="AH50" s="215"/>
      <c r="AI50" s="215"/>
      <c r="AJ50" s="216"/>
      <c r="AK50" s="215"/>
      <c r="AL50" s="215"/>
      <c r="AM50" s="215"/>
      <c r="AN50" s="215"/>
      <c r="AO50" s="216"/>
      <c r="AP50" s="165"/>
      <c r="AQ50" s="187"/>
      <c r="AR50" s="165"/>
      <c r="AS50" s="165"/>
      <c r="AT50" s="165"/>
      <c r="AU50" s="165"/>
      <c r="AV50" s="187"/>
      <c r="AW50" s="165"/>
      <c r="AX50" s="165"/>
      <c r="AY50" s="165"/>
      <c r="AZ50" s="165"/>
      <c r="BA50" s="187"/>
      <c r="BB50" s="165"/>
      <c r="BC50" s="165"/>
      <c r="BD50" s="165"/>
      <c r="BE50" s="165"/>
      <c r="BF50" s="187"/>
      <c r="BG50" s="165"/>
    </row>
    <row r="51" ht="10.5" customHeight="1">
      <c r="A51" s="181" t="s">
        <v>231</v>
      </c>
      <c r="B51" s="210"/>
      <c r="C51" s="210"/>
      <c r="D51" s="210"/>
      <c r="E51" s="210"/>
      <c r="F51" s="207"/>
      <c r="G51" s="210"/>
      <c r="H51" s="210"/>
      <c r="I51" s="210"/>
      <c r="J51" s="165"/>
      <c r="K51" s="207"/>
      <c r="L51" s="165"/>
      <c r="M51" s="187"/>
      <c r="N51" s="165"/>
      <c r="O51" s="165"/>
      <c r="P51" s="207"/>
      <c r="Q51" s="165"/>
      <c r="R51" s="165"/>
      <c r="S51" s="165"/>
      <c r="T51" s="165"/>
      <c r="U51" s="207"/>
      <c r="V51" s="165"/>
      <c r="W51" s="165"/>
      <c r="X51" s="165"/>
      <c r="Y51" s="165"/>
      <c r="Z51" s="207"/>
      <c r="AA51" s="165"/>
      <c r="AB51" s="165"/>
      <c r="AC51" s="165"/>
      <c r="AD51" s="165"/>
      <c r="AE51" s="207"/>
      <c r="AF51" s="165"/>
      <c r="AG51" s="165"/>
      <c r="AH51" s="165"/>
      <c r="AI51" s="165"/>
      <c r="AJ51" s="207"/>
      <c r="AK51" s="165"/>
      <c r="AL51" s="165"/>
      <c r="AM51" s="165"/>
      <c r="AN51" s="165"/>
      <c r="AO51" s="207"/>
      <c r="AP51" s="165"/>
      <c r="AQ51" s="187"/>
      <c r="AR51" s="165"/>
      <c r="AS51" s="165"/>
      <c r="AT51" s="165"/>
      <c r="AU51" s="165"/>
      <c r="AV51" s="187"/>
      <c r="AW51" s="165"/>
      <c r="AX51" s="165"/>
      <c r="AY51" s="165"/>
      <c r="AZ51" s="165"/>
      <c r="BA51" s="187"/>
      <c r="BB51" s="165"/>
      <c r="BC51" s="165"/>
      <c r="BD51" s="165"/>
      <c r="BE51" s="165"/>
      <c r="BF51" s="187"/>
      <c r="BG51" s="165"/>
    </row>
    <row r="52" ht="10.5" customHeight="1">
      <c r="A52" s="181" t="s">
        <v>232</v>
      </c>
      <c r="B52" s="193">
        <f>'Income Statement'!B132</f>
        <v>2176</v>
      </c>
      <c r="C52" s="193">
        <f>'Income Statement'!C132</f>
        <v>2211</v>
      </c>
      <c r="D52" s="193">
        <f>'Income Statement'!D132</f>
        <v>2230</v>
      </c>
      <c r="E52" s="193">
        <f>'Income Statement'!E132</f>
        <v>2254</v>
      </c>
      <c r="F52" s="194">
        <f>'Income Statement'!F132</f>
        <v>2176</v>
      </c>
      <c r="G52" s="193">
        <f>'Income Statement'!G132</f>
        <v>2319</v>
      </c>
      <c r="H52" s="193">
        <f>'Income Statement'!H132</f>
        <v>2341</v>
      </c>
      <c r="I52" s="193">
        <f>'Income Statement'!I132</f>
        <v>2358</v>
      </c>
      <c r="J52" s="193">
        <f>'Income Statement'!J132</f>
        <v>2369</v>
      </c>
      <c r="K52" s="194">
        <f>F58</f>
        <v>2319</v>
      </c>
      <c r="L52" s="193">
        <f>'Income Statement'!L132</f>
        <v>2445</v>
      </c>
      <c r="M52" s="193">
        <f>'Income Statement'!M132</f>
        <v>2461</v>
      </c>
      <c r="N52" s="193">
        <f>'Income Statement'!N132</f>
        <v>2479</v>
      </c>
      <c r="O52" s="193">
        <f>N58</f>
        <v>2514</v>
      </c>
      <c r="P52" s="194">
        <f>K58</f>
        <v>2445</v>
      </c>
      <c r="Q52" s="193">
        <f t="shared" ref="Q52:T52" si="65">P58</f>
        <v>2593</v>
      </c>
      <c r="R52" s="193">
        <f t="shared" si="65"/>
        <v>2613</v>
      </c>
      <c r="S52" s="193">
        <f t="shared" si="65"/>
        <v>2636</v>
      </c>
      <c r="T52" s="193">
        <f t="shared" si="65"/>
        <v>2664</v>
      </c>
      <c r="U52" s="194">
        <f>P58</f>
        <v>2593</v>
      </c>
      <c r="V52" s="193">
        <f t="shared" ref="V52:Y52" si="66">U58</f>
        <v>2749</v>
      </c>
      <c r="W52" s="193">
        <f t="shared" si="66"/>
        <v>2776</v>
      </c>
      <c r="X52" s="193">
        <f t="shared" si="66"/>
        <v>2801</v>
      </c>
      <c r="Y52" s="193">
        <f t="shared" si="66"/>
        <v>2830</v>
      </c>
      <c r="Z52" s="194">
        <f>U58</f>
        <v>2749</v>
      </c>
      <c r="AA52" s="193">
        <f t="shared" ref="AA52:AD52" si="67">Z58</f>
        <v>2915</v>
      </c>
      <c r="AB52" s="193">
        <f t="shared" si="67"/>
        <v>2942</v>
      </c>
      <c r="AC52" s="193">
        <f t="shared" si="67"/>
        <v>2967</v>
      </c>
      <c r="AD52" s="193">
        <f t="shared" si="67"/>
        <v>2996</v>
      </c>
      <c r="AE52" s="194">
        <f>Z58</f>
        <v>2915</v>
      </c>
      <c r="AF52" s="193">
        <f t="shared" ref="AF52:AI52" si="68">AE58</f>
        <v>3081</v>
      </c>
      <c r="AG52" s="193">
        <f t="shared" si="68"/>
        <v>3106</v>
      </c>
      <c r="AH52" s="193">
        <f t="shared" si="68"/>
        <v>3128</v>
      </c>
      <c r="AI52" s="193">
        <f t="shared" si="68"/>
        <v>3153</v>
      </c>
      <c r="AJ52" s="194">
        <f>AE58</f>
        <v>3081</v>
      </c>
      <c r="AK52" s="193">
        <f t="shared" ref="AK52:AN52" si="69">AJ58</f>
        <v>3236</v>
      </c>
      <c r="AL52" s="193">
        <f t="shared" si="69"/>
        <v>3261</v>
      </c>
      <c r="AM52" s="193">
        <f t="shared" si="69"/>
        <v>3283</v>
      </c>
      <c r="AN52" s="193">
        <f t="shared" si="69"/>
        <v>3308</v>
      </c>
      <c r="AO52" s="194">
        <f>AJ58</f>
        <v>3236</v>
      </c>
      <c r="AP52" s="238"/>
      <c r="AQ52" s="253"/>
      <c r="AR52" s="238"/>
      <c r="AS52" s="238"/>
      <c r="AT52" s="238"/>
      <c r="AU52" s="238"/>
      <c r="AV52" s="253"/>
      <c r="AW52" s="238"/>
      <c r="AX52" s="238"/>
      <c r="AY52" s="238"/>
      <c r="AZ52" s="238"/>
      <c r="BA52" s="253"/>
      <c r="BB52" s="238"/>
      <c r="BC52" s="238"/>
      <c r="BD52" s="238"/>
      <c r="BE52" s="238"/>
      <c r="BF52" s="253"/>
      <c r="BG52" s="238"/>
    </row>
    <row r="53" ht="10.5" customHeight="1">
      <c r="A53" s="183" t="s">
        <v>212</v>
      </c>
      <c r="B53" s="220" t="str">
        <f t="shared" ref="B53:F53" si="70">IFERROR(B52/#REF!-1,"na")</f>
        <v>na</v>
      </c>
      <c r="C53" s="220" t="str">
        <f t="shared" si="70"/>
        <v>na</v>
      </c>
      <c r="D53" s="220" t="str">
        <f t="shared" si="70"/>
        <v>na</v>
      </c>
      <c r="E53" s="220" t="str">
        <f t="shared" si="70"/>
        <v>na</v>
      </c>
      <c r="F53" s="221" t="str">
        <f t="shared" si="70"/>
        <v>na</v>
      </c>
      <c r="G53" s="220">
        <f t="shared" ref="G53:AO53" si="71">IFERROR(G52/B52-1,"na")</f>
        <v>0.06571691176</v>
      </c>
      <c r="H53" s="220">
        <f t="shared" si="71"/>
        <v>0.05879692447</v>
      </c>
      <c r="I53" s="220">
        <f t="shared" si="71"/>
        <v>0.05739910314</v>
      </c>
      <c r="J53" s="220">
        <f t="shared" si="71"/>
        <v>0.05102040816</v>
      </c>
      <c r="K53" s="221">
        <f t="shared" si="71"/>
        <v>0.06571691176</v>
      </c>
      <c r="L53" s="220">
        <f t="shared" si="71"/>
        <v>0.05433376455</v>
      </c>
      <c r="M53" s="220">
        <f t="shared" si="71"/>
        <v>0.05126014524</v>
      </c>
      <c r="N53" s="220">
        <f t="shared" si="71"/>
        <v>0.05131467345</v>
      </c>
      <c r="O53" s="220">
        <f t="shared" si="71"/>
        <v>0.06120726045</v>
      </c>
      <c r="P53" s="221">
        <f t="shared" si="71"/>
        <v>0.05433376455</v>
      </c>
      <c r="Q53" s="220">
        <f t="shared" si="71"/>
        <v>0.06053169734</v>
      </c>
      <c r="R53" s="220">
        <f t="shared" si="71"/>
        <v>0.06176351077</v>
      </c>
      <c r="S53" s="220">
        <f t="shared" si="71"/>
        <v>0.06333198871</v>
      </c>
      <c r="T53" s="220">
        <f t="shared" si="71"/>
        <v>0.05966587112</v>
      </c>
      <c r="U53" s="221">
        <f t="shared" si="71"/>
        <v>0.06053169734</v>
      </c>
      <c r="V53" s="220">
        <f t="shared" si="71"/>
        <v>0.06016197455</v>
      </c>
      <c r="W53" s="220">
        <f t="shared" si="71"/>
        <v>0.06238040566</v>
      </c>
      <c r="X53" s="220">
        <f t="shared" si="71"/>
        <v>0.06259484067</v>
      </c>
      <c r="Y53" s="220">
        <f t="shared" si="71"/>
        <v>0.06231231231</v>
      </c>
      <c r="Z53" s="221">
        <f t="shared" si="71"/>
        <v>0.06016197455</v>
      </c>
      <c r="AA53" s="220">
        <f t="shared" si="71"/>
        <v>0.06038559476</v>
      </c>
      <c r="AB53" s="220">
        <f t="shared" si="71"/>
        <v>0.05979827089</v>
      </c>
      <c r="AC53" s="220">
        <f t="shared" si="71"/>
        <v>0.05926454838</v>
      </c>
      <c r="AD53" s="220">
        <f t="shared" si="71"/>
        <v>0.05865724382</v>
      </c>
      <c r="AE53" s="221">
        <f t="shared" si="71"/>
        <v>0.06038559476</v>
      </c>
      <c r="AF53" s="220">
        <f t="shared" si="71"/>
        <v>0.05694682676</v>
      </c>
      <c r="AG53" s="220">
        <f t="shared" si="71"/>
        <v>0.05574439157</v>
      </c>
      <c r="AH53" s="220">
        <f t="shared" si="71"/>
        <v>0.05426356589</v>
      </c>
      <c r="AI53" s="220">
        <f t="shared" si="71"/>
        <v>0.05240320427</v>
      </c>
      <c r="AJ53" s="221">
        <f t="shared" si="71"/>
        <v>0.05694682676</v>
      </c>
      <c r="AK53" s="220">
        <f t="shared" si="71"/>
        <v>0.05030834145</v>
      </c>
      <c r="AL53" s="220">
        <f t="shared" si="71"/>
        <v>0.04990341275</v>
      </c>
      <c r="AM53" s="220">
        <f t="shared" si="71"/>
        <v>0.04955242967</v>
      </c>
      <c r="AN53" s="220">
        <f t="shared" si="71"/>
        <v>0.04915953061</v>
      </c>
      <c r="AO53" s="221">
        <f t="shared" si="71"/>
        <v>0.05030834145</v>
      </c>
      <c r="AP53" s="165"/>
      <c r="AQ53" s="187"/>
      <c r="AR53" s="165"/>
      <c r="AS53" s="165"/>
      <c r="AT53" s="165"/>
      <c r="AU53" s="165"/>
      <c r="AV53" s="187"/>
      <c r="AW53" s="165"/>
      <c r="AX53" s="165"/>
      <c r="AY53" s="165"/>
      <c r="AZ53" s="165"/>
      <c r="BA53" s="187"/>
      <c r="BB53" s="165"/>
      <c r="BC53" s="165"/>
      <c r="BD53" s="165"/>
      <c r="BE53" s="165"/>
      <c r="BF53" s="187"/>
      <c r="BG53" s="165"/>
    </row>
    <row r="54" ht="10.5" customHeight="1">
      <c r="A54" s="164" t="s">
        <v>248</v>
      </c>
      <c r="B54" s="186">
        <f>'Income Statement'!B133</f>
        <v>35</v>
      </c>
      <c r="C54" s="186">
        <f>'Income Statement'!C133</f>
        <v>23</v>
      </c>
      <c r="D54" s="186">
        <f>'Income Statement'!D133</f>
        <v>24</v>
      </c>
      <c r="E54" s="186">
        <f>'Income Statement'!E133</f>
        <v>65</v>
      </c>
      <c r="F54" s="185">
        <f>'Income Statement'!F133</f>
        <v>147</v>
      </c>
      <c r="G54" s="186">
        <f>'Income Statement'!G133</f>
        <v>23</v>
      </c>
      <c r="H54" s="186">
        <f>'Income Statement'!H133</f>
        <v>17</v>
      </c>
      <c r="I54" s="186">
        <f>'Income Statement'!I133</f>
        <v>12</v>
      </c>
      <c r="J54" s="186">
        <f>'Income Statement'!J133</f>
        <v>77</v>
      </c>
      <c r="K54" s="185">
        <f>SUM(G54:J54)</f>
        <v>129</v>
      </c>
      <c r="L54" s="186">
        <f>'Income Statement'!L133</f>
        <v>16</v>
      </c>
      <c r="M54" s="186">
        <f>'Income Statement'!M133</f>
        <v>20</v>
      </c>
      <c r="N54" s="186">
        <f>'Income Statement'!N133</f>
        <v>29</v>
      </c>
      <c r="O54" s="184">
        <v>79.0</v>
      </c>
      <c r="P54" s="185">
        <f>SUM(L54:O54)</f>
        <v>144</v>
      </c>
      <c r="Q54" s="184">
        <v>20.0</v>
      </c>
      <c r="R54" s="184">
        <v>23.0</v>
      </c>
      <c r="S54" s="184">
        <v>28.0</v>
      </c>
      <c r="T54" s="184">
        <v>85.0</v>
      </c>
      <c r="U54" s="185">
        <f>SUM(Q54:T54)</f>
        <v>156</v>
      </c>
      <c r="V54" s="184">
        <v>27.0</v>
      </c>
      <c r="W54" s="184">
        <v>25.0</v>
      </c>
      <c r="X54" s="184">
        <v>29.0</v>
      </c>
      <c r="Y54" s="184">
        <v>85.0</v>
      </c>
      <c r="Z54" s="185">
        <f>SUM(V54:Y54)</f>
        <v>166</v>
      </c>
      <c r="AA54" s="184">
        <v>27.0</v>
      </c>
      <c r="AB54" s="184">
        <v>25.0</v>
      </c>
      <c r="AC54" s="184">
        <v>29.0</v>
      </c>
      <c r="AD54" s="184">
        <v>85.0</v>
      </c>
      <c r="AE54" s="185">
        <f>SUM(AA54:AD54)</f>
        <v>166</v>
      </c>
      <c r="AF54" s="184">
        <v>25.0</v>
      </c>
      <c r="AG54" s="184">
        <v>22.0</v>
      </c>
      <c r="AH54" s="184">
        <v>25.0</v>
      </c>
      <c r="AI54" s="184">
        <v>83.0</v>
      </c>
      <c r="AJ54" s="185">
        <f>SUM(AF54:AI54)</f>
        <v>155</v>
      </c>
      <c r="AK54" s="184">
        <v>25.0</v>
      </c>
      <c r="AL54" s="184">
        <v>22.0</v>
      </c>
      <c r="AM54" s="184">
        <v>25.0</v>
      </c>
      <c r="AN54" s="184">
        <v>83.0</v>
      </c>
      <c r="AO54" s="185">
        <f>SUM(AK54:AN54)</f>
        <v>155</v>
      </c>
      <c r="AP54" s="165"/>
      <c r="AQ54" s="187"/>
      <c r="AR54" s="165"/>
      <c r="AS54" s="165"/>
      <c r="AT54" s="165"/>
      <c r="AU54" s="165"/>
      <c r="AV54" s="187"/>
      <c r="AW54" s="165"/>
      <c r="AX54" s="165"/>
      <c r="AY54" s="165"/>
      <c r="AZ54" s="165"/>
      <c r="BA54" s="187"/>
      <c r="BB54" s="165"/>
      <c r="BC54" s="165"/>
      <c r="BD54" s="165"/>
      <c r="BE54" s="165"/>
      <c r="BF54" s="187"/>
      <c r="BG54" s="165"/>
    </row>
    <row r="55" ht="10.5" customHeight="1">
      <c r="A55" s="183" t="s">
        <v>212</v>
      </c>
      <c r="B55" s="220" t="str">
        <f t="shared" ref="B55:F55" si="72">IFERROR(B54/#REF!-1,"na")</f>
        <v>na</v>
      </c>
      <c r="C55" s="220" t="str">
        <f t="shared" si="72"/>
        <v>na</v>
      </c>
      <c r="D55" s="220" t="str">
        <f t="shared" si="72"/>
        <v>na</v>
      </c>
      <c r="E55" s="220" t="str">
        <f t="shared" si="72"/>
        <v>na</v>
      </c>
      <c r="F55" s="221" t="str">
        <f t="shared" si="72"/>
        <v>na</v>
      </c>
      <c r="G55" s="220">
        <f t="shared" ref="G55:AO55" si="73">IFERROR(G54/B54-1,"na")</f>
        <v>-0.3428571429</v>
      </c>
      <c r="H55" s="220">
        <f t="shared" si="73"/>
        <v>-0.2608695652</v>
      </c>
      <c r="I55" s="220">
        <f t="shared" si="73"/>
        <v>-0.5</v>
      </c>
      <c r="J55" s="220">
        <f t="shared" si="73"/>
        <v>0.1846153846</v>
      </c>
      <c r="K55" s="221">
        <f t="shared" si="73"/>
        <v>-0.1224489796</v>
      </c>
      <c r="L55" s="220">
        <f t="shared" si="73"/>
        <v>-0.3043478261</v>
      </c>
      <c r="M55" s="220">
        <f t="shared" si="73"/>
        <v>0.1764705882</v>
      </c>
      <c r="N55" s="220">
        <f t="shared" si="73"/>
        <v>1.416666667</v>
      </c>
      <c r="O55" s="220">
        <f t="shared" si="73"/>
        <v>0.02597402597</v>
      </c>
      <c r="P55" s="221">
        <f t="shared" si="73"/>
        <v>0.1162790698</v>
      </c>
      <c r="Q55" s="220">
        <f t="shared" si="73"/>
        <v>0.25</v>
      </c>
      <c r="R55" s="220">
        <f t="shared" si="73"/>
        <v>0.15</v>
      </c>
      <c r="S55" s="220">
        <f t="shared" si="73"/>
        <v>-0.03448275862</v>
      </c>
      <c r="T55" s="220">
        <f t="shared" si="73"/>
        <v>0.07594936709</v>
      </c>
      <c r="U55" s="221">
        <f t="shared" si="73"/>
        <v>0.08333333333</v>
      </c>
      <c r="V55" s="220">
        <f t="shared" si="73"/>
        <v>0.35</v>
      </c>
      <c r="W55" s="220">
        <f t="shared" si="73"/>
        <v>0.08695652174</v>
      </c>
      <c r="X55" s="220">
        <f t="shared" si="73"/>
        <v>0.03571428571</v>
      </c>
      <c r="Y55" s="220">
        <f t="shared" si="73"/>
        <v>0</v>
      </c>
      <c r="Z55" s="221">
        <f t="shared" si="73"/>
        <v>0.0641025641</v>
      </c>
      <c r="AA55" s="220">
        <f t="shared" si="73"/>
        <v>0</v>
      </c>
      <c r="AB55" s="220">
        <f t="shared" si="73"/>
        <v>0</v>
      </c>
      <c r="AC55" s="220">
        <f t="shared" si="73"/>
        <v>0</v>
      </c>
      <c r="AD55" s="220">
        <f t="shared" si="73"/>
        <v>0</v>
      </c>
      <c r="AE55" s="221">
        <f t="shared" si="73"/>
        <v>0</v>
      </c>
      <c r="AF55" s="220">
        <f t="shared" si="73"/>
        <v>-0.07407407407</v>
      </c>
      <c r="AG55" s="220">
        <f t="shared" si="73"/>
        <v>-0.12</v>
      </c>
      <c r="AH55" s="220">
        <f t="shared" si="73"/>
        <v>-0.1379310345</v>
      </c>
      <c r="AI55" s="220">
        <f t="shared" si="73"/>
        <v>-0.02352941176</v>
      </c>
      <c r="AJ55" s="221">
        <f t="shared" si="73"/>
        <v>-0.06626506024</v>
      </c>
      <c r="AK55" s="220">
        <f t="shared" si="73"/>
        <v>0</v>
      </c>
      <c r="AL55" s="220">
        <f t="shared" si="73"/>
        <v>0</v>
      </c>
      <c r="AM55" s="220">
        <f t="shared" si="73"/>
        <v>0</v>
      </c>
      <c r="AN55" s="220">
        <f t="shared" si="73"/>
        <v>0</v>
      </c>
      <c r="AO55" s="221">
        <f t="shared" si="73"/>
        <v>0</v>
      </c>
      <c r="AP55" s="165"/>
      <c r="AQ55" s="187"/>
      <c r="AR55" s="165"/>
      <c r="AS55" s="165"/>
      <c r="AT55" s="165"/>
      <c r="AU55" s="165"/>
      <c r="AV55" s="187"/>
      <c r="AW55" s="165"/>
      <c r="AX55" s="165"/>
      <c r="AY55" s="165"/>
      <c r="AZ55" s="165"/>
      <c r="BA55" s="187"/>
      <c r="BB55" s="165"/>
      <c r="BC55" s="165"/>
      <c r="BD55" s="165"/>
      <c r="BE55" s="165"/>
      <c r="BF55" s="187"/>
      <c r="BG55" s="165"/>
    </row>
    <row r="56" ht="10.5" customHeight="1">
      <c r="A56" s="164" t="s">
        <v>249</v>
      </c>
      <c r="B56" s="186">
        <f>'Income Statement'!B135+'Income Statement'!B134</f>
        <v>0</v>
      </c>
      <c r="C56" s="186">
        <f>'Income Statement'!C135+'Income Statement'!C134</f>
        <v>-4</v>
      </c>
      <c r="D56" s="186">
        <f>'Income Statement'!D135+'Income Statement'!D134</f>
        <v>0</v>
      </c>
      <c r="E56" s="186">
        <f>'Income Statement'!E135+'Income Statement'!E134</f>
        <v>0</v>
      </c>
      <c r="F56" s="185">
        <f>'Income Statement'!F135+'Income Statement'!F134</f>
        <v>-4</v>
      </c>
      <c r="G56" s="186">
        <f>'Income Statement'!G135+'Income Statement'!G134</f>
        <v>-1</v>
      </c>
      <c r="H56" s="186">
        <f>'Income Statement'!H135+'Income Statement'!H134</f>
        <v>0</v>
      </c>
      <c r="I56" s="186">
        <f>'Income Statement'!I135+'Income Statement'!I134</f>
        <v>-1</v>
      </c>
      <c r="J56" s="186">
        <f>'Income Statement'!J135+'Income Statement'!J134</f>
        <v>-1</v>
      </c>
      <c r="K56" s="185">
        <f>SUM(G56:J56)</f>
        <v>-3</v>
      </c>
      <c r="L56" s="186">
        <f>'Income Statement'!L135+'Income Statement'!L134</f>
        <v>0</v>
      </c>
      <c r="M56" s="186">
        <f>'Income Statement'!M135+'Income Statement'!M134</f>
        <v>-2</v>
      </c>
      <c r="N56" s="186">
        <f>'Income Statement'!N135+'Income Statement'!N134</f>
        <v>6</v>
      </c>
      <c r="O56" s="184">
        <v>0.0</v>
      </c>
      <c r="P56" s="185">
        <f>SUM(L56:O56)</f>
        <v>4</v>
      </c>
      <c r="Q56" s="184">
        <v>0.0</v>
      </c>
      <c r="R56" s="184">
        <v>0.0</v>
      </c>
      <c r="S56" s="184">
        <v>0.0</v>
      </c>
      <c r="T56" s="184">
        <v>0.0</v>
      </c>
      <c r="U56" s="185">
        <f>SUM(Q56:T56)</f>
        <v>0</v>
      </c>
      <c r="V56" s="184">
        <v>0.0</v>
      </c>
      <c r="W56" s="184">
        <v>0.0</v>
      </c>
      <c r="X56" s="184">
        <v>0.0</v>
      </c>
      <c r="Y56" s="184">
        <v>0.0</v>
      </c>
      <c r="Z56" s="185">
        <f>SUM(V56:Y56)</f>
        <v>0</v>
      </c>
      <c r="AA56" s="184">
        <v>0.0</v>
      </c>
      <c r="AB56" s="184">
        <v>0.0</v>
      </c>
      <c r="AC56" s="184">
        <v>0.0</v>
      </c>
      <c r="AD56" s="184">
        <v>0.0</v>
      </c>
      <c r="AE56" s="185">
        <f>SUM(AA56:AD56)</f>
        <v>0</v>
      </c>
      <c r="AF56" s="184">
        <v>0.0</v>
      </c>
      <c r="AG56" s="184">
        <v>0.0</v>
      </c>
      <c r="AH56" s="184">
        <v>0.0</v>
      </c>
      <c r="AI56" s="184">
        <v>0.0</v>
      </c>
      <c r="AJ56" s="185">
        <f>SUM(AF56:AI56)</f>
        <v>0</v>
      </c>
      <c r="AK56" s="184">
        <v>0.0</v>
      </c>
      <c r="AL56" s="184">
        <v>0.0</v>
      </c>
      <c r="AM56" s="184">
        <v>0.0</v>
      </c>
      <c r="AN56" s="184">
        <v>0.0</v>
      </c>
      <c r="AO56" s="185">
        <f>SUM(AK56:AN56)</f>
        <v>0</v>
      </c>
      <c r="AP56" s="165"/>
      <c r="AQ56" s="187"/>
      <c r="AR56" s="165"/>
      <c r="AS56" s="165"/>
      <c r="AT56" s="165"/>
      <c r="AU56" s="165"/>
      <c r="AV56" s="187"/>
      <c r="AW56" s="165"/>
      <c r="AX56" s="165"/>
      <c r="AY56" s="165"/>
      <c r="AZ56" s="165"/>
      <c r="BA56" s="187"/>
      <c r="BB56" s="165"/>
      <c r="BC56" s="165"/>
      <c r="BD56" s="165"/>
      <c r="BE56" s="165"/>
      <c r="BF56" s="187"/>
      <c r="BG56" s="165"/>
    </row>
    <row r="57" ht="10.5" customHeight="1">
      <c r="A57" s="183" t="s">
        <v>212</v>
      </c>
      <c r="B57" s="220" t="str">
        <f t="shared" ref="B57:F57" si="74">IFERROR(B56/#REF!-1,"na")</f>
        <v>na</v>
      </c>
      <c r="C57" s="220" t="str">
        <f t="shared" si="74"/>
        <v>na</v>
      </c>
      <c r="D57" s="220" t="str">
        <f t="shared" si="74"/>
        <v>na</v>
      </c>
      <c r="E57" s="220" t="str">
        <f t="shared" si="74"/>
        <v>na</v>
      </c>
      <c r="F57" s="221" t="str">
        <f t="shared" si="74"/>
        <v>na</v>
      </c>
      <c r="G57" s="220" t="str">
        <f t="shared" ref="G57:AO57" si="75">IFERROR(G56/B56-1,"na")</f>
        <v>na</v>
      </c>
      <c r="H57" s="220">
        <f t="shared" si="75"/>
        <v>-1</v>
      </c>
      <c r="I57" s="220" t="str">
        <f t="shared" si="75"/>
        <v>na</v>
      </c>
      <c r="J57" s="220" t="str">
        <f t="shared" si="75"/>
        <v>na</v>
      </c>
      <c r="K57" s="221">
        <f t="shared" si="75"/>
        <v>-0.25</v>
      </c>
      <c r="L57" s="220">
        <f t="shared" si="75"/>
        <v>-1</v>
      </c>
      <c r="M57" s="220" t="str">
        <f t="shared" si="75"/>
        <v>na</v>
      </c>
      <c r="N57" s="220">
        <f t="shared" si="75"/>
        <v>-7</v>
      </c>
      <c r="O57" s="220">
        <f t="shared" si="75"/>
        <v>-1</v>
      </c>
      <c r="P57" s="221">
        <f t="shared" si="75"/>
        <v>-2.333333333</v>
      </c>
      <c r="Q57" s="220" t="str">
        <f t="shared" si="75"/>
        <v>na</v>
      </c>
      <c r="R57" s="220">
        <f t="shared" si="75"/>
        <v>-1</v>
      </c>
      <c r="S57" s="220">
        <f t="shared" si="75"/>
        <v>-1</v>
      </c>
      <c r="T57" s="220" t="str">
        <f t="shared" si="75"/>
        <v>na</v>
      </c>
      <c r="U57" s="221">
        <f t="shared" si="75"/>
        <v>-1</v>
      </c>
      <c r="V57" s="220" t="str">
        <f t="shared" si="75"/>
        <v>na</v>
      </c>
      <c r="W57" s="220" t="str">
        <f t="shared" si="75"/>
        <v>na</v>
      </c>
      <c r="X57" s="220" t="str">
        <f t="shared" si="75"/>
        <v>na</v>
      </c>
      <c r="Y57" s="220" t="str">
        <f t="shared" si="75"/>
        <v>na</v>
      </c>
      <c r="Z57" s="221" t="str">
        <f t="shared" si="75"/>
        <v>na</v>
      </c>
      <c r="AA57" s="220" t="str">
        <f t="shared" si="75"/>
        <v>na</v>
      </c>
      <c r="AB57" s="220" t="str">
        <f t="shared" si="75"/>
        <v>na</v>
      </c>
      <c r="AC57" s="220" t="str">
        <f t="shared" si="75"/>
        <v>na</v>
      </c>
      <c r="AD57" s="220" t="str">
        <f t="shared" si="75"/>
        <v>na</v>
      </c>
      <c r="AE57" s="221" t="str">
        <f t="shared" si="75"/>
        <v>na</v>
      </c>
      <c r="AF57" s="220" t="str">
        <f t="shared" si="75"/>
        <v>na</v>
      </c>
      <c r="AG57" s="220" t="str">
        <f t="shared" si="75"/>
        <v>na</v>
      </c>
      <c r="AH57" s="220" t="str">
        <f t="shared" si="75"/>
        <v>na</v>
      </c>
      <c r="AI57" s="220" t="str">
        <f t="shared" si="75"/>
        <v>na</v>
      </c>
      <c r="AJ57" s="221" t="str">
        <f t="shared" si="75"/>
        <v>na</v>
      </c>
      <c r="AK57" s="220" t="str">
        <f t="shared" si="75"/>
        <v>na</v>
      </c>
      <c r="AL57" s="220" t="str">
        <f t="shared" si="75"/>
        <v>na</v>
      </c>
      <c r="AM57" s="220" t="str">
        <f t="shared" si="75"/>
        <v>na</v>
      </c>
      <c r="AN57" s="220" t="str">
        <f t="shared" si="75"/>
        <v>na</v>
      </c>
      <c r="AO57" s="221" t="str">
        <f t="shared" si="75"/>
        <v>na</v>
      </c>
      <c r="AP57" s="165"/>
      <c r="AQ57" s="187"/>
      <c r="AR57" s="165"/>
      <c r="AS57" s="165"/>
      <c r="AT57" s="165"/>
      <c r="AU57" s="165"/>
      <c r="AV57" s="187"/>
      <c r="AW57" s="165"/>
      <c r="AX57" s="165"/>
      <c r="AY57" s="165"/>
      <c r="AZ57" s="165"/>
      <c r="BA57" s="187"/>
      <c r="BB57" s="165"/>
      <c r="BC57" s="165"/>
      <c r="BD57" s="165"/>
      <c r="BE57" s="165"/>
      <c r="BF57" s="187"/>
      <c r="BG57" s="165"/>
    </row>
    <row r="58" ht="10.5" customHeight="1">
      <c r="A58" s="181" t="s">
        <v>236</v>
      </c>
      <c r="B58" s="193">
        <f t="shared" ref="B58:AO58" si="76">B52+B54+B56</f>
        <v>2211</v>
      </c>
      <c r="C58" s="193">
        <f t="shared" si="76"/>
        <v>2230</v>
      </c>
      <c r="D58" s="193">
        <f t="shared" si="76"/>
        <v>2254</v>
      </c>
      <c r="E58" s="193">
        <f t="shared" si="76"/>
        <v>2319</v>
      </c>
      <c r="F58" s="194">
        <f t="shared" si="76"/>
        <v>2319</v>
      </c>
      <c r="G58" s="193">
        <f t="shared" si="76"/>
        <v>2341</v>
      </c>
      <c r="H58" s="193">
        <f t="shared" si="76"/>
        <v>2358</v>
      </c>
      <c r="I58" s="193">
        <f t="shared" si="76"/>
        <v>2369</v>
      </c>
      <c r="J58" s="193">
        <f t="shared" si="76"/>
        <v>2445</v>
      </c>
      <c r="K58" s="194">
        <f t="shared" si="76"/>
        <v>2445</v>
      </c>
      <c r="L58" s="193">
        <f t="shared" si="76"/>
        <v>2461</v>
      </c>
      <c r="M58" s="193">
        <f t="shared" si="76"/>
        <v>2479</v>
      </c>
      <c r="N58" s="193">
        <f t="shared" si="76"/>
        <v>2514</v>
      </c>
      <c r="O58" s="193">
        <f t="shared" si="76"/>
        <v>2593</v>
      </c>
      <c r="P58" s="194">
        <f t="shared" si="76"/>
        <v>2593</v>
      </c>
      <c r="Q58" s="193">
        <f t="shared" si="76"/>
        <v>2613</v>
      </c>
      <c r="R58" s="193">
        <f t="shared" si="76"/>
        <v>2636</v>
      </c>
      <c r="S58" s="193">
        <f t="shared" si="76"/>
        <v>2664</v>
      </c>
      <c r="T58" s="193">
        <f t="shared" si="76"/>
        <v>2749</v>
      </c>
      <c r="U58" s="194">
        <f t="shared" si="76"/>
        <v>2749</v>
      </c>
      <c r="V58" s="193">
        <f t="shared" si="76"/>
        <v>2776</v>
      </c>
      <c r="W58" s="193">
        <f t="shared" si="76"/>
        <v>2801</v>
      </c>
      <c r="X58" s="193">
        <f t="shared" si="76"/>
        <v>2830</v>
      </c>
      <c r="Y58" s="193">
        <f t="shared" si="76"/>
        <v>2915</v>
      </c>
      <c r="Z58" s="194">
        <f t="shared" si="76"/>
        <v>2915</v>
      </c>
      <c r="AA58" s="193">
        <f t="shared" si="76"/>
        <v>2942</v>
      </c>
      <c r="AB58" s="193">
        <f t="shared" si="76"/>
        <v>2967</v>
      </c>
      <c r="AC58" s="193">
        <f t="shared" si="76"/>
        <v>2996</v>
      </c>
      <c r="AD58" s="193">
        <f t="shared" si="76"/>
        <v>3081</v>
      </c>
      <c r="AE58" s="194">
        <f t="shared" si="76"/>
        <v>3081</v>
      </c>
      <c r="AF58" s="193">
        <f t="shared" si="76"/>
        <v>3106</v>
      </c>
      <c r="AG58" s="193">
        <f t="shared" si="76"/>
        <v>3128</v>
      </c>
      <c r="AH58" s="193">
        <f t="shared" si="76"/>
        <v>3153</v>
      </c>
      <c r="AI58" s="193">
        <f t="shared" si="76"/>
        <v>3236</v>
      </c>
      <c r="AJ58" s="194">
        <f t="shared" si="76"/>
        <v>3236</v>
      </c>
      <c r="AK58" s="193">
        <f t="shared" si="76"/>
        <v>3261</v>
      </c>
      <c r="AL58" s="193">
        <f t="shared" si="76"/>
        <v>3283</v>
      </c>
      <c r="AM58" s="193">
        <f t="shared" si="76"/>
        <v>3308</v>
      </c>
      <c r="AN58" s="193">
        <f t="shared" si="76"/>
        <v>3391</v>
      </c>
      <c r="AO58" s="194">
        <f t="shared" si="76"/>
        <v>3391</v>
      </c>
      <c r="AP58" s="238"/>
      <c r="AQ58" s="253"/>
      <c r="AR58" s="238"/>
      <c r="AS58" s="238"/>
      <c r="AT58" s="238"/>
      <c r="AU58" s="238"/>
      <c r="AV58" s="253"/>
      <c r="AW58" s="238"/>
      <c r="AX58" s="238"/>
      <c r="AY58" s="238"/>
      <c r="AZ58" s="238"/>
      <c r="BA58" s="253"/>
      <c r="BB58" s="238"/>
      <c r="BC58" s="238"/>
      <c r="BD58" s="238"/>
      <c r="BE58" s="238"/>
      <c r="BF58" s="253"/>
      <c r="BG58" s="238"/>
    </row>
    <row r="59" ht="10.5" customHeight="1">
      <c r="A59" s="183" t="s">
        <v>212</v>
      </c>
      <c r="B59" s="220" t="str">
        <f t="shared" ref="B59:F59" si="77">IFERROR(B58/#REF!-1,"na")</f>
        <v>na</v>
      </c>
      <c r="C59" s="220" t="str">
        <f t="shared" si="77"/>
        <v>na</v>
      </c>
      <c r="D59" s="220" t="str">
        <f t="shared" si="77"/>
        <v>na</v>
      </c>
      <c r="E59" s="220" t="str">
        <f t="shared" si="77"/>
        <v>na</v>
      </c>
      <c r="F59" s="221" t="str">
        <f t="shared" si="77"/>
        <v>na</v>
      </c>
      <c r="G59" s="220">
        <f t="shared" ref="G59:AO59" si="78">IFERROR(G58/B58-1,"na")</f>
        <v>0.05879692447</v>
      </c>
      <c r="H59" s="220">
        <f t="shared" si="78"/>
        <v>0.05739910314</v>
      </c>
      <c r="I59" s="220">
        <f t="shared" si="78"/>
        <v>0.05102040816</v>
      </c>
      <c r="J59" s="220">
        <f t="shared" si="78"/>
        <v>0.05433376455</v>
      </c>
      <c r="K59" s="221">
        <f t="shared" si="78"/>
        <v>0.05433376455</v>
      </c>
      <c r="L59" s="220">
        <f t="shared" si="78"/>
        <v>0.05126014524</v>
      </c>
      <c r="M59" s="220">
        <f t="shared" si="78"/>
        <v>0.05131467345</v>
      </c>
      <c r="N59" s="220">
        <f t="shared" si="78"/>
        <v>0.06120726045</v>
      </c>
      <c r="O59" s="220">
        <f t="shared" si="78"/>
        <v>0.06053169734</v>
      </c>
      <c r="P59" s="221">
        <f t="shared" si="78"/>
        <v>0.06053169734</v>
      </c>
      <c r="Q59" s="220">
        <f t="shared" si="78"/>
        <v>0.06176351077</v>
      </c>
      <c r="R59" s="220">
        <f t="shared" si="78"/>
        <v>0.06333198871</v>
      </c>
      <c r="S59" s="220">
        <f t="shared" si="78"/>
        <v>0.05966587112</v>
      </c>
      <c r="T59" s="220">
        <f t="shared" si="78"/>
        <v>0.06016197455</v>
      </c>
      <c r="U59" s="221">
        <f t="shared" si="78"/>
        <v>0.06016197455</v>
      </c>
      <c r="V59" s="220">
        <f t="shared" si="78"/>
        <v>0.06238040566</v>
      </c>
      <c r="W59" s="220">
        <f t="shared" si="78"/>
        <v>0.06259484067</v>
      </c>
      <c r="X59" s="220">
        <f t="shared" si="78"/>
        <v>0.06231231231</v>
      </c>
      <c r="Y59" s="220">
        <f t="shared" si="78"/>
        <v>0.06038559476</v>
      </c>
      <c r="Z59" s="221">
        <f t="shared" si="78"/>
        <v>0.06038559476</v>
      </c>
      <c r="AA59" s="220">
        <f t="shared" si="78"/>
        <v>0.05979827089</v>
      </c>
      <c r="AB59" s="220">
        <f t="shared" si="78"/>
        <v>0.05926454838</v>
      </c>
      <c r="AC59" s="220">
        <f t="shared" si="78"/>
        <v>0.05865724382</v>
      </c>
      <c r="AD59" s="220">
        <f t="shared" si="78"/>
        <v>0.05694682676</v>
      </c>
      <c r="AE59" s="221">
        <f t="shared" si="78"/>
        <v>0.05694682676</v>
      </c>
      <c r="AF59" s="220">
        <f t="shared" si="78"/>
        <v>0.05574439157</v>
      </c>
      <c r="AG59" s="220">
        <f t="shared" si="78"/>
        <v>0.05426356589</v>
      </c>
      <c r="AH59" s="220">
        <f t="shared" si="78"/>
        <v>0.05240320427</v>
      </c>
      <c r="AI59" s="220">
        <f t="shared" si="78"/>
        <v>0.05030834145</v>
      </c>
      <c r="AJ59" s="221">
        <f t="shared" si="78"/>
        <v>0.05030834145</v>
      </c>
      <c r="AK59" s="220">
        <f t="shared" si="78"/>
        <v>0.04990341275</v>
      </c>
      <c r="AL59" s="220">
        <f t="shared" si="78"/>
        <v>0.04955242967</v>
      </c>
      <c r="AM59" s="220">
        <f t="shared" si="78"/>
        <v>0.04915953061</v>
      </c>
      <c r="AN59" s="220">
        <f t="shared" si="78"/>
        <v>0.0478986403</v>
      </c>
      <c r="AO59" s="221">
        <f t="shared" si="78"/>
        <v>0.0478986403</v>
      </c>
      <c r="AP59" s="165"/>
      <c r="AQ59" s="187"/>
      <c r="AR59" s="165"/>
      <c r="AS59" s="165"/>
      <c r="AT59" s="165"/>
      <c r="AU59" s="165"/>
      <c r="AV59" s="187"/>
      <c r="AW59" s="165"/>
      <c r="AX59" s="165"/>
      <c r="AY59" s="165"/>
      <c r="AZ59" s="165"/>
      <c r="BA59" s="187"/>
      <c r="BB59" s="165"/>
      <c r="BC59" s="165"/>
      <c r="BD59" s="165"/>
      <c r="BE59" s="165"/>
      <c r="BF59" s="187"/>
      <c r="BG59" s="165"/>
    </row>
    <row r="60" ht="10.5" customHeight="1">
      <c r="A60" s="164" t="s">
        <v>250</v>
      </c>
      <c r="B60" s="262">
        <v>0.097</v>
      </c>
      <c r="C60" s="262">
        <v>0.086</v>
      </c>
      <c r="D60" s="262">
        <v>0.082</v>
      </c>
      <c r="E60" s="254">
        <f>(F60*4)-D60-C60-B60</f>
        <v>0.075</v>
      </c>
      <c r="F60" s="263">
        <v>0.085</v>
      </c>
      <c r="G60" s="258">
        <v>0.063</v>
      </c>
      <c r="H60" s="258">
        <v>0.043</v>
      </c>
      <c r="I60" s="262">
        <v>0.045</v>
      </c>
      <c r="J60" s="254">
        <f>(K60*4)-I60-H60-G60</f>
        <v>0.057</v>
      </c>
      <c r="K60" s="264">
        <v>0.052</v>
      </c>
      <c r="L60" s="258">
        <v>0.062</v>
      </c>
      <c r="M60" s="258">
        <v>0.083</v>
      </c>
      <c r="N60" s="258">
        <v>0.071</v>
      </c>
      <c r="O60" s="258">
        <v>0.045</v>
      </c>
      <c r="P60" s="264">
        <f>AVERAGE(L60:O60)</f>
        <v>0.06525</v>
      </c>
      <c r="Q60" s="258">
        <v>0.06</v>
      </c>
      <c r="R60" s="258">
        <v>0.06</v>
      </c>
      <c r="S60" s="258">
        <v>0.06</v>
      </c>
      <c r="T60" s="258">
        <v>0.06</v>
      </c>
      <c r="U60" s="264">
        <f>AVERAGE(Q60:T60)</f>
        <v>0.06</v>
      </c>
      <c r="V60" s="258">
        <v>0.05</v>
      </c>
      <c r="W60" s="258">
        <v>0.05</v>
      </c>
      <c r="X60" s="258">
        <v>0.05</v>
      </c>
      <c r="Y60" s="258">
        <v>0.05</v>
      </c>
      <c r="Z60" s="264">
        <f>AVERAGE(V60:Y60)</f>
        <v>0.05</v>
      </c>
      <c r="AA60" s="258">
        <v>0.045</v>
      </c>
      <c r="AB60" s="258">
        <v>0.045</v>
      </c>
      <c r="AC60" s="258">
        <v>0.045</v>
      </c>
      <c r="AD60" s="258">
        <v>0.045</v>
      </c>
      <c r="AE60" s="264">
        <f>AVERAGE(AA60:AD60)</f>
        <v>0.045</v>
      </c>
      <c r="AF60" s="258">
        <v>0.035</v>
      </c>
      <c r="AG60" s="258">
        <v>0.035</v>
      </c>
      <c r="AH60" s="258">
        <v>0.035</v>
      </c>
      <c r="AI60" s="258">
        <v>0.035</v>
      </c>
      <c r="AJ60" s="264">
        <f>AVERAGE(AF60:AI60)</f>
        <v>0.035</v>
      </c>
      <c r="AK60" s="258">
        <v>0.035</v>
      </c>
      <c r="AL60" s="258">
        <v>0.035</v>
      </c>
      <c r="AM60" s="258">
        <v>0.035</v>
      </c>
      <c r="AN60" s="258">
        <v>0.035</v>
      </c>
      <c r="AO60" s="264">
        <f>AVERAGE(AK60:AN60)</f>
        <v>0.035</v>
      </c>
      <c r="AP60" s="165"/>
      <c r="AQ60" s="187"/>
      <c r="AR60" s="165"/>
      <c r="AS60" s="165"/>
      <c r="AT60" s="165"/>
      <c r="AU60" s="165"/>
      <c r="AV60" s="187"/>
      <c r="AW60" s="165"/>
      <c r="AX60" s="165"/>
      <c r="AY60" s="165"/>
      <c r="AZ60" s="165"/>
      <c r="BA60" s="187"/>
      <c r="BB60" s="165"/>
      <c r="BC60" s="165"/>
      <c r="BD60" s="165"/>
      <c r="BE60" s="165"/>
      <c r="BF60" s="187"/>
      <c r="BG60" s="165"/>
    </row>
    <row r="61" ht="10.5" customHeight="1">
      <c r="A61" s="181" t="s">
        <v>251</v>
      </c>
      <c r="B61" s="265">
        <f t="shared" ref="B61:N61" si="79">B10/AVERAGE(B58,B52)</f>
        <v>0.04225302029</v>
      </c>
      <c r="C61" s="265">
        <f t="shared" si="79"/>
        <v>0.04451339788</v>
      </c>
      <c r="D61" s="265">
        <f t="shared" si="79"/>
        <v>0.04378456735</v>
      </c>
      <c r="E61" s="265">
        <f t="shared" si="79"/>
        <v>0.0429652307</v>
      </c>
      <c r="F61" s="266">
        <f t="shared" si="79"/>
        <v>0.1726046719</v>
      </c>
      <c r="G61" s="265">
        <f t="shared" si="79"/>
        <v>0.04464377682</v>
      </c>
      <c r="H61" s="265">
        <f t="shared" si="79"/>
        <v>0.04587784635</v>
      </c>
      <c r="I61" s="265">
        <f t="shared" si="79"/>
        <v>0.043331923</v>
      </c>
      <c r="J61" s="265">
        <f t="shared" si="79"/>
        <v>0.04529372663</v>
      </c>
      <c r="K61" s="266">
        <f t="shared" si="79"/>
        <v>0.1776855584</v>
      </c>
      <c r="L61" s="265">
        <f t="shared" si="79"/>
        <v>0.04695474929</v>
      </c>
      <c r="M61" s="265">
        <f t="shared" si="79"/>
        <v>0.04844453441</v>
      </c>
      <c r="N61" s="265">
        <f t="shared" si="79"/>
        <v>0.04553374725</v>
      </c>
      <c r="O61" s="265">
        <f>J61*(1+O60+O63)</f>
        <v>0.04687900706</v>
      </c>
      <c r="P61" s="266">
        <f>P10/AVERAGE(P58,P52)</f>
        <v>0.1858747696</v>
      </c>
      <c r="Q61" s="265">
        <f t="shared" ref="Q61:T61" si="80">L61*(1+Q60+Q63)</f>
        <v>0.05423273543</v>
      </c>
      <c r="R61" s="265">
        <f t="shared" si="80"/>
        <v>0.05595343725</v>
      </c>
      <c r="S61" s="265">
        <f t="shared" si="80"/>
        <v>0.05236380933</v>
      </c>
      <c r="T61" s="265">
        <f t="shared" si="80"/>
        <v>0.05391085812</v>
      </c>
      <c r="U61" s="266">
        <f>U10/AVERAGE(U58,U52)</f>
        <v>0.2144108718</v>
      </c>
      <c r="V61" s="265">
        <f t="shared" ref="V61:Y61" si="81">Q61*(1+V60+V63)</f>
        <v>0.05748669955</v>
      </c>
      <c r="W61" s="265">
        <f t="shared" si="81"/>
        <v>0.05931064348</v>
      </c>
      <c r="X61" s="265">
        <f t="shared" si="81"/>
        <v>0.0549819998</v>
      </c>
      <c r="Y61" s="265">
        <f t="shared" si="81"/>
        <v>0.05660640103</v>
      </c>
      <c r="Z61" s="266">
        <f>Z10/AVERAGE(Z58,Z52)</f>
        <v>0.226553123</v>
      </c>
      <c r="AA61" s="265">
        <f t="shared" ref="AA61:AD61" si="82">V61*(1+AA60+AA63)</f>
        <v>0.06007360103</v>
      </c>
      <c r="AB61" s="265">
        <f t="shared" si="82"/>
        <v>0.06197962244</v>
      </c>
      <c r="AC61" s="265">
        <f t="shared" si="82"/>
        <v>0.05745618979</v>
      </c>
      <c r="AD61" s="265">
        <f t="shared" si="82"/>
        <v>0.05915368907</v>
      </c>
      <c r="AE61" s="266">
        <f>AE10/AVERAGE(AE58,AE52)</f>
        <v>0.2368540524</v>
      </c>
      <c r="AF61" s="265">
        <f t="shared" ref="AF61:AI61" si="83">AA61*(1+AF60+AF63)</f>
        <v>0.06217617707</v>
      </c>
      <c r="AG61" s="265">
        <f t="shared" si="83"/>
        <v>0.06414890922</v>
      </c>
      <c r="AH61" s="265">
        <f t="shared" si="83"/>
        <v>0.05946715643</v>
      </c>
      <c r="AI61" s="265">
        <f t="shared" si="83"/>
        <v>0.06122406819</v>
      </c>
      <c r="AJ61" s="266">
        <f>AJ10/AVERAGE(AJ58,AJ52)</f>
        <v>0.2452528239</v>
      </c>
      <c r="AK61" s="265">
        <f t="shared" ref="AK61:AN61" si="84">AF61*(1+AK60+AK63)</f>
        <v>0.06435234326</v>
      </c>
      <c r="AL61" s="265">
        <f t="shared" si="84"/>
        <v>0.06639412105</v>
      </c>
      <c r="AM61" s="265">
        <f t="shared" si="84"/>
        <v>0.06154850691</v>
      </c>
      <c r="AN61" s="265">
        <f t="shared" si="84"/>
        <v>0.06336691058</v>
      </c>
      <c r="AO61" s="266">
        <f>AO10/AVERAGE(AO58,AO52)</f>
        <v>0.253922053</v>
      </c>
      <c r="AP61" s="238"/>
      <c r="AQ61" s="253"/>
      <c r="AR61" s="238"/>
      <c r="AS61" s="238"/>
      <c r="AT61" s="238"/>
      <c r="AU61" s="238"/>
      <c r="AV61" s="253"/>
      <c r="AW61" s="238"/>
      <c r="AX61" s="238"/>
      <c r="AY61" s="238"/>
      <c r="AZ61" s="238"/>
      <c r="BA61" s="253"/>
      <c r="BB61" s="238"/>
      <c r="BC61" s="238"/>
      <c r="BD61" s="238"/>
      <c r="BE61" s="238"/>
      <c r="BF61" s="253"/>
      <c r="BG61" s="238"/>
    </row>
    <row r="62" ht="10.5" customHeight="1">
      <c r="A62" s="183" t="s">
        <v>212</v>
      </c>
      <c r="B62" s="220" t="str">
        <f t="shared" ref="B62:F62" si="85">IFERROR(B61/#REF!-1,"na")</f>
        <v>na</v>
      </c>
      <c r="C62" s="220" t="str">
        <f t="shared" si="85"/>
        <v>na</v>
      </c>
      <c r="D62" s="220" t="str">
        <f t="shared" si="85"/>
        <v>na</v>
      </c>
      <c r="E62" s="220" t="str">
        <f t="shared" si="85"/>
        <v>na</v>
      </c>
      <c r="F62" s="221" t="str">
        <f t="shared" si="85"/>
        <v>na</v>
      </c>
      <c r="G62" s="220">
        <f t="shared" ref="G62:AO62" si="86">IFERROR(G61/B61-1,"na")</f>
        <v>0.05658190871</v>
      </c>
      <c r="H62" s="220">
        <f t="shared" si="86"/>
        <v>0.03065253456</v>
      </c>
      <c r="I62" s="220">
        <f t="shared" si="86"/>
        <v>-0.01033798853</v>
      </c>
      <c r="J62" s="220">
        <f t="shared" si="86"/>
        <v>0.05419488946</v>
      </c>
      <c r="K62" s="221">
        <f t="shared" si="86"/>
        <v>0.02943655257</v>
      </c>
      <c r="L62" s="220">
        <f t="shared" si="86"/>
        <v>0.05176471676</v>
      </c>
      <c r="M62" s="220">
        <f t="shared" si="86"/>
        <v>0.05594613232</v>
      </c>
      <c r="N62" s="220">
        <f t="shared" si="86"/>
        <v>0.05081298263</v>
      </c>
      <c r="O62" s="220">
        <f t="shared" si="86"/>
        <v>0.035</v>
      </c>
      <c r="P62" s="221">
        <f t="shared" si="86"/>
        <v>0.0460882206</v>
      </c>
      <c r="Q62" s="220">
        <f t="shared" si="86"/>
        <v>0.155</v>
      </c>
      <c r="R62" s="220">
        <f t="shared" si="86"/>
        <v>0.155</v>
      </c>
      <c r="S62" s="220">
        <f t="shared" si="86"/>
        <v>0.15</v>
      </c>
      <c r="T62" s="220">
        <f t="shared" si="86"/>
        <v>0.15</v>
      </c>
      <c r="U62" s="221">
        <f t="shared" si="86"/>
        <v>0.153523269</v>
      </c>
      <c r="V62" s="220">
        <f t="shared" si="86"/>
        <v>0.06</v>
      </c>
      <c r="W62" s="220">
        <f t="shared" si="86"/>
        <v>0.06</v>
      </c>
      <c r="X62" s="220">
        <f t="shared" si="86"/>
        <v>0.05</v>
      </c>
      <c r="Y62" s="220">
        <f t="shared" si="86"/>
        <v>0.05</v>
      </c>
      <c r="Z62" s="221">
        <f t="shared" si="86"/>
        <v>0.0566307625</v>
      </c>
      <c r="AA62" s="220">
        <f t="shared" si="86"/>
        <v>0.045</v>
      </c>
      <c r="AB62" s="220">
        <f t="shared" si="86"/>
        <v>0.045</v>
      </c>
      <c r="AC62" s="220">
        <f t="shared" si="86"/>
        <v>0.045</v>
      </c>
      <c r="AD62" s="220">
        <f t="shared" si="86"/>
        <v>0.045</v>
      </c>
      <c r="AE62" s="221">
        <f t="shared" si="86"/>
        <v>0.04546805332</v>
      </c>
      <c r="AF62" s="220">
        <f t="shared" si="86"/>
        <v>0.035</v>
      </c>
      <c r="AG62" s="220">
        <f t="shared" si="86"/>
        <v>0.035</v>
      </c>
      <c r="AH62" s="220">
        <f t="shared" si="86"/>
        <v>0.035</v>
      </c>
      <c r="AI62" s="220">
        <f t="shared" si="86"/>
        <v>0.035</v>
      </c>
      <c r="AJ62" s="221">
        <f t="shared" si="86"/>
        <v>0.03545969095</v>
      </c>
      <c r="AK62" s="220">
        <f t="shared" si="86"/>
        <v>0.035</v>
      </c>
      <c r="AL62" s="220">
        <f t="shared" si="86"/>
        <v>0.035</v>
      </c>
      <c r="AM62" s="220">
        <f t="shared" si="86"/>
        <v>0.035</v>
      </c>
      <c r="AN62" s="220">
        <f t="shared" si="86"/>
        <v>0.035</v>
      </c>
      <c r="AO62" s="221">
        <f t="shared" si="86"/>
        <v>0.03534813149</v>
      </c>
      <c r="AP62" s="165"/>
      <c r="AQ62" s="187"/>
      <c r="AR62" s="165"/>
      <c r="AS62" s="165"/>
      <c r="AT62" s="165"/>
      <c r="AU62" s="165"/>
      <c r="AV62" s="187"/>
      <c r="AW62" s="165"/>
      <c r="AX62" s="165"/>
      <c r="AY62" s="165"/>
      <c r="AZ62" s="165"/>
      <c r="BA62" s="187"/>
      <c r="BB62" s="165"/>
      <c r="BC62" s="165"/>
      <c r="BD62" s="165"/>
      <c r="BE62" s="165"/>
      <c r="BF62" s="187"/>
      <c r="BG62" s="165"/>
    </row>
    <row r="63" ht="10.5" customHeight="1">
      <c r="A63" s="183" t="s">
        <v>252</v>
      </c>
      <c r="B63" s="220"/>
      <c r="C63" s="220"/>
      <c r="D63" s="220"/>
      <c r="E63" s="220"/>
      <c r="F63" s="221"/>
      <c r="G63" s="220">
        <f t="shared" ref="G63:J63" si="87">G62-G60</f>
        <v>-0.006418091285</v>
      </c>
      <c r="H63" s="220">
        <f t="shared" si="87"/>
        <v>-0.01234746544</v>
      </c>
      <c r="I63" s="220">
        <f t="shared" si="87"/>
        <v>-0.05533798853</v>
      </c>
      <c r="J63" s="220">
        <f t="shared" si="87"/>
        <v>-0.002805110535</v>
      </c>
      <c r="K63" s="255">
        <f>AVERAGE(G63:J63)</f>
        <v>-0.01922716395</v>
      </c>
      <c r="L63" s="220">
        <f t="shared" ref="L63:N63" si="88">L62-L60</f>
        <v>-0.01023528324</v>
      </c>
      <c r="M63" s="220">
        <f t="shared" si="88"/>
        <v>-0.02705386768</v>
      </c>
      <c r="N63" s="220">
        <f t="shared" si="88"/>
        <v>-0.02018701737</v>
      </c>
      <c r="O63" s="262">
        <v>-0.01</v>
      </c>
      <c r="P63" s="255">
        <f>AVERAGE(L63:O63)</f>
        <v>-0.01686904207</v>
      </c>
      <c r="Q63" s="262">
        <v>0.095</v>
      </c>
      <c r="R63" s="262">
        <v>0.095</v>
      </c>
      <c r="S63" s="262">
        <v>0.09</v>
      </c>
      <c r="T63" s="262">
        <v>0.09</v>
      </c>
      <c r="U63" s="255">
        <f>AVERAGE(Q63:T63)</f>
        <v>0.0925</v>
      </c>
      <c r="V63" s="262">
        <v>0.01</v>
      </c>
      <c r="W63" s="262">
        <v>0.01</v>
      </c>
      <c r="X63" s="262">
        <v>0.0</v>
      </c>
      <c r="Y63" s="262">
        <v>0.0</v>
      </c>
      <c r="Z63" s="255">
        <f>AVERAGE(V63:Y63)</f>
        <v>0.005</v>
      </c>
      <c r="AA63" s="262">
        <v>0.0</v>
      </c>
      <c r="AB63" s="262">
        <v>0.0</v>
      </c>
      <c r="AC63" s="262">
        <v>0.0</v>
      </c>
      <c r="AD63" s="262">
        <v>0.0</v>
      </c>
      <c r="AE63" s="255">
        <f>AVERAGE(AA63:AD63)</f>
        <v>0</v>
      </c>
      <c r="AF63" s="262">
        <v>0.0</v>
      </c>
      <c r="AG63" s="262">
        <v>0.0</v>
      </c>
      <c r="AH63" s="262">
        <v>0.0</v>
      </c>
      <c r="AI63" s="262">
        <v>0.0</v>
      </c>
      <c r="AJ63" s="255">
        <f>AVERAGE(AF63:AI63)</f>
        <v>0</v>
      </c>
      <c r="AK63" s="262">
        <v>0.0</v>
      </c>
      <c r="AL63" s="262">
        <v>0.0</v>
      </c>
      <c r="AM63" s="262">
        <v>0.0</v>
      </c>
      <c r="AN63" s="262">
        <v>0.0</v>
      </c>
      <c r="AO63" s="255">
        <f>AVERAGE(AK63:AN63)</f>
        <v>0</v>
      </c>
      <c r="AP63" s="165"/>
      <c r="AQ63" s="187"/>
      <c r="AR63" s="165"/>
      <c r="AS63" s="165"/>
      <c r="AT63" s="165"/>
      <c r="AU63" s="165"/>
      <c r="AV63" s="187"/>
      <c r="AW63" s="165"/>
      <c r="AX63" s="165"/>
      <c r="AY63" s="165"/>
      <c r="AZ63" s="165"/>
      <c r="BA63" s="187"/>
      <c r="BB63" s="165"/>
      <c r="BC63" s="165"/>
      <c r="BD63" s="165"/>
      <c r="BE63" s="165"/>
      <c r="BF63" s="187"/>
      <c r="BG63" s="165"/>
    </row>
    <row r="64" ht="10.5" customHeight="1">
      <c r="A64" s="181"/>
      <c r="B64" s="210"/>
      <c r="C64" s="210"/>
      <c r="D64" s="210"/>
      <c r="E64" s="210"/>
      <c r="F64" s="207"/>
      <c r="G64" s="210"/>
      <c r="H64" s="210"/>
      <c r="I64" s="210"/>
      <c r="J64" s="165"/>
      <c r="K64" s="207"/>
      <c r="L64" s="165"/>
      <c r="M64" s="187"/>
      <c r="N64" s="187"/>
      <c r="O64" s="165"/>
      <c r="P64" s="207"/>
      <c r="Q64" s="165"/>
      <c r="R64" s="165"/>
      <c r="S64" s="165"/>
      <c r="T64" s="165"/>
      <c r="U64" s="207"/>
      <c r="V64" s="165"/>
      <c r="W64" s="165"/>
      <c r="X64" s="165"/>
      <c r="Y64" s="165"/>
      <c r="Z64" s="207"/>
      <c r="AA64" s="165"/>
      <c r="AB64" s="165"/>
      <c r="AC64" s="165"/>
      <c r="AD64" s="165"/>
      <c r="AE64" s="207"/>
      <c r="AF64" s="165"/>
      <c r="AG64" s="165"/>
      <c r="AH64" s="165"/>
      <c r="AI64" s="165"/>
      <c r="AJ64" s="207"/>
      <c r="AK64" s="165"/>
      <c r="AL64" s="165"/>
      <c r="AM64" s="165"/>
      <c r="AN64" s="165"/>
      <c r="AO64" s="207"/>
      <c r="AP64" s="165"/>
      <c r="AQ64" s="187"/>
      <c r="AR64" s="165"/>
      <c r="AS64" s="165"/>
      <c r="AT64" s="165"/>
      <c r="AU64" s="165"/>
      <c r="AV64" s="187"/>
      <c r="AW64" s="165"/>
      <c r="AX64" s="165"/>
      <c r="AY64" s="165"/>
      <c r="AZ64" s="165"/>
      <c r="BA64" s="187"/>
      <c r="BB64" s="165"/>
      <c r="BC64" s="165"/>
      <c r="BD64" s="165"/>
      <c r="BE64" s="165"/>
      <c r="BF64" s="187"/>
      <c r="BG64" s="165"/>
    </row>
    <row r="65" ht="10.5" customHeight="1">
      <c r="A65" s="181" t="s">
        <v>237</v>
      </c>
      <c r="B65" s="210"/>
      <c r="C65" s="210"/>
      <c r="D65" s="210"/>
      <c r="E65" s="210"/>
      <c r="F65" s="207"/>
      <c r="G65" s="210"/>
      <c r="H65" s="210"/>
      <c r="I65" s="210"/>
      <c r="J65" s="165"/>
      <c r="K65" s="207"/>
      <c r="L65" s="165"/>
      <c r="M65" s="187"/>
      <c r="N65" s="187"/>
      <c r="O65" s="165"/>
      <c r="P65" s="207"/>
      <c r="Q65" s="165"/>
      <c r="R65" s="165"/>
      <c r="S65" s="165"/>
      <c r="T65" s="165"/>
      <c r="U65" s="207"/>
      <c r="V65" s="165"/>
      <c r="W65" s="165"/>
      <c r="X65" s="165"/>
      <c r="Y65" s="165"/>
      <c r="Z65" s="207"/>
      <c r="AA65" s="165"/>
      <c r="AB65" s="165"/>
      <c r="AC65" s="165"/>
      <c r="AD65" s="165"/>
      <c r="AE65" s="207"/>
      <c r="AF65" s="165"/>
      <c r="AG65" s="165"/>
      <c r="AH65" s="165"/>
      <c r="AI65" s="165"/>
      <c r="AJ65" s="207"/>
      <c r="AK65" s="165"/>
      <c r="AL65" s="165"/>
      <c r="AM65" s="165"/>
      <c r="AN65" s="165"/>
      <c r="AO65" s="207"/>
      <c r="AP65" s="165"/>
      <c r="AQ65" s="187"/>
      <c r="AR65" s="165"/>
      <c r="AS65" s="165"/>
      <c r="AT65" s="165"/>
      <c r="AU65" s="165"/>
      <c r="AV65" s="187"/>
      <c r="AW65" s="165"/>
      <c r="AX65" s="165"/>
      <c r="AY65" s="165"/>
      <c r="AZ65" s="165"/>
      <c r="BA65" s="187"/>
      <c r="BB65" s="165"/>
      <c r="BC65" s="165"/>
      <c r="BD65" s="165"/>
      <c r="BE65" s="165"/>
      <c r="BF65" s="187"/>
      <c r="BG65" s="165"/>
    </row>
    <row r="66" ht="10.5" customHeight="1">
      <c r="A66" s="181" t="s">
        <v>232</v>
      </c>
      <c r="B66" s="193">
        <f>'Income Statement'!B138</f>
        <v>212</v>
      </c>
      <c r="C66" s="193">
        <f>'Income Statement'!C138</f>
        <v>213</v>
      </c>
      <c r="D66" s="193">
        <f>'Income Statement'!D138</f>
        <v>220</v>
      </c>
      <c r="E66" s="193">
        <f>'Income Statement'!E138</f>
        <v>222</v>
      </c>
      <c r="F66" s="194">
        <f>'Income Statement'!F138</f>
        <v>234</v>
      </c>
      <c r="G66" s="193">
        <f>'Income Statement'!G138</f>
        <v>256</v>
      </c>
      <c r="H66" s="193">
        <f>'Income Statement'!H138</f>
        <v>258</v>
      </c>
      <c r="I66" s="193">
        <f>'Income Statement'!I138</f>
        <v>259</v>
      </c>
      <c r="J66" s="193">
        <f>'Income Statement'!J138</f>
        <v>268</v>
      </c>
      <c r="K66" s="194">
        <f>F72</f>
        <v>256</v>
      </c>
      <c r="L66" s="193">
        <f>'Income Statement'!L138</f>
        <v>277</v>
      </c>
      <c r="M66" s="193">
        <f>'Income Statement'!M138</f>
        <v>280</v>
      </c>
      <c r="N66" s="193">
        <f>'Income Statement'!N138</f>
        <v>283</v>
      </c>
      <c r="O66" s="193">
        <f>N72</f>
        <v>281</v>
      </c>
      <c r="P66" s="194">
        <f>K72</f>
        <v>277</v>
      </c>
      <c r="Q66" s="193">
        <f t="shared" ref="Q66:T66" si="89">P72</f>
        <v>290</v>
      </c>
      <c r="R66" s="193">
        <f t="shared" si="89"/>
        <v>290</v>
      </c>
      <c r="S66" s="193">
        <f t="shared" si="89"/>
        <v>293</v>
      </c>
      <c r="T66" s="193">
        <f t="shared" si="89"/>
        <v>297</v>
      </c>
      <c r="U66" s="194">
        <f>P72</f>
        <v>290</v>
      </c>
      <c r="V66" s="193">
        <f t="shared" ref="V66:Y66" si="90">U72</f>
        <v>306</v>
      </c>
      <c r="W66" s="193">
        <f t="shared" si="90"/>
        <v>309</v>
      </c>
      <c r="X66" s="193">
        <f t="shared" si="90"/>
        <v>313</v>
      </c>
      <c r="Y66" s="193">
        <f t="shared" si="90"/>
        <v>319</v>
      </c>
      <c r="Z66" s="194">
        <f>U72</f>
        <v>306</v>
      </c>
      <c r="AA66" s="193">
        <f t="shared" ref="AA66:AD66" si="91">Z72</f>
        <v>328</v>
      </c>
      <c r="AB66" s="193">
        <f t="shared" si="91"/>
        <v>331</v>
      </c>
      <c r="AC66" s="193">
        <f t="shared" si="91"/>
        <v>335</v>
      </c>
      <c r="AD66" s="193">
        <f t="shared" si="91"/>
        <v>341</v>
      </c>
      <c r="AE66" s="194">
        <f>Z72</f>
        <v>328</v>
      </c>
      <c r="AF66" s="193">
        <f t="shared" ref="AF66:AI66" si="92">AE72</f>
        <v>350</v>
      </c>
      <c r="AG66" s="193">
        <f t="shared" si="92"/>
        <v>353</v>
      </c>
      <c r="AH66" s="193">
        <f t="shared" si="92"/>
        <v>356</v>
      </c>
      <c r="AI66" s="193">
        <f t="shared" si="92"/>
        <v>361</v>
      </c>
      <c r="AJ66" s="194">
        <f>AE72</f>
        <v>350</v>
      </c>
      <c r="AK66" s="193">
        <f t="shared" ref="AK66:AN66" si="93">AJ72</f>
        <v>368</v>
      </c>
      <c r="AL66" s="193">
        <f t="shared" si="93"/>
        <v>371</v>
      </c>
      <c r="AM66" s="193">
        <f t="shared" si="93"/>
        <v>374</v>
      </c>
      <c r="AN66" s="193">
        <f t="shared" si="93"/>
        <v>379</v>
      </c>
      <c r="AO66" s="194">
        <f>AJ72</f>
        <v>368</v>
      </c>
      <c r="AP66" s="238"/>
      <c r="AQ66" s="253"/>
      <c r="AR66" s="238"/>
      <c r="AS66" s="238"/>
      <c r="AT66" s="238"/>
      <c r="AU66" s="238"/>
      <c r="AV66" s="253"/>
      <c r="AW66" s="238"/>
      <c r="AX66" s="238"/>
      <c r="AY66" s="238"/>
      <c r="AZ66" s="238"/>
      <c r="BA66" s="253"/>
      <c r="BB66" s="238"/>
      <c r="BC66" s="238"/>
      <c r="BD66" s="238"/>
      <c r="BE66" s="238"/>
      <c r="BF66" s="253"/>
      <c r="BG66" s="238"/>
    </row>
    <row r="67" ht="10.5" customHeight="1">
      <c r="A67" s="183" t="s">
        <v>212</v>
      </c>
      <c r="B67" s="220" t="str">
        <f t="shared" ref="B67:F67" si="94">IFERROR(B66/#REF!-1,"na")</f>
        <v>na</v>
      </c>
      <c r="C67" s="220" t="str">
        <f t="shared" si="94"/>
        <v>na</v>
      </c>
      <c r="D67" s="220" t="str">
        <f t="shared" si="94"/>
        <v>na</v>
      </c>
      <c r="E67" s="220" t="str">
        <f t="shared" si="94"/>
        <v>na</v>
      </c>
      <c r="F67" s="221" t="str">
        <f t="shared" si="94"/>
        <v>na</v>
      </c>
      <c r="G67" s="220">
        <f t="shared" ref="G67:AO67" si="95">IFERROR(G66/B66-1,"na")</f>
        <v>0.2075471698</v>
      </c>
      <c r="H67" s="220">
        <f t="shared" si="95"/>
        <v>0.2112676056</v>
      </c>
      <c r="I67" s="220">
        <f t="shared" si="95"/>
        <v>0.1772727273</v>
      </c>
      <c r="J67" s="220">
        <f t="shared" si="95"/>
        <v>0.2072072072</v>
      </c>
      <c r="K67" s="221">
        <f t="shared" si="95"/>
        <v>0.09401709402</v>
      </c>
      <c r="L67" s="220">
        <f t="shared" si="95"/>
        <v>0.08203125</v>
      </c>
      <c r="M67" s="220">
        <f t="shared" si="95"/>
        <v>0.08527131783</v>
      </c>
      <c r="N67" s="220">
        <f t="shared" si="95"/>
        <v>0.09266409266</v>
      </c>
      <c r="O67" s="220">
        <f t="shared" si="95"/>
        <v>0.04850746269</v>
      </c>
      <c r="P67" s="221">
        <f t="shared" si="95"/>
        <v>0.08203125</v>
      </c>
      <c r="Q67" s="220">
        <f t="shared" si="95"/>
        <v>0.04693140794</v>
      </c>
      <c r="R67" s="220">
        <f t="shared" si="95"/>
        <v>0.03571428571</v>
      </c>
      <c r="S67" s="220">
        <f t="shared" si="95"/>
        <v>0.03533568905</v>
      </c>
      <c r="T67" s="220">
        <f t="shared" si="95"/>
        <v>0.05693950178</v>
      </c>
      <c r="U67" s="221">
        <f t="shared" si="95"/>
        <v>0.04693140794</v>
      </c>
      <c r="V67" s="220">
        <f t="shared" si="95"/>
        <v>0.05517241379</v>
      </c>
      <c r="W67" s="220">
        <f t="shared" si="95"/>
        <v>0.06551724138</v>
      </c>
      <c r="X67" s="220">
        <f t="shared" si="95"/>
        <v>0.06825938567</v>
      </c>
      <c r="Y67" s="220">
        <f t="shared" si="95"/>
        <v>0.07407407407</v>
      </c>
      <c r="Z67" s="221">
        <f t="shared" si="95"/>
        <v>0.05517241379</v>
      </c>
      <c r="AA67" s="220">
        <f t="shared" si="95"/>
        <v>0.07189542484</v>
      </c>
      <c r="AB67" s="220">
        <f t="shared" si="95"/>
        <v>0.071197411</v>
      </c>
      <c r="AC67" s="220">
        <f t="shared" si="95"/>
        <v>0.07028753994</v>
      </c>
      <c r="AD67" s="220">
        <f t="shared" si="95"/>
        <v>0.06896551724</v>
      </c>
      <c r="AE67" s="221">
        <f t="shared" si="95"/>
        <v>0.07189542484</v>
      </c>
      <c r="AF67" s="220">
        <f t="shared" si="95"/>
        <v>0.06707317073</v>
      </c>
      <c r="AG67" s="220">
        <f t="shared" si="95"/>
        <v>0.0664652568</v>
      </c>
      <c r="AH67" s="220">
        <f t="shared" si="95"/>
        <v>0.06268656716</v>
      </c>
      <c r="AI67" s="220">
        <f t="shared" si="95"/>
        <v>0.05865102639</v>
      </c>
      <c r="AJ67" s="221">
        <f t="shared" si="95"/>
        <v>0.06707317073</v>
      </c>
      <c r="AK67" s="220">
        <f t="shared" si="95"/>
        <v>0.05142857143</v>
      </c>
      <c r="AL67" s="220">
        <f t="shared" si="95"/>
        <v>0.05099150142</v>
      </c>
      <c r="AM67" s="220">
        <f t="shared" si="95"/>
        <v>0.05056179775</v>
      </c>
      <c r="AN67" s="220">
        <f t="shared" si="95"/>
        <v>0.04986149584</v>
      </c>
      <c r="AO67" s="221">
        <f t="shared" si="95"/>
        <v>0.05142857143</v>
      </c>
      <c r="AP67" s="165"/>
      <c r="AQ67" s="187"/>
      <c r="AR67" s="165"/>
      <c r="AS67" s="165"/>
      <c r="AT67" s="165"/>
      <c r="AU67" s="165"/>
      <c r="AV67" s="187"/>
      <c r="AW67" s="165"/>
      <c r="AX67" s="165"/>
      <c r="AY67" s="165"/>
      <c r="AZ67" s="165"/>
      <c r="BA67" s="187"/>
      <c r="BB67" s="165"/>
      <c r="BC67" s="165"/>
      <c r="BD67" s="165"/>
      <c r="BE67" s="165"/>
      <c r="BF67" s="187"/>
      <c r="BG67" s="165"/>
    </row>
    <row r="68" ht="10.5" customHeight="1">
      <c r="A68" s="164" t="s">
        <v>233</v>
      </c>
      <c r="B68" s="186">
        <f>'Income Statement'!B139</f>
        <v>1</v>
      </c>
      <c r="C68" s="186">
        <f>'Income Statement'!C139</f>
        <v>3</v>
      </c>
      <c r="D68" s="186">
        <f>'Income Statement'!D139</f>
        <v>2</v>
      </c>
      <c r="E68" s="186">
        <f>'Income Statement'!E139</f>
        <v>12</v>
      </c>
      <c r="F68" s="185">
        <f>'Income Statement'!F139</f>
        <v>18</v>
      </c>
      <c r="G68" s="186">
        <f>'Income Statement'!G139</f>
        <v>2</v>
      </c>
      <c r="H68" s="186">
        <f>'Income Statement'!H139</f>
        <v>1</v>
      </c>
      <c r="I68" s="186">
        <f>'Income Statement'!I139</f>
        <v>9</v>
      </c>
      <c r="J68" s="186">
        <f>'Income Statement'!J139</f>
        <v>9</v>
      </c>
      <c r="K68" s="185">
        <f>SUM(G68:J68)</f>
        <v>21</v>
      </c>
      <c r="L68" s="186">
        <f>'Income Statement'!L139</f>
        <v>3</v>
      </c>
      <c r="M68" s="186">
        <f>'Income Statement'!M139</f>
        <v>3</v>
      </c>
      <c r="N68" s="186">
        <f>'Income Statement'!N139</f>
        <v>6</v>
      </c>
      <c r="O68" s="184">
        <v>9.0</v>
      </c>
      <c r="P68" s="185">
        <f>SUM(L68:O68)</f>
        <v>21</v>
      </c>
      <c r="Q68" s="184">
        <v>0.0</v>
      </c>
      <c r="R68" s="184">
        <v>3.0</v>
      </c>
      <c r="S68" s="184">
        <v>4.0</v>
      </c>
      <c r="T68" s="184">
        <v>9.0</v>
      </c>
      <c r="U68" s="185">
        <f>SUM(Q68:T68)</f>
        <v>16</v>
      </c>
      <c r="V68" s="184">
        <v>3.0</v>
      </c>
      <c r="W68" s="184">
        <v>4.0</v>
      </c>
      <c r="X68" s="184">
        <v>6.0</v>
      </c>
      <c r="Y68" s="184">
        <v>9.0</v>
      </c>
      <c r="Z68" s="185">
        <f>SUM(V68:Y68)</f>
        <v>22</v>
      </c>
      <c r="AA68" s="184">
        <v>3.0</v>
      </c>
      <c r="AB68" s="184">
        <v>4.0</v>
      </c>
      <c r="AC68" s="184">
        <v>6.0</v>
      </c>
      <c r="AD68" s="184">
        <v>9.0</v>
      </c>
      <c r="AE68" s="185">
        <f>SUM(AA68:AD68)</f>
        <v>22</v>
      </c>
      <c r="AF68" s="184">
        <v>3.0</v>
      </c>
      <c r="AG68" s="184">
        <v>3.0</v>
      </c>
      <c r="AH68" s="184">
        <v>5.0</v>
      </c>
      <c r="AI68" s="184">
        <v>7.0</v>
      </c>
      <c r="AJ68" s="185">
        <f>SUM(AF68:AI68)</f>
        <v>18</v>
      </c>
      <c r="AK68" s="184">
        <v>3.0</v>
      </c>
      <c r="AL68" s="184">
        <v>3.0</v>
      </c>
      <c r="AM68" s="184">
        <v>5.0</v>
      </c>
      <c r="AN68" s="184">
        <v>7.0</v>
      </c>
      <c r="AO68" s="185">
        <f>SUM(AK68:AN68)</f>
        <v>18</v>
      </c>
      <c r="AP68" s="165"/>
      <c r="AQ68" s="187"/>
      <c r="AR68" s="165"/>
      <c r="AS68" s="165"/>
      <c r="AT68" s="165"/>
      <c r="AU68" s="165"/>
      <c r="AV68" s="187"/>
      <c r="AW68" s="165"/>
      <c r="AX68" s="165"/>
      <c r="AY68" s="165"/>
      <c r="AZ68" s="165"/>
      <c r="BA68" s="187"/>
      <c r="BB68" s="165"/>
      <c r="BC68" s="165"/>
      <c r="BD68" s="165"/>
      <c r="BE68" s="165"/>
      <c r="BF68" s="187"/>
      <c r="BG68" s="165"/>
    </row>
    <row r="69" ht="10.5" customHeight="1">
      <c r="A69" s="183" t="s">
        <v>212</v>
      </c>
      <c r="B69" s="220" t="str">
        <f t="shared" ref="B69:F69" si="96">IFERROR(B68/#REF!-1,"na")</f>
        <v>na</v>
      </c>
      <c r="C69" s="220" t="str">
        <f t="shared" si="96"/>
        <v>na</v>
      </c>
      <c r="D69" s="220" t="str">
        <f t="shared" si="96"/>
        <v>na</v>
      </c>
      <c r="E69" s="220" t="str">
        <f t="shared" si="96"/>
        <v>na</v>
      </c>
      <c r="F69" s="221" t="str">
        <f t="shared" si="96"/>
        <v>na</v>
      </c>
      <c r="G69" s="220">
        <f t="shared" ref="G69:AO69" si="97">IFERROR(G68/B68-1,"na")</f>
        <v>1</v>
      </c>
      <c r="H69" s="220">
        <f t="shared" si="97"/>
        <v>-0.6666666667</v>
      </c>
      <c r="I69" s="220">
        <f t="shared" si="97"/>
        <v>3.5</v>
      </c>
      <c r="J69" s="220">
        <f t="shared" si="97"/>
        <v>-0.25</v>
      </c>
      <c r="K69" s="221">
        <f t="shared" si="97"/>
        <v>0.1666666667</v>
      </c>
      <c r="L69" s="220">
        <f t="shared" si="97"/>
        <v>0.5</v>
      </c>
      <c r="M69" s="220">
        <f t="shared" si="97"/>
        <v>2</v>
      </c>
      <c r="N69" s="220">
        <f t="shared" si="97"/>
        <v>-0.3333333333</v>
      </c>
      <c r="O69" s="220">
        <f t="shared" si="97"/>
        <v>0</v>
      </c>
      <c r="P69" s="221">
        <f t="shared" si="97"/>
        <v>0</v>
      </c>
      <c r="Q69" s="220">
        <f t="shared" si="97"/>
        <v>-1</v>
      </c>
      <c r="R69" s="220">
        <f t="shared" si="97"/>
        <v>0</v>
      </c>
      <c r="S69" s="220">
        <f t="shared" si="97"/>
        <v>-0.3333333333</v>
      </c>
      <c r="T69" s="220">
        <f t="shared" si="97"/>
        <v>0</v>
      </c>
      <c r="U69" s="221">
        <f t="shared" si="97"/>
        <v>-0.2380952381</v>
      </c>
      <c r="V69" s="220" t="str">
        <f t="shared" si="97"/>
        <v>na</v>
      </c>
      <c r="W69" s="220">
        <f t="shared" si="97"/>
        <v>0.3333333333</v>
      </c>
      <c r="X69" s="220">
        <f t="shared" si="97"/>
        <v>0.5</v>
      </c>
      <c r="Y69" s="220">
        <f t="shared" si="97"/>
        <v>0</v>
      </c>
      <c r="Z69" s="221">
        <f t="shared" si="97"/>
        <v>0.375</v>
      </c>
      <c r="AA69" s="220">
        <f t="shared" si="97"/>
        <v>0</v>
      </c>
      <c r="AB69" s="220">
        <f t="shared" si="97"/>
        <v>0</v>
      </c>
      <c r="AC69" s="220">
        <f t="shared" si="97"/>
        <v>0</v>
      </c>
      <c r="AD69" s="220">
        <f t="shared" si="97"/>
        <v>0</v>
      </c>
      <c r="AE69" s="221">
        <f t="shared" si="97"/>
        <v>0</v>
      </c>
      <c r="AF69" s="220">
        <f t="shared" si="97"/>
        <v>0</v>
      </c>
      <c r="AG69" s="220">
        <f t="shared" si="97"/>
        <v>-0.25</v>
      </c>
      <c r="AH69" s="220">
        <f t="shared" si="97"/>
        <v>-0.1666666667</v>
      </c>
      <c r="AI69" s="220">
        <f t="shared" si="97"/>
        <v>-0.2222222222</v>
      </c>
      <c r="AJ69" s="221">
        <f t="shared" si="97"/>
        <v>-0.1818181818</v>
      </c>
      <c r="AK69" s="220">
        <f t="shared" si="97"/>
        <v>0</v>
      </c>
      <c r="AL69" s="220">
        <f t="shared" si="97"/>
        <v>0</v>
      </c>
      <c r="AM69" s="220">
        <f t="shared" si="97"/>
        <v>0</v>
      </c>
      <c r="AN69" s="220">
        <f t="shared" si="97"/>
        <v>0</v>
      </c>
      <c r="AO69" s="221">
        <f t="shared" si="97"/>
        <v>0</v>
      </c>
      <c r="AP69" s="165"/>
      <c r="AQ69" s="187"/>
      <c r="AR69" s="165"/>
      <c r="AS69" s="165"/>
      <c r="AT69" s="165"/>
      <c r="AU69" s="165"/>
      <c r="AV69" s="187"/>
      <c r="AW69" s="165"/>
      <c r="AX69" s="165"/>
      <c r="AY69" s="165"/>
      <c r="AZ69" s="165"/>
      <c r="BA69" s="187"/>
      <c r="BB69" s="165"/>
      <c r="BC69" s="165"/>
      <c r="BD69" s="165"/>
      <c r="BE69" s="165"/>
      <c r="BF69" s="187"/>
      <c r="BG69" s="165"/>
    </row>
    <row r="70" ht="10.5" customHeight="1">
      <c r="A70" s="164" t="s">
        <v>253</v>
      </c>
      <c r="B70" s="186">
        <f>'Income Statement'!B140+'Income Statement'!B141</f>
        <v>0</v>
      </c>
      <c r="C70" s="186">
        <f>'Income Statement'!C140+'Income Statement'!C141</f>
        <v>4</v>
      </c>
      <c r="D70" s="186">
        <f>'Income Statement'!D140+'Income Statement'!D141</f>
        <v>0</v>
      </c>
      <c r="E70" s="186">
        <f>'Income Statement'!E140+'Income Statement'!E141</f>
        <v>0</v>
      </c>
      <c r="F70" s="185">
        <f>'Income Statement'!F140+'Income Statement'!F141</f>
        <v>4</v>
      </c>
      <c r="G70" s="186">
        <f>'Income Statement'!G140+'Income Statement'!G141</f>
        <v>0</v>
      </c>
      <c r="H70" s="186">
        <f>'Income Statement'!H140+'Income Statement'!H141</f>
        <v>0</v>
      </c>
      <c r="I70" s="186">
        <f>'Income Statement'!I140+'Income Statement'!I141</f>
        <v>0</v>
      </c>
      <c r="J70" s="186">
        <f>'Income Statement'!J140+'Income Statement'!J141</f>
        <v>0</v>
      </c>
      <c r="K70" s="185">
        <f>SUM(G70:J70)</f>
        <v>0</v>
      </c>
      <c r="L70" s="186">
        <f>'Income Statement'!L140+'Income Statement'!L141</f>
        <v>0</v>
      </c>
      <c r="M70" s="186">
        <f>'Income Statement'!M140+'Income Statement'!M141</f>
        <v>0</v>
      </c>
      <c r="N70" s="186">
        <f>'Income Statement'!N140+'Income Statement'!N141</f>
        <v>-8</v>
      </c>
      <c r="O70" s="184">
        <v>0.0</v>
      </c>
      <c r="P70" s="185">
        <f>SUM(L70:O70)</f>
        <v>-8</v>
      </c>
      <c r="Q70" s="184">
        <v>0.0</v>
      </c>
      <c r="R70" s="184">
        <v>0.0</v>
      </c>
      <c r="S70" s="184">
        <v>0.0</v>
      </c>
      <c r="T70" s="184">
        <v>0.0</v>
      </c>
      <c r="U70" s="185">
        <f>SUM(Q70:T70)</f>
        <v>0</v>
      </c>
      <c r="V70" s="184">
        <v>0.0</v>
      </c>
      <c r="W70" s="184">
        <v>0.0</v>
      </c>
      <c r="X70" s="184">
        <v>0.0</v>
      </c>
      <c r="Y70" s="184">
        <v>0.0</v>
      </c>
      <c r="Z70" s="185">
        <f>SUM(V70:Y70)</f>
        <v>0</v>
      </c>
      <c r="AA70" s="184">
        <v>0.0</v>
      </c>
      <c r="AB70" s="184">
        <v>0.0</v>
      </c>
      <c r="AC70" s="184">
        <v>0.0</v>
      </c>
      <c r="AD70" s="184">
        <v>0.0</v>
      </c>
      <c r="AE70" s="185">
        <f>SUM(AA70:AD70)</f>
        <v>0</v>
      </c>
      <c r="AF70" s="184">
        <v>0.0</v>
      </c>
      <c r="AG70" s="184">
        <v>0.0</v>
      </c>
      <c r="AH70" s="184">
        <v>0.0</v>
      </c>
      <c r="AI70" s="184">
        <v>0.0</v>
      </c>
      <c r="AJ70" s="185">
        <f>SUM(AF70:AI70)</f>
        <v>0</v>
      </c>
      <c r="AK70" s="184">
        <v>0.0</v>
      </c>
      <c r="AL70" s="184">
        <v>0.0</v>
      </c>
      <c r="AM70" s="184">
        <v>0.0</v>
      </c>
      <c r="AN70" s="184">
        <v>0.0</v>
      </c>
      <c r="AO70" s="185">
        <f>SUM(AK70:AN70)</f>
        <v>0</v>
      </c>
      <c r="AP70" s="165"/>
      <c r="AQ70" s="187"/>
      <c r="AR70" s="165"/>
      <c r="AS70" s="165"/>
      <c r="AT70" s="165"/>
      <c r="AU70" s="165"/>
      <c r="AV70" s="187"/>
      <c r="AW70" s="165"/>
      <c r="AX70" s="165"/>
      <c r="AY70" s="165"/>
      <c r="AZ70" s="165"/>
      <c r="BA70" s="187"/>
      <c r="BB70" s="165"/>
      <c r="BC70" s="165"/>
      <c r="BD70" s="165"/>
      <c r="BE70" s="165"/>
      <c r="BF70" s="187"/>
      <c r="BG70" s="165"/>
    </row>
    <row r="71" ht="10.5" customHeight="1">
      <c r="A71" s="183" t="s">
        <v>212</v>
      </c>
      <c r="B71" s="220" t="str">
        <f t="shared" ref="B71:F71" si="98">IFERROR(B70/#REF!-1,"na")</f>
        <v>na</v>
      </c>
      <c r="C71" s="220" t="str">
        <f t="shared" si="98"/>
        <v>na</v>
      </c>
      <c r="D71" s="220" t="str">
        <f t="shared" si="98"/>
        <v>na</v>
      </c>
      <c r="E71" s="220" t="str">
        <f t="shared" si="98"/>
        <v>na</v>
      </c>
      <c r="F71" s="221" t="str">
        <f t="shared" si="98"/>
        <v>na</v>
      </c>
      <c r="G71" s="220" t="str">
        <f t="shared" ref="G71:AO71" si="99">IFERROR(G70/B70-1,"na")</f>
        <v>na</v>
      </c>
      <c r="H71" s="220">
        <f t="shared" si="99"/>
        <v>-1</v>
      </c>
      <c r="I71" s="220" t="str">
        <f t="shared" si="99"/>
        <v>na</v>
      </c>
      <c r="J71" s="220" t="str">
        <f t="shared" si="99"/>
        <v>na</v>
      </c>
      <c r="K71" s="221">
        <f t="shared" si="99"/>
        <v>-1</v>
      </c>
      <c r="L71" s="220" t="str">
        <f t="shared" si="99"/>
        <v>na</v>
      </c>
      <c r="M71" s="220" t="str">
        <f t="shared" si="99"/>
        <v>na</v>
      </c>
      <c r="N71" s="220" t="str">
        <f t="shared" si="99"/>
        <v>na</v>
      </c>
      <c r="O71" s="220" t="str">
        <f t="shared" si="99"/>
        <v>na</v>
      </c>
      <c r="P71" s="221" t="str">
        <f t="shared" si="99"/>
        <v>na</v>
      </c>
      <c r="Q71" s="220" t="str">
        <f t="shared" si="99"/>
        <v>na</v>
      </c>
      <c r="R71" s="220" t="str">
        <f t="shared" si="99"/>
        <v>na</v>
      </c>
      <c r="S71" s="220">
        <f t="shared" si="99"/>
        <v>-1</v>
      </c>
      <c r="T71" s="220" t="str">
        <f t="shared" si="99"/>
        <v>na</v>
      </c>
      <c r="U71" s="221">
        <f t="shared" si="99"/>
        <v>-1</v>
      </c>
      <c r="V71" s="220" t="str">
        <f t="shared" si="99"/>
        <v>na</v>
      </c>
      <c r="W71" s="220" t="str">
        <f t="shared" si="99"/>
        <v>na</v>
      </c>
      <c r="X71" s="220" t="str">
        <f t="shared" si="99"/>
        <v>na</v>
      </c>
      <c r="Y71" s="220" t="str">
        <f t="shared" si="99"/>
        <v>na</v>
      </c>
      <c r="Z71" s="221" t="str">
        <f t="shared" si="99"/>
        <v>na</v>
      </c>
      <c r="AA71" s="220" t="str">
        <f t="shared" si="99"/>
        <v>na</v>
      </c>
      <c r="AB71" s="220" t="str">
        <f t="shared" si="99"/>
        <v>na</v>
      </c>
      <c r="AC71" s="220" t="str">
        <f t="shared" si="99"/>
        <v>na</v>
      </c>
      <c r="AD71" s="220" t="str">
        <f t="shared" si="99"/>
        <v>na</v>
      </c>
      <c r="AE71" s="221" t="str">
        <f t="shared" si="99"/>
        <v>na</v>
      </c>
      <c r="AF71" s="220" t="str">
        <f t="shared" si="99"/>
        <v>na</v>
      </c>
      <c r="AG71" s="220" t="str">
        <f t="shared" si="99"/>
        <v>na</v>
      </c>
      <c r="AH71" s="220" t="str">
        <f t="shared" si="99"/>
        <v>na</v>
      </c>
      <c r="AI71" s="220" t="str">
        <f t="shared" si="99"/>
        <v>na</v>
      </c>
      <c r="AJ71" s="221" t="str">
        <f t="shared" si="99"/>
        <v>na</v>
      </c>
      <c r="AK71" s="220" t="str">
        <f t="shared" si="99"/>
        <v>na</v>
      </c>
      <c r="AL71" s="220" t="str">
        <f t="shared" si="99"/>
        <v>na</v>
      </c>
      <c r="AM71" s="220" t="str">
        <f t="shared" si="99"/>
        <v>na</v>
      </c>
      <c r="AN71" s="220" t="str">
        <f t="shared" si="99"/>
        <v>na</v>
      </c>
      <c r="AO71" s="221" t="str">
        <f t="shared" si="99"/>
        <v>na</v>
      </c>
      <c r="AP71" s="165"/>
      <c r="AQ71" s="187"/>
      <c r="AR71" s="165"/>
      <c r="AS71" s="165"/>
      <c r="AT71" s="165"/>
      <c r="AU71" s="165"/>
      <c r="AV71" s="187"/>
      <c r="AW71" s="165"/>
      <c r="AX71" s="165"/>
      <c r="AY71" s="165"/>
      <c r="AZ71" s="165"/>
      <c r="BA71" s="187"/>
      <c r="BB71" s="165"/>
      <c r="BC71" s="165"/>
      <c r="BD71" s="165"/>
      <c r="BE71" s="165"/>
      <c r="BF71" s="187"/>
      <c r="BG71" s="165"/>
    </row>
    <row r="72" ht="10.5" customHeight="1">
      <c r="A72" s="181" t="s">
        <v>236</v>
      </c>
      <c r="B72" s="193">
        <f t="shared" ref="B72:AO72" si="100">B66+B68+B70</f>
        <v>213</v>
      </c>
      <c r="C72" s="193">
        <f t="shared" si="100"/>
        <v>220</v>
      </c>
      <c r="D72" s="193">
        <f t="shared" si="100"/>
        <v>222</v>
      </c>
      <c r="E72" s="193">
        <f t="shared" si="100"/>
        <v>234</v>
      </c>
      <c r="F72" s="194">
        <f t="shared" si="100"/>
        <v>256</v>
      </c>
      <c r="G72" s="193">
        <f t="shared" si="100"/>
        <v>258</v>
      </c>
      <c r="H72" s="193">
        <f t="shared" si="100"/>
        <v>259</v>
      </c>
      <c r="I72" s="193">
        <f t="shared" si="100"/>
        <v>268</v>
      </c>
      <c r="J72" s="193">
        <f t="shared" si="100"/>
        <v>277</v>
      </c>
      <c r="K72" s="194">
        <f t="shared" si="100"/>
        <v>277</v>
      </c>
      <c r="L72" s="193">
        <f t="shared" si="100"/>
        <v>280</v>
      </c>
      <c r="M72" s="193">
        <f t="shared" si="100"/>
        <v>283</v>
      </c>
      <c r="N72" s="193">
        <f t="shared" si="100"/>
        <v>281</v>
      </c>
      <c r="O72" s="193">
        <f t="shared" si="100"/>
        <v>290</v>
      </c>
      <c r="P72" s="194">
        <f t="shared" si="100"/>
        <v>290</v>
      </c>
      <c r="Q72" s="193">
        <f t="shared" si="100"/>
        <v>290</v>
      </c>
      <c r="R72" s="193">
        <f t="shared" si="100"/>
        <v>293</v>
      </c>
      <c r="S72" s="193">
        <f t="shared" si="100"/>
        <v>297</v>
      </c>
      <c r="T72" s="193">
        <f t="shared" si="100"/>
        <v>306</v>
      </c>
      <c r="U72" s="194">
        <f t="shared" si="100"/>
        <v>306</v>
      </c>
      <c r="V72" s="193">
        <f t="shared" si="100"/>
        <v>309</v>
      </c>
      <c r="W72" s="193">
        <f t="shared" si="100"/>
        <v>313</v>
      </c>
      <c r="X72" s="193">
        <f t="shared" si="100"/>
        <v>319</v>
      </c>
      <c r="Y72" s="193">
        <f t="shared" si="100"/>
        <v>328</v>
      </c>
      <c r="Z72" s="194">
        <f t="shared" si="100"/>
        <v>328</v>
      </c>
      <c r="AA72" s="193">
        <f t="shared" si="100"/>
        <v>331</v>
      </c>
      <c r="AB72" s="193">
        <f t="shared" si="100"/>
        <v>335</v>
      </c>
      <c r="AC72" s="193">
        <f t="shared" si="100"/>
        <v>341</v>
      </c>
      <c r="AD72" s="193">
        <f t="shared" si="100"/>
        <v>350</v>
      </c>
      <c r="AE72" s="194">
        <f t="shared" si="100"/>
        <v>350</v>
      </c>
      <c r="AF72" s="193">
        <f t="shared" si="100"/>
        <v>353</v>
      </c>
      <c r="AG72" s="193">
        <f t="shared" si="100"/>
        <v>356</v>
      </c>
      <c r="AH72" s="193">
        <f t="shared" si="100"/>
        <v>361</v>
      </c>
      <c r="AI72" s="193">
        <f t="shared" si="100"/>
        <v>368</v>
      </c>
      <c r="AJ72" s="194">
        <f t="shared" si="100"/>
        <v>368</v>
      </c>
      <c r="AK72" s="193">
        <f t="shared" si="100"/>
        <v>371</v>
      </c>
      <c r="AL72" s="193">
        <f t="shared" si="100"/>
        <v>374</v>
      </c>
      <c r="AM72" s="193">
        <f t="shared" si="100"/>
        <v>379</v>
      </c>
      <c r="AN72" s="193">
        <f t="shared" si="100"/>
        <v>386</v>
      </c>
      <c r="AO72" s="194">
        <f t="shared" si="100"/>
        <v>386</v>
      </c>
      <c r="AP72" s="238"/>
      <c r="AQ72" s="253"/>
      <c r="AR72" s="238"/>
      <c r="AS72" s="238"/>
      <c r="AT72" s="238"/>
      <c r="AU72" s="238"/>
      <c r="AV72" s="253"/>
      <c r="AW72" s="238"/>
      <c r="AX72" s="238"/>
      <c r="AY72" s="238"/>
      <c r="AZ72" s="238"/>
      <c r="BA72" s="253"/>
      <c r="BB72" s="238"/>
      <c r="BC72" s="238"/>
      <c r="BD72" s="238"/>
      <c r="BE72" s="238"/>
      <c r="BF72" s="253"/>
      <c r="BG72" s="238"/>
    </row>
    <row r="73" ht="10.5" customHeight="1">
      <c r="A73" s="183" t="s">
        <v>212</v>
      </c>
      <c r="B73" s="220" t="str">
        <f t="shared" ref="B73:F73" si="101">IFERROR(B72/#REF!-1,"na")</f>
        <v>na</v>
      </c>
      <c r="C73" s="220" t="str">
        <f t="shared" si="101"/>
        <v>na</v>
      </c>
      <c r="D73" s="220" t="str">
        <f t="shared" si="101"/>
        <v>na</v>
      </c>
      <c r="E73" s="220" t="str">
        <f t="shared" si="101"/>
        <v>na</v>
      </c>
      <c r="F73" s="221" t="str">
        <f t="shared" si="101"/>
        <v>na</v>
      </c>
      <c r="G73" s="220">
        <f t="shared" ref="G73:AO73" si="102">IFERROR(G72/B72-1,"na")</f>
        <v>0.2112676056</v>
      </c>
      <c r="H73" s="220">
        <f t="shared" si="102"/>
        <v>0.1772727273</v>
      </c>
      <c r="I73" s="220">
        <f t="shared" si="102"/>
        <v>0.2072072072</v>
      </c>
      <c r="J73" s="220">
        <f t="shared" si="102"/>
        <v>0.1837606838</v>
      </c>
      <c r="K73" s="221">
        <f t="shared" si="102"/>
        <v>0.08203125</v>
      </c>
      <c r="L73" s="220">
        <f t="shared" si="102"/>
        <v>0.08527131783</v>
      </c>
      <c r="M73" s="220">
        <f t="shared" si="102"/>
        <v>0.09266409266</v>
      </c>
      <c r="N73" s="220">
        <f t="shared" si="102"/>
        <v>0.04850746269</v>
      </c>
      <c r="O73" s="220">
        <f t="shared" si="102"/>
        <v>0.04693140794</v>
      </c>
      <c r="P73" s="221">
        <f t="shared" si="102"/>
        <v>0.04693140794</v>
      </c>
      <c r="Q73" s="220">
        <f t="shared" si="102"/>
        <v>0.03571428571</v>
      </c>
      <c r="R73" s="220">
        <f t="shared" si="102"/>
        <v>0.03533568905</v>
      </c>
      <c r="S73" s="220">
        <f t="shared" si="102"/>
        <v>0.05693950178</v>
      </c>
      <c r="T73" s="220">
        <f t="shared" si="102"/>
        <v>0.05517241379</v>
      </c>
      <c r="U73" s="221">
        <f t="shared" si="102"/>
        <v>0.05517241379</v>
      </c>
      <c r="V73" s="220">
        <f t="shared" si="102"/>
        <v>0.06551724138</v>
      </c>
      <c r="W73" s="220">
        <f t="shared" si="102"/>
        <v>0.06825938567</v>
      </c>
      <c r="X73" s="220">
        <f t="shared" si="102"/>
        <v>0.07407407407</v>
      </c>
      <c r="Y73" s="220">
        <f t="shared" si="102"/>
        <v>0.07189542484</v>
      </c>
      <c r="Z73" s="221">
        <f t="shared" si="102"/>
        <v>0.07189542484</v>
      </c>
      <c r="AA73" s="220">
        <f t="shared" si="102"/>
        <v>0.071197411</v>
      </c>
      <c r="AB73" s="220">
        <f t="shared" si="102"/>
        <v>0.07028753994</v>
      </c>
      <c r="AC73" s="220">
        <f t="shared" si="102"/>
        <v>0.06896551724</v>
      </c>
      <c r="AD73" s="220">
        <f t="shared" si="102"/>
        <v>0.06707317073</v>
      </c>
      <c r="AE73" s="221">
        <f t="shared" si="102"/>
        <v>0.06707317073</v>
      </c>
      <c r="AF73" s="220">
        <f t="shared" si="102"/>
        <v>0.0664652568</v>
      </c>
      <c r="AG73" s="220">
        <f t="shared" si="102"/>
        <v>0.06268656716</v>
      </c>
      <c r="AH73" s="220">
        <f t="shared" si="102"/>
        <v>0.05865102639</v>
      </c>
      <c r="AI73" s="220">
        <f t="shared" si="102"/>
        <v>0.05142857143</v>
      </c>
      <c r="AJ73" s="221">
        <f t="shared" si="102"/>
        <v>0.05142857143</v>
      </c>
      <c r="AK73" s="220">
        <f t="shared" si="102"/>
        <v>0.05099150142</v>
      </c>
      <c r="AL73" s="220">
        <f t="shared" si="102"/>
        <v>0.05056179775</v>
      </c>
      <c r="AM73" s="220">
        <f t="shared" si="102"/>
        <v>0.04986149584</v>
      </c>
      <c r="AN73" s="220">
        <f t="shared" si="102"/>
        <v>0.04891304348</v>
      </c>
      <c r="AO73" s="221">
        <f t="shared" si="102"/>
        <v>0.04891304348</v>
      </c>
      <c r="AP73" s="165"/>
      <c r="AQ73" s="187"/>
      <c r="AR73" s="165"/>
      <c r="AS73" s="165"/>
      <c r="AT73" s="165"/>
      <c r="AU73" s="165"/>
      <c r="AV73" s="187"/>
      <c r="AW73" s="165"/>
      <c r="AX73" s="165"/>
      <c r="AY73" s="165"/>
      <c r="AZ73" s="165"/>
      <c r="BA73" s="187"/>
      <c r="BB73" s="165"/>
      <c r="BC73" s="165"/>
      <c r="BD73" s="165"/>
      <c r="BE73" s="165"/>
      <c r="BF73" s="187"/>
      <c r="BG73" s="165"/>
    </row>
    <row r="74" ht="10.5" customHeight="1">
      <c r="A74" s="164" t="s">
        <v>250</v>
      </c>
      <c r="B74" s="262">
        <v>0.121</v>
      </c>
      <c r="C74" s="262">
        <v>0.102</v>
      </c>
      <c r="D74" s="262">
        <v>0.101</v>
      </c>
      <c r="E74" s="254">
        <f>(F74*4)-D74-C74-B74</f>
        <v>0.08</v>
      </c>
      <c r="F74" s="263">
        <v>0.101</v>
      </c>
      <c r="G74" s="258">
        <v>0.062</v>
      </c>
      <c r="H74" s="258">
        <v>0.04</v>
      </c>
      <c r="I74" s="262">
        <v>0.034</v>
      </c>
      <c r="J74" s="254">
        <f>(K74*4)-I74-H74-G74</f>
        <v>0.044</v>
      </c>
      <c r="K74" s="264">
        <v>0.045</v>
      </c>
      <c r="L74" s="258">
        <v>0.051</v>
      </c>
      <c r="M74" s="258">
        <v>0.07</v>
      </c>
      <c r="N74" s="258">
        <v>0.06</v>
      </c>
      <c r="O74" s="258">
        <v>0.04</v>
      </c>
      <c r="P74" s="264">
        <f>AVERAGE(L74:O74)</f>
        <v>0.05525</v>
      </c>
      <c r="Q74" s="258">
        <v>0.05</v>
      </c>
      <c r="R74" s="258">
        <v>0.05</v>
      </c>
      <c r="S74" s="258">
        <v>0.05</v>
      </c>
      <c r="T74" s="258">
        <v>0.05</v>
      </c>
      <c r="U74" s="264">
        <f>AVERAGE(Q74:T74)</f>
        <v>0.05</v>
      </c>
      <c r="V74" s="258">
        <v>0.045</v>
      </c>
      <c r="W74" s="258">
        <v>0.045</v>
      </c>
      <c r="X74" s="258">
        <v>0.045</v>
      </c>
      <c r="Y74" s="258">
        <v>0.045</v>
      </c>
      <c r="Z74" s="264">
        <f>AVERAGE(V74:Y74)</f>
        <v>0.045</v>
      </c>
      <c r="AA74" s="258">
        <v>0.035</v>
      </c>
      <c r="AB74" s="258">
        <v>0.035</v>
      </c>
      <c r="AC74" s="258">
        <v>0.035</v>
      </c>
      <c r="AD74" s="258">
        <v>0.035</v>
      </c>
      <c r="AE74" s="264">
        <f>AVERAGE(AA74:AD74)</f>
        <v>0.035</v>
      </c>
      <c r="AF74" s="258">
        <v>0.035</v>
      </c>
      <c r="AG74" s="258">
        <v>0.035</v>
      </c>
      <c r="AH74" s="258">
        <v>0.035</v>
      </c>
      <c r="AI74" s="258">
        <v>0.035</v>
      </c>
      <c r="AJ74" s="264">
        <f>AVERAGE(AF74:AI74)</f>
        <v>0.035</v>
      </c>
      <c r="AK74" s="258">
        <v>0.025</v>
      </c>
      <c r="AL74" s="258">
        <v>0.025</v>
      </c>
      <c r="AM74" s="258">
        <v>0.025</v>
      </c>
      <c r="AN74" s="258">
        <v>0.025</v>
      </c>
      <c r="AO74" s="264">
        <f>AVERAGE(AK74:AN74)</f>
        <v>0.025</v>
      </c>
      <c r="AP74" s="267"/>
      <c r="AQ74" s="268"/>
      <c r="AR74" s="267"/>
      <c r="AS74" s="267"/>
      <c r="AT74" s="267"/>
      <c r="AU74" s="267"/>
      <c r="AV74" s="268"/>
      <c r="AW74" s="267"/>
      <c r="AX74" s="267"/>
      <c r="AY74" s="267"/>
      <c r="AZ74" s="267"/>
      <c r="BA74" s="268"/>
      <c r="BB74" s="267"/>
      <c r="BC74" s="267"/>
      <c r="BD74" s="267"/>
      <c r="BE74" s="267"/>
      <c r="BF74" s="268"/>
      <c r="BG74" s="267"/>
    </row>
    <row r="75" ht="10.5" customHeight="1">
      <c r="A75" s="181" t="s">
        <v>251</v>
      </c>
      <c r="B75" s="265">
        <f t="shared" ref="B75:N75" si="103">B14/AVERAGE(B72,B66)</f>
        <v>0.4982682353</v>
      </c>
      <c r="C75" s="265">
        <f t="shared" si="103"/>
        <v>0.5254457275</v>
      </c>
      <c r="D75" s="265">
        <f t="shared" si="103"/>
        <v>0.5124208145</v>
      </c>
      <c r="E75" s="265">
        <f t="shared" si="103"/>
        <v>0.5105701754</v>
      </c>
      <c r="F75" s="266">
        <f t="shared" si="103"/>
        <v>1.833861224</v>
      </c>
      <c r="G75" s="265">
        <f t="shared" si="103"/>
        <v>0.4761789883</v>
      </c>
      <c r="H75" s="265">
        <f t="shared" si="103"/>
        <v>0.4853617021</v>
      </c>
      <c r="I75" s="265">
        <f t="shared" si="103"/>
        <v>0.4862694497</v>
      </c>
      <c r="J75" s="265">
        <f t="shared" si="103"/>
        <v>0.4635266055</v>
      </c>
      <c r="K75" s="266">
        <f t="shared" si="103"/>
        <v>1.884754221</v>
      </c>
      <c r="L75" s="265">
        <f t="shared" si="103"/>
        <v>0.4799605027</v>
      </c>
      <c r="M75" s="265">
        <f t="shared" si="103"/>
        <v>0.4937442274</v>
      </c>
      <c r="N75" s="265">
        <f t="shared" si="103"/>
        <v>0.4887695035</v>
      </c>
      <c r="O75" s="265">
        <f>J75*(1+O74+O77)</f>
        <v>0.4774324037</v>
      </c>
      <c r="P75" s="266">
        <f>P14/AVERAGE(P72,P66)</f>
        <v>1.928740569</v>
      </c>
      <c r="Q75" s="265">
        <f t="shared" ref="Q75:T75" si="104">L75*(1+Q74+Q77)</f>
        <v>0.5039585278</v>
      </c>
      <c r="R75" s="265">
        <f t="shared" si="104"/>
        <v>0.5184314387</v>
      </c>
      <c r="S75" s="265">
        <f t="shared" si="104"/>
        <v>0.5132079787</v>
      </c>
      <c r="T75" s="265">
        <f t="shared" si="104"/>
        <v>0.5013040239</v>
      </c>
      <c r="U75" s="266">
        <f>U14/AVERAGE(U72,U66)</f>
        <v>2.012786088</v>
      </c>
      <c r="V75" s="265">
        <f t="shared" ref="V75:Y75" si="105">Q75*(1+V74+V77)</f>
        <v>0.5266366616</v>
      </c>
      <c r="W75" s="265">
        <f t="shared" si="105"/>
        <v>0.5417608535</v>
      </c>
      <c r="X75" s="265">
        <f t="shared" si="105"/>
        <v>0.5363023378</v>
      </c>
      <c r="Y75" s="265">
        <f t="shared" si="105"/>
        <v>0.5238627049</v>
      </c>
      <c r="Z75" s="266">
        <f>Z14/AVERAGE(Z72,Z66)</f>
        <v>2.111575781</v>
      </c>
      <c r="AA75" s="265">
        <f t="shared" ref="AA75:AD75" si="106">V75*(1+AA74+AA77)</f>
        <v>0.5450689447</v>
      </c>
      <c r="AB75" s="265">
        <f t="shared" si="106"/>
        <v>0.5607224833</v>
      </c>
      <c r="AC75" s="265">
        <f t="shared" si="106"/>
        <v>0.5550729196</v>
      </c>
      <c r="AD75" s="265">
        <f t="shared" si="106"/>
        <v>0.5421978996</v>
      </c>
      <c r="AE75" s="266">
        <f>AE14/AVERAGE(AE72,AE66)</f>
        <v>2.186621904</v>
      </c>
      <c r="AF75" s="265">
        <f t="shared" ref="AF75:AI75" si="107">AA75*(1+AF74+AF77)</f>
        <v>0.5641463578</v>
      </c>
      <c r="AG75" s="265">
        <f t="shared" si="107"/>
        <v>0.5803477703</v>
      </c>
      <c r="AH75" s="265">
        <f t="shared" si="107"/>
        <v>0.5745004718</v>
      </c>
      <c r="AI75" s="265">
        <f t="shared" si="107"/>
        <v>0.5611748261</v>
      </c>
      <c r="AJ75" s="266">
        <f>AJ14/AVERAGE(AJ72,AJ66)</f>
        <v>2.26890633</v>
      </c>
      <c r="AK75" s="265">
        <f t="shared" ref="AK75:AN75" si="108">AF75*(1+AK74+AK77)</f>
        <v>0.5782500167</v>
      </c>
      <c r="AL75" s="265">
        <f t="shared" si="108"/>
        <v>0.5948564645</v>
      </c>
      <c r="AM75" s="265">
        <f t="shared" si="108"/>
        <v>0.5888629836</v>
      </c>
      <c r="AN75" s="265">
        <f t="shared" si="108"/>
        <v>0.5752041967</v>
      </c>
      <c r="AO75" s="266">
        <f>AO14/AVERAGE(AO72,AO66)</f>
        <v>2.326180193</v>
      </c>
      <c r="AP75" s="238"/>
      <c r="AQ75" s="253"/>
      <c r="AR75" s="238"/>
      <c r="AS75" s="238"/>
      <c r="AT75" s="238"/>
      <c r="AU75" s="238"/>
      <c r="AV75" s="253"/>
      <c r="AW75" s="238"/>
      <c r="AX75" s="238"/>
      <c r="AY75" s="238"/>
      <c r="AZ75" s="238"/>
      <c r="BA75" s="253"/>
      <c r="BB75" s="238"/>
      <c r="BC75" s="238"/>
      <c r="BD75" s="238"/>
      <c r="BE75" s="238"/>
      <c r="BF75" s="253"/>
      <c r="BG75" s="238"/>
    </row>
    <row r="76" ht="10.5" customHeight="1">
      <c r="A76" s="164" t="s">
        <v>212</v>
      </c>
      <c r="B76" s="220" t="str">
        <f t="shared" ref="B76:F76" si="109">IFERROR(B75/#REF!-1,"na")</f>
        <v>na</v>
      </c>
      <c r="C76" s="220" t="str">
        <f t="shared" si="109"/>
        <v>na</v>
      </c>
      <c r="D76" s="220" t="str">
        <f t="shared" si="109"/>
        <v>na</v>
      </c>
      <c r="E76" s="220" t="str">
        <f t="shared" si="109"/>
        <v>na</v>
      </c>
      <c r="F76" s="221" t="str">
        <f t="shared" si="109"/>
        <v>na</v>
      </c>
      <c r="G76" s="220">
        <f t="shared" ref="G76:AO76" si="110">IFERROR(G75/B75-1,"na")</f>
        <v>-0.04433203926</v>
      </c>
      <c r="H76" s="220">
        <f t="shared" si="110"/>
        <v>-0.07628575752</v>
      </c>
      <c r="I76" s="220">
        <f t="shared" si="110"/>
        <v>-0.05103493852</v>
      </c>
      <c r="J76" s="220">
        <f t="shared" si="110"/>
        <v>-0.09213928309</v>
      </c>
      <c r="K76" s="221">
        <f t="shared" si="110"/>
        <v>0.02775182561</v>
      </c>
      <c r="L76" s="220">
        <f t="shared" si="110"/>
        <v>0.007941371751</v>
      </c>
      <c r="M76" s="220">
        <f t="shared" si="110"/>
        <v>0.01727067708</v>
      </c>
      <c r="N76" s="220">
        <f t="shared" si="110"/>
        <v>0.005141293232</v>
      </c>
      <c r="O76" s="220">
        <f t="shared" si="110"/>
        <v>0.03</v>
      </c>
      <c r="P76" s="221">
        <f t="shared" si="110"/>
        <v>0.02333797526</v>
      </c>
      <c r="Q76" s="220">
        <f t="shared" si="110"/>
        <v>0.05</v>
      </c>
      <c r="R76" s="220">
        <f t="shared" si="110"/>
        <v>0.05</v>
      </c>
      <c r="S76" s="220">
        <f t="shared" si="110"/>
        <v>0.05</v>
      </c>
      <c r="T76" s="220">
        <f t="shared" si="110"/>
        <v>0.05</v>
      </c>
      <c r="U76" s="221">
        <f t="shared" si="110"/>
        <v>0.04357533672</v>
      </c>
      <c r="V76" s="220">
        <f t="shared" si="110"/>
        <v>0.045</v>
      </c>
      <c r="W76" s="220">
        <f t="shared" si="110"/>
        <v>0.045</v>
      </c>
      <c r="X76" s="220">
        <f t="shared" si="110"/>
        <v>0.045</v>
      </c>
      <c r="Y76" s="220">
        <f t="shared" si="110"/>
        <v>0.045</v>
      </c>
      <c r="Z76" s="221">
        <f t="shared" si="110"/>
        <v>0.04908106891</v>
      </c>
      <c r="AA76" s="220">
        <f t="shared" si="110"/>
        <v>0.035</v>
      </c>
      <c r="AB76" s="220">
        <f t="shared" si="110"/>
        <v>0.035</v>
      </c>
      <c r="AC76" s="220">
        <f t="shared" si="110"/>
        <v>0.035</v>
      </c>
      <c r="AD76" s="220">
        <f t="shared" si="110"/>
        <v>0.035</v>
      </c>
      <c r="AE76" s="221">
        <f t="shared" si="110"/>
        <v>0.03554034064</v>
      </c>
      <c r="AF76" s="220">
        <f t="shared" si="110"/>
        <v>0.035</v>
      </c>
      <c r="AG76" s="220">
        <f t="shared" si="110"/>
        <v>0.035</v>
      </c>
      <c r="AH76" s="220">
        <f t="shared" si="110"/>
        <v>0.035</v>
      </c>
      <c r="AI76" s="220">
        <f t="shared" si="110"/>
        <v>0.035</v>
      </c>
      <c r="AJ76" s="221">
        <f t="shared" si="110"/>
        <v>0.03763084343</v>
      </c>
      <c r="AK76" s="220">
        <f t="shared" si="110"/>
        <v>0.025</v>
      </c>
      <c r="AL76" s="220">
        <f t="shared" si="110"/>
        <v>0.025</v>
      </c>
      <c r="AM76" s="220">
        <f t="shared" si="110"/>
        <v>0.025</v>
      </c>
      <c r="AN76" s="220">
        <f t="shared" si="110"/>
        <v>0.025</v>
      </c>
      <c r="AO76" s="221">
        <f t="shared" si="110"/>
        <v>0.02524293843</v>
      </c>
      <c r="AP76" s="165"/>
      <c r="AQ76" s="187"/>
      <c r="AR76" s="165"/>
      <c r="AS76" s="165"/>
      <c r="AT76" s="165"/>
      <c r="AU76" s="165"/>
      <c r="AV76" s="187"/>
      <c r="AW76" s="165"/>
      <c r="AX76" s="165"/>
      <c r="AY76" s="165"/>
      <c r="AZ76" s="165"/>
      <c r="BA76" s="187"/>
      <c r="BB76" s="165"/>
      <c r="BC76" s="165"/>
      <c r="BD76" s="165"/>
      <c r="BE76" s="165"/>
      <c r="BF76" s="187"/>
      <c r="BG76" s="165"/>
    </row>
    <row r="77" ht="10.5" customHeight="1">
      <c r="A77" s="164" t="s">
        <v>252</v>
      </c>
      <c r="B77" s="220"/>
      <c r="C77" s="220"/>
      <c r="D77" s="220"/>
      <c r="E77" s="220"/>
      <c r="F77" s="221"/>
      <c r="G77" s="220">
        <f t="shared" ref="G77:J77" si="111">G76-G74</f>
        <v>-0.1063320393</v>
      </c>
      <c r="H77" s="220">
        <f t="shared" si="111"/>
        <v>-0.1162857575</v>
      </c>
      <c r="I77" s="220">
        <f t="shared" si="111"/>
        <v>-0.08503493852</v>
      </c>
      <c r="J77" s="220">
        <f t="shared" si="111"/>
        <v>-0.1361392831</v>
      </c>
      <c r="K77" s="269">
        <f>AVERAGE(G77:J77)</f>
        <v>-0.1109480046</v>
      </c>
      <c r="L77" s="220">
        <f t="shared" ref="L77:N77" si="112">L76-L74</f>
        <v>-0.04305862825</v>
      </c>
      <c r="M77" s="220">
        <f t="shared" si="112"/>
        <v>-0.05272932292</v>
      </c>
      <c r="N77" s="220">
        <f t="shared" si="112"/>
        <v>-0.05485870677</v>
      </c>
      <c r="O77" s="258">
        <v>-0.01</v>
      </c>
      <c r="P77" s="269">
        <f>AVERAGE(L77:O77)</f>
        <v>-0.04016166448</v>
      </c>
      <c r="Q77" s="258">
        <v>0.0</v>
      </c>
      <c r="R77" s="258">
        <f t="shared" ref="R77:T77" si="113">Q77</f>
        <v>0</v>
      </c>
      <c r="S77" s="258">
        <f t="shared" si="113"/>
        <v>0</v>
      </c>
      <c r="T77" s="258">
        <f t="shared" si="113"/>
        <v>0</v>
      </c>
      <c r="U77" s="269">
        <f>AVERAGE(Q77:T77)</f>
        <v>0</v>
      </c>
      <c r="V77" s="258">
        <f>T77</f>
        <v>0</v>
      </c>
      <c r="W77" s="258">
        <f t="shared" ref="W77:Y77" si="114">V77</f>
        <v>0</v>
      </c>
      <c r="X77" s="258">
        <f t="shared" si="114"/>
        <v>0</v>
      </c>
      <c r="Y77" s="258">
        <f t="shared" si="114"/>
        <v>0</v>
      </c>
      <c r="Z77" s="269">
        <f>AVERAGE(V77:Y77)</f>
        <v>0</v>
      </c>
      <c r="AA77" s="258">
        <f>Y77</f>
        <v>0</v>
      </c>
      <c r="AB77" s="258">
        <f t="shared" ref="AB77:AD77" si="115">AA77</f>
        <v>0</v>
      </c>
      <c r="AC77" s="258">
        <f t="shared" si="115"/>
        <v>0</v>
      </c>
      <c r="AD77" s="258">
        <f t="shared" si="115"/>
        <v>0</v>
      </c>
      <c r="AE77" s="269">
        <f>AVERAGE(AA77:AD77)</f>
        <v>0</v>
      </c>
      <c r="AF77" s="258">
        <f>AD77</f>
        <v>0</v>
      </c>
      <c r="AG77" s="258">
        <f t="shared" ref="AG77:AI77" si="116">AF77</f>
        <v>0</v>
      </c>
      <c r="AH77" s="258">
        <f t="shared" si="116"/>
        <v>0</v>
      </c>
      <c r="AI77" s="258">
        <f t="shared" si="116"/>
        <v>0</v>
      </c>
      <c r="AJ77" s="269">
        <f>AVERAGE(AF77:AI77)</f>
        <v>0</v>
      </c>
      <c r="AK77" s="258">
        <f>AI77</f>
        <v>0</v>
      </c>
      <c r="AL77" s="258">
        <f t="shared" ref="AL77:AN77" si="117">AK77</f>
        <v>0</v>
      </c>
      <c r="AM77" s="258">
        <f t="shared" si="117"/>
        <v>0</v>
      </c>
      <c r="AN77" s="258">
        <f t="shared" si="117"/>
        <v>0</v>
      </c>
      <c r="AO77" s="269">
        <f>AVERAGE(AK77:AN77)</f>
        <v>0</v>
      </c>
      <c r="AP77" s="165"/>
      <c r="AQ77" s="187"/>
      <c r="AR77" s="165"/>
      <c r="AS77" s="165"/>
      <c r="AT77" s="165"/>
      <c r="AU77" s="165"/>
      <c r="AV77" s="187"/>
      <c r="AW77" s="165"/>
      <c r="AX77" s="165"/>
      <c r="AY77" s="165"/>
      <c r="AZ77" s="165"/>
      <c r="BA77" s="187"/>
      <c r="BB77" s="165"/>
      <c r="BC77" s="165"/>
      <c r="BD77" s="165"/>
      <c r="BE77" s="165"/>
      <c r="BF77" s="187"/>
      <c r="BG77" s="165"/>
    </row>
    <row r="78" ht="10.5" customHeight="1">
      <c r="A78" s="164"/>
      <c r="B78" s="210"/>
      <c r="C78" s="210"/>
      <c r="D78" s="210"/>
      <c r="E78" s="210"/>
      <c r="F78" s="207"/>
      <c r="G78" s="210"/>
      <c r="H78" s="210"/>
      <c r="I78" s="210"/>
      <c r="J78" s="165"/>
      <c r="K78" s="207"/>
      <c r="L78" s="165"/>
      <c r="M78" s="187"/>
      <c r="N78" s="187"/>
      <c r="O78" s="165"/>
      <c r="P78" s="207"/>
      <c r="Q78" s="165"/>
      <c r="R78" s="165"/>
      <c r="S78" s="165"/>
      <c r="T78" s="165"/>
      <c r="U78" s="207"/>
      <c r="V78" s="165"/>
      <c r="W78" s="165"/>
      <c r="X78" s="165"/>
      <c r="Y78" s="165"/>
      <c r="Z78" s="207"/>
      <c r="AA78" s="165"/>
      <c r="AB78" s="165"/>
      <c r="AC78" s="165"/>
      <c r="AD78" s="165"/>
      <c r="AE78" s="207"/>
      <c r="AF78" s="165"/>
      <c r="AG78" s="165"/>
      <c r="AH78" s="165"/>
      <c r="AI78" s="165"/>
      <c r="AJ78" s="207"/>
      <c r="AK78" s="165"/>
      <c r="AL78" s="165"/>
      <c r="AM78" s="165"/>
      <c r="AN78" s="165"/>
      <c r="AO78" s="207"/>
      <c r="AP78" s="165"/>
      <c r="AQ78" s="187"/>
      <c r="AR78" s="165"/>
      <c r="AS78" s="165"/>
      <c r="AT78" s="165"/>
      <c r="AU78" s="165"/>
      <c r="AV78" s="187"/>
      <c r="AW78" s="165"/>
      <c r="AX78" s="165"/>
      <c r="AY78" s="165"/>
      <c r="AZ78" s="165"/>
      <c r="BA78" s="187"/>
      <c r="BB78" s="165"/>
      <c r="BC78" s="165"/>
      <c r="BD78" s="165"/>
      <c r="BE78" s="165"/>
      <c r="BF78" s="187"/>
      <c r="BG78" s="165"/>
    </row>
    <row r="79" ht="10.5" customHeight="1">
      <c r="A79" s="181" t="s">
        <v>240</v>
      </c>
      <c r="B79" s="210"/>
      <c r="C79" s="210"/>
      <c r="D79" s="210"/>
      <c r="E79" s="210"/>
      <c r="F79" s="207"/>
      <c r="G79" s="210"/>
      <c r="H79" s="210"/>
      <c r="I79" s="210"/>
      <c r="J79" s="165"/>
      <c r="K79" s="207"/>
      <c r="L79" s="165"/>
      <c r="M79" s="187"/>
      <c r="N79" s="187"/>
      <c r="O79" s="165"/>
      <c r="P79" s="207"/>
      <c r="Q79" s="165"/>
      <c r="R79" s="165"/>
      <c r="S79" s="165"/>
      <c r="T79" s="165"/>
      <c r="U79" s="207"/>
      <c r="V79" s="165"/>
      <c r="W79" s="165"/>
      <c r="X79" s="165"/>
      <c r="Y79" s="165"/>
      <c r="Z79" s="207"/>
      <c r="AA79" s="165"/>
      <c r="AB79" s="165"/>
      <c r="AC79" s="165"/>
      <c r="AD79" s="165"/>
      <c r="AE79" s="207"/>
      <c r="AF79" s="165"/>
      <c r="AG79" s="165"/>
      <c r="AH79" s="165"/>
      <c r="AI79" s="165"/>
      <c r="AJ79" s="207"/>
      <c r="AK79" s="165"/>
      <c r="AL79" s="165"/>
      <c r="AM79" s="165"/>
      <c r="AN79" s="165"/>
      <c r="AO79" s="207"/>
      <c r="AP79" s="165"/>
      <c r="AQ79" s="187"/>
      <c r="AR79" s="165"/>
      <c r="AS79" s="165"/>
      <c r="AT79" s="165"/>
      <c r="AU79" s="165"/>
      <c r="AV79" s="187"/>
      <c r="AW79" s="165"/>
      <c r="AX79" s="165"/>
      <c r="AY79" s="165"/>
      <c r="AZ79" s="165"/>
      <c r="BA79" s="187"/>
      <c r="BB79" s="165"/>
      <c r="BC79" s="165"/>
      <c r="BD79" s="165"/>
      <c r="BE79" s="165"/>
      <c r="BF79" s="187"/>
      <c r="BG79" s="165"/>
    </row>
    <row r="80" ht="10.5" customHeight="1">
      <c r="A80" s="181" t="s">
        <v>232</v>
      </c>
      <c r="B80" s="193">
        <f>'Income Statement'!B144</f>
        <v>2410</v>
      </c>
      <c r="C80" s="193">
        <f>'Income Statement'!C144</f>
        <v>2446</v>
      </c>
      <c r="D80" s="193">
        <f>'Income Statement'!D144</f>
        <v>2472</v>
      </c>
      <c r="E80" s="193">
        <f>'Income Statement'!E144</f>
        <v>2498</v>
      </c>
      <c r="F80" s="194">
        <f>'Income Statement'!F144</f>
        <v>2410</v>
      </c>
      <c r="G80" s="193">
        <f>'Income Statement'!G144</f>
        <v>2575</v>
      </c>
      <c r="H80" s="193">
        <f>'Income Statement'!H144</f>
        <v>2599</v>
      </c>
      <c r="I80" s="193">
        <f>'Income Statement'!I144</f>
        <v>2617</v>
      </c>
      <c r="J80" s="193">
        <f>'Income Statement'!J144</f>
        <v>2637</v>
      </c>
      <c r="K80" s="194">
        <f>F86</f>
        <v>2575</v>
      </c>
      <c r="L80" s="193">
        <f>K86</f>
        <v>2722</v>
      </c>
      <c r="M80" s="193">
        <f>'Income Statement'!M144</f>
        <v>2741</v>
      </c>
      <c r="N80" s="193">
        <f>'Income Statement'!N144</f>
        <v>2762</v>
      </c>
      <c r="O80" s="193">
        <f>N86</f>
        <v>2795</v>
      </c>
      <c r="P80" s="194">
        <f>K86</f>
        <v>2722</v>
      </c>
      <c r="Q80" s="193">
        <f t="shared" ref="Q80:T80" si="118">P86</f>
        <v>2883</v>
      </c>
      <c r="R80" s="193">
        <f t="shared" si="118"/>
        <v>2903</v>
      </c>
      <c r="S80" s="193">
        <f t="shared" si="118"/>
        <v>2929</v>
      </c>
      <c r="T80" s="193">
        <f t="shared" si="118"/>
        <v>2961</v>
      </c>
      <c r="U80" s="194">
        <f>P86</f>
        <v>2883</v>
      </c>
      <c r="V80" s="193">
        <f t="shared" ref="V80:Y80" si="119">U86</f>
        <v>3055</v>
      </c>
      <c r="W80" s="193">
        <f t="shared" si="119"/>
        <v>3085</v>
      </c>
      <c r="X80" s="193">
        <f t="shared" si="119"/>
        <v>3114</v>
      </c>
      <c r="Y80" s="193">
        <f t="shared" si="119"/>
        <v>3149</v>
      </c>
      <c r="Z80" s="194">
        <f>U86</f>
        <v>3055</v>
      </c>
      <c r="AA80" s="193">
        <f t="shared" ref="AA80:AD80" si="120">Z86</f>
        <v>3243</v>
      </c>
      <c r="AB80" s="193">
        <f t="shared" si="120"/>
        <v>3273</v>
      </c>
      <c r="AC80" s="193">
        <f t="shared" si="120"/>
        <v>3302</v>
      </c>
      <c r="AD80" s="193">
        <f t="shared" si="120"/>
        <v>3337</v>
      </c>
      <c r="AE80" s="194">
        <f>Z86</f>
        <v>3243</v>
      </c>
      <c r="AF80" s="193">
        <f t="shared" ref="AF80:AI80" si="121">AE86</f>
        <v>3431</v>
      </c>
      <c r="AG80" s="193">
        <f t="shared" si="121"/>
        <v>3459</v>
      </c>
      <c r="AH80" s="193">
        <f t="shared" si="121"/>
        <v>3484</v>
      </c>
      <c r="AI80" s="193">
        <f t="shared" si="121"/>
        <v>3514</v>
      </c>
      <c r="AJ80" s="194">
        <f>AE86</f>
        <v>3431</v>
      </c>
      <c r="AK80" s="193">
        <f t="shared" ref="AK80:AN80" si="122">AJ86</f>
        <v>3604</v>
      </c>
      <c r="AL80" s="193">
        <f t="shared" si="122"/>
        <v>3632</v>
      </c>
      <c r="AM80" s="193">
        <f t="shared" si="122"/>
        <v>3657</v>
      </c>
      <c r="AN80" s="193">
        <f t="shared" si="122"/>
        <v>3687</v>
      </c>
      <c r="AO80" s="194">
        <f>AJ86</f>
        <v>3604</v>
      </c>
      <c r="AP80" s="238"/>
      <c r="AQ80" s="253"/>
      <c r="AR80" s="238"/>
      <c r="AS80" s="238"/>
      <c r="AT80" s="238"/>
      <c r="AU80" s="238"/>
      <c r="AV80" s="253"/>
      <c r="AW80" s="238"/>
      <c r="AX80" s="238"/>
      <c r="AY80" s="238"/>
      <c r="AZ80" s="238"/>
      <c r="BA80" s="253"/>
      <c r="BB80" s="238"/>
      <c r="BC80" s="238"/>
      <c r="BD80" s="238"/>
      <c r="BE80" s="238"/>
      <c r="BF80" s="253"/>
      <c r="BG80" s="238"/>
    </row>
    <row r="81" ht="10.5" customHeight="1">
      <c r="A81" s="183" t="s">
        <v>212</v>
      </c>
      <c r="B81" s="220" t="str">
        <f t="shared" ref="B81:F81" si="123">IFERROR(B80/#REF!-1,"na")</f>
        <v>na</v>
      </c>
      <c r="C81" s="220" t="str">
        <f t="shared" si="123"/>
        <v>na</v>
      </c>
      <c r="D81" s="220" t="str">
        <f t="shared" si="123"/>
        <v>na</v>
      </c>
      <c r="E81" s="220" t="str">
        <f t="shared" si="123"/>
        <v>na</v>
      </c>
      <c r="F81" s="221" t="str">
        <f t="shared" si="123"/>
        <v>na</v>
      </c>
      <c r="G81" s="220">
        <f t="shared" ref="G81:AO81" si="124">IFERROR(G80/B80-1,"na")</f>
        <v>0.06846473029</v>
      </c>
      <c r="H81" s="220">
        <f t="shared" si="124"/>
        <v>0.06255110384</v>
      </c>
      <c r="I81" s="220">
        <f t="shared" si="124"/>
        <v>0.05865695793</v>
      </c>
      <c r="J81" s="220">
        <f t="shared" si="124"/>
        <v>0.05564451561</v>
      </c>
      <c r="K81" s="221">
        <f t="shared" si="124"/>
        <v>0.06846473029</v>
      </c>
      <c r="L81" s="220">
        <f t="shared" si="124"/>
        <v>0.05708737864</v>
      </c>
      <c r="M81" s="220">
        <f t="shared" si="124"/>
        <v>0.05463639861</v>
      </c>
      <c r="N81" s="220">
        <f t="shared" si="124"/>
        <v>0.05540695453</v>
      </c>
      <c r="O81" s="220">
        <f t="shared" si="124"/>
        <v>0.05991657186</v>
      </c>
      <c r="P81" s="221">
        <f t="shared" si="124"/>
        <v>0.05708737864</v>
      </c>
      <c r="Q81" s="220">
        <f t="shared" si="124"/>
        <v>0.05914768553</v>
      </c>
      <c r="R81" s="220">
        <f t="shared" si="124"/>
        <v>0.05910251733</v>
      </c>
      <c r="S81" s="220">
        <f t="shared" si="124"/>
        <v>0.0604634323</v>
      </c>
      <c r="T81" s="220">
        <f t="shared" si="124"/>
        <v>0.05939177102</v>
      </c>
      <c r="U81" s="221">
        <f t="shared" si="124"/>
        <v>0.05914768553</v>
      </c>
      <c r="V81" s="220">
        <f t="shared" si="124"/>
        <v>0.05966007631</v>
      </c>
      <c r="W81" s="220">
        <f t="shared" si="124"/>
        <v>0.06269376507</v>
      </c>
      <c r="X81" s="220">
        <f t="shared" si="124"/>
        <v>0.06316148856</v>
      </c>
      <c r="Y81" s="220">
        <f t="shared" si="124"/>
        <v>0.06349206349</v>
      </c>
      <c r="Z81" s="221">
        <f t="shared" si="124"/>
        <v>0.05966007631</v>
      </c>
      <c r="AA81" s="220">
        <f t="shared" si="124"/>
        <v>0.06153846154</v>
      </c>
      <c r="AB81" s="220">
        <f t="shared" si="124"/>
        <v>0.06094003241</v>
      </c>
      <c r="AC81" s="220">
        <f t="shared" si="124"/>
        <v>0.06037251124</v>
      </c>
      <c r="AD81" s="220">
        <f t="shared" si="124"/>
        <v>0.05970149254</v>
      </c>
      <c r="AE81" s="221">
        <f t="shared" si="124"/>
        <v>0.06153846154</v>
      </c>
      <c r="AF81" s="220">
        <f t="shared" si="124"/>
        <v>0.05797101449</v>
      </c>
      <c r="AG81" s="220">
        <f t="shared" si="124"/>
        <v>0.05682859762</v>
      </c>
      <c r="AH81" s="220">
        <f t="shared" si="124"/>
        <v>0.05511811024</v>
      </c>
      <c r="AI81" s="220">
        <f t="shared" si="124"/>
        <v>0.05304165418</v>
      </c>
      <c r="AJ81" s="221">
        <f t="shared" si="124"/>
        <v>0.05797101449</v>
      </c>
      <c r="AK81" s="220">
        <f t="shared" si="124"/>
        <v>0.05042261731</v>
      </c>
      <c r="AL81" s="220">
        <f t="shared" si="124"/>
        <v>0.05001445504</v>
      </c>
      <c r="AM81" s="220">
        <f t="shared" si="124"/>
        <v>0.04965556831</v>
      </c>
      <c r="AN81" s="220">
        <f t="shared" si="124"/>
        <v>0.04923164485</v>
      </c>
      <c r="AO81" s="221">
        <f t="shared" si="124"/>
        <v>0.05042261731</v>
      </c>
      <c r="AP81" s="165"/>
      <c r="AQ81" s="187"/>
      <c r="AR81" s="165"/>
      <c r="AS81" s="165"/>
      <c r="AT81" s="165"/>
      <c r="AU81" s="165"/>
      <c r="AV81" s="187"/>
      <c r="AW81" s="165"/>
      <c r="AX81" s="165"/>
      <c r="AY81" s="165"/>
      <c r="AZ81" s="165"/>
      <c r="BA81" s="187"/>
      <c r="BB81" s="165"/>
      <c r="BC81" s="165"/>
      <c r="BD81" s="165"/>
      <c r="BE81" s="165"/>
      <c r="BF81" s="187"/>
      <c r="BG81" s="165"/>
    </row>
    <row r="82" ht="10.5" customHeight="1">
      <c r="A82" s="164" t="s">
        <v>233</v>
      </c>
      <c r="B82" s="186">
        <f>'Income Statement'!B145</f>
        <v>36</v>
      </c>
      <c r="C82" s="186">
        <f>'Income Statement'!C145</f>
        <v>26</v>
      </c>
      <c r="D82" s="186">
        <f>'Income Statement'!D145</f>
        <v>26</v>
      </c>
      <c r="E82" s="186">
        <f>'Income Statement'!E145</f>
        <v>77</v>
      </c>
      <c r="F82" s="185">
        <f>'Income Statement'!F145</f>
        <v>165</v>
      </c>
      <c r="G82" s="186">
        <f>'Income Statement'!G145</f>
        <v>25</v>
      </c>
      <c r="H82" s="186">
        <f>'Income Statement'!H145</f>
        <v>18</v>
      </c>
      <c r="I82" s="186">
        <f>'Income Statement'!I145</f>
        <v>21</v>
      </c>
      <c r="J82" s="186">
        <f>'Income Statement'!J145</f>
        <v>86</v>
      </c>
      <c r="K82" s="185">
        <f>SUM(G82:J82)</f>
        <v>150</v>
      </c>
      <c r="L82" s="186">
        <f>L68+L54</f>
        <v>19</v>
      </c>
      <c r="M82" s="186">
        <f>'Income Statement'!M145</f>
        <v>23</v>
      </c>
      <c r="N82" s="186">
        <f>'Income Statement'!N145</f>
        <v>35</v>
      </c>
      <c r="O82" s="186">
        <f>O68+O54</f>
        <v>88</v>
      </c>
      <c r="P82" s="185">
        <f>SUM(L82:O82)</f>
        <v>165</v>
      </c>
      <c r="Q82" s="186">
        <f t="shared" ref="Q82:T82" si="125">Q68+Q54</f>
        <v>20</v>
      </c>
      <c r="R82" s="186">
        <f t="shared" si="125"/>
        <v>26</v>
      </c>
      <c r="S82" s="186">
        <f t="shared" si="125"/>
        <v>32</v>
      </c>
      <c r="T82" s="186">
        <f t="shared" si="125"/>
        <v>94</v>
      </c>
      <c r="U82" s="185">
        <f>SUM(Q82:T82)</f>
        <v>172</v>
      </c>
      <c r="V82" s="186">
        <f t="shared" ref="V82:Y82" si="126">V68+V54</f>
        <v>30</v>
      </c>
      <c r="W82" s="186">
        <f t="shared" si="126"/>
        <v>29</v>
      </c>
      <c r="X82" s="186">
        <f t="shared" si="126"/>
        <v>35</v>
      </c>
      <c r="Y82" s="186">
        <f t="shared" si="126"/>
        <v>94</v>
      </c>
      <c r="Z82" s="185">
        <f>SUM(V82:Y82)</f>
        <v>188</v>
      </c>
      <c r="AA82" s="186">
        <f t="shared" ref="AA82:AD82" si="127">AA68+AA54</f>
        <v>30</v>
      </c>
      <c r="AB82" s="186">
        <f t="shared" si="127"/>
        <v>29</v>
      </c>
      <c r="AC82" s="186">
        <f t="shared" si="127"/>
        <v>35</v>
      </c>
      <c r="AD82" s="186">
        <f t="shared" si="127"/>
        <v>94</v>
      </c>
      <c r="AE82" s="185">
        <f>SUM(AA82:AD82)</f>
        <v>188</v>
      </c>
      <c r="AF82" s="186">
        <f t="shared" ref="AF82:AI82" si="128">AF68+AF54</f>
        <v>28</v>
      </c>
      <c r="AG82" s="186">
        <f t="shared" si="128"/>
        <v>25</v>
      </c>
      <c r="AH82" s="186">
        <f t="shared" si="128"/>
        <v>30</v>
      </c>
      <c r="AI82" s="186">
        <f t="shared" si="128"/>
        <v>90</v>
      </c>
      <c r="AJ82" s="185">
        <f>SUM(AF82:AI82)</f>
        <v>173</v>
      </c>
      <c r="AK82" s="186">
        <f t="shared" ref="AK82:AN82" si="129">AK68+AK54</f>
        <v>28</v>
      </c>
      <c r="AL82" s="186">
        <f t="shared" si="129"/>
        <v>25</v>
      </c>
      <c r="AM82" s="186">
        <f t="shared" si="129"/>
        <v>30</v>
      </c>
      <c r="AN82" s="186">
        <f t="shared" si="129"/>
        <v>90</v>
      </c>
      <c r="AO82" s="185">
        <f>SUM(AK82:AN82)</f>
        <v>173</v>
      </c>
      <c r="AP82" s="165"/>
      <c r="AQ82" s="187"/>
      <c r="AR82" s="165"/>
      <c r="AS82" s="165"/>
      <c r="AT82" s="165"/>
      <c r="AU82" s="165"/>
      <c r="AV82" s="187"/>
      <c r="AW82" s="165"/>
      <c r="AX82" s="165"/>
      <c r="AY82" s="165"/>
      <c r="AZ82" s="165"/>
      <c r="BA82" s="187"/>
      <c r="BB82" s="165"/>
      <c r="BC82" s="165"/>
      <c r="BD82" s="165"/>
      <c r="BE82" s="165"/>
      <c r="BF82" s="187"/>
      <c r="BG82" s="165"/>
    </row>
    <row r="83" ht="10.5" customHeight="1">
      <c r="A83" s="183" t="s">
        <v>212</v>
      </c>
      <c r="B83" s="220" t="str">
        <f t="shared" ref="B83:F83" si="130">IFERROR(B82/#REF!-1,"na")</f>
        <v>na</v>
      </c>
      <c r="C83" s="220" t="str">
        <f t="shared" si="130"/>
        <v>na</v>
      </c>
      <c r="D83" s="220" t="str">
        <f t="shared" si="130"/>
        <v>na</v>
      </c>
      <c r="E83" s="220" t="str">
        <f t="shared" si="130"/>
        <v>na</v>
      </c>
      <c r="F83" s="221" t="str">
        <f t="shared" si="130"/>
        <v>na</v>
      </c>
      <c r="G83" s="220">
        <f t="shared" ref="G83:AO83" si="131">IFERROR(G82/B82-1,"na")</f>
        <v>-0.3055555556</v>
      </c>
      <c r="H83" s="220">
        <f t="shared" si="131"/>
        <v>-0.3076923077</v>
      </c>
      <c r="I83" s="220">
        <f t="shared" si="131"/>
        <v>-0.1923076923</v>
      </c>
      <c r="J83" s="220">
        <f t="shared" si="131"/>
        <v>0.1168831169</v>
      </c>
      <c r="K83" s="221">
        <f t="shared" si="131"/>
        <v>-0.09090909091</v>
      </c>
      <c r="L83" s="220">
        <f t="shared" si="131"/>
        <v>-0.24</v>
      </c>
      <c r="M83" s="220">
        <f t="shared" si="131"/>
        <v>0.2777777778</v>
      </c>
      <c r="N83" s="220">
        <f t="shared" si="131"/>
        <v>0.6666666667</v>
      </c>
      <c r="O83" s="220">
        <f t="shared" si="131"/>
        <v>0.02325581395</v>
      </c>
      <c r="P83" s="221">
        <f t="shared" si="131"/>
        <v>0.1</v>
      </c>
      <c r="Q83" s="220">
        <f t="shared" si="131"/>
        <v>0.05263157895</v>
      </c>
      <c r="R83" s="220">
        <f t="shared" si="131"/>
        <v>0.1304347826</v>
      </c>
      <c r="S83" s="220">
        <f t="shared" si="131"/>
        <v>-0.08571428571</v>
      </c>
      <c r="T83" s="220">
        <f t="shared" si="131"/>
        <v>0.06818181818</v>
      </c>
      <c r="U83" s="221">
        <f t="shared" si="131"/>
        <v>0.04242424242</v>
      </c>
      <c r="V83" s="220">
        <f t="shared" si="131"/>
        <v>0.5</v>
      </c>
      <c r="W83" s="220">
        <f t="shared" si="131"/>
        <v>0.1153846154</v>
      </c>
      <c r="X83" s="220">
        <f t="shared" si="131"/>
        <v>0.09375</v>
      </c>
      <c r="Y83" s="220">
        <f t="shared" si="131"/>
        <v>0</v>
      </c>
      <c r="Z83" s="221">
        <f t="shared" si="131"/>
        <v>0.09302325581</v>
      </c>
      <c r="AA83" s="220">
        <f t="shared" si="131"/>
        <v>0</v>
      </c>
      <c r="AB83" s="220">
        <f t="shared" si="131"/>
        <v>0</v>
      </c>
      <c r="AC83" s="220">
        <f t="shared" si="131"/>
        <v>0</v>
      </c>
      <c r="AD83" s="220">
        <f t="shared" si="131"/>
        <v>0</v>
      </c>
      <c r="AE83" s="221">
        <f t="shared" si="131"/>
        <v>0</v>
      </c>
      <c r="AF83" s="220">
        <f t="shared" si="131"/>
        <v>-0.06666666667</v>
      </c>
      <c r="AG83" s="220">
        <f t="shared" si="131"/>
        <v>-0.1379310345</v>
      </c>
      <c r="AH83" s="220">
        <f t="shared" si="131"/>
        <v>-0.1428571429</v>
      </c>
      <c r="AI83" s="220">
        <f t="shared" si="131"/>
        <v>-0.04255319149</v>
      </c>
      <c r="AJ83" s="221">
        <f t="shared" si="131"/>
        <v>-0.07978723404</v>
      </c>
      <c r="AK83" s="220">
        <f t="shared" si="131"/>
        <v>0</v>
      </c>
      <c r="AL83" s="220">
        <f t="shared" si="131"/>
        <v>0</v>
      </c>
      <c r="AM83" s="220">
        <f t="shared" si="131"/>
        <v>0</v>
      </c>
      <c r="AN83" s="220">
        <f t="shared" si="131"/>
        <v>0</v>
      </c>
      <c r="AO83" s="221">
        <f t="shared" si="131"/>
        <v>0</v>
      </c>
      <c r="AP83" s="165"/>
      <c r="AQ83" s="187"/>
      <c r="AR83" s="165"/>
      <c r="AS83" s="165">
        <f>K86</f>
        <v>2722</v>
      </c>
      <c r="AT83" s="165"/>
      <c r="AU83" s="165">
        <f>Z86</f>
        <v>3243</v>
      </c>
      <c r="AV83" s="187"/>
      <c r="AW83" s="165"/>
      <c r="AX83" s="165"/>
      <c r="AY83" s="165"/>
      <c r="AZ83" s="165"/>
      <c r="BA83" s="187"/>
      <c r="BB83" s="165"/>
      <c r="BC83" s="165"/>
      <c r="BD83" s="165"/>
      <c r="BE83" s="165"/>
      <c r="BF83" s="187"/>
      <c r="BG83" s="165"/>
    </row>
    <row r="84" ht="10.5" customHeight="1">
      <c r="A84" s="164" t="s">
        <v>235</v>
      </c>
      <c r="B84" s="186">
        <f>'Income Statement'!B146</f>
        <v>0</v>
      </c>
      <c r="C84" s="186">
        <f>'Income Statement'!C146</f>
        <v>0</v>
      </c>
      <c r="D84" s="186">
        <f>'Income Statement'!D146</f>
        <v>0</v>
      </c>
      <c r="E84" s="186">
        <f>'Income Statement'!E146</f>
        <v>0</v>
      </c>
      <c r="F84" s="185">
        <f>'Income Statement'!F146</f>
        <v>0</v>
      </c>
      <c r="G84" s="186">
        <f>'Income Statement'!G146</f>
        <v>-1</v>
      </c>
      <c r="H84" s="186">
        <f>'Income Statement'!H146</f>
        <v>0</v>
      </c>
      <c r="I84" s="186">
        <f>'Income Statement'!I146</f>
        <v>-1</v>
      </c>
      <c r="J84" s="186">
        <f>'Income Statement'!J146</f>
        <v>-1</v>
      </c>
      <c r="K84" s="185">
        <f>SUM(G84:J84)</f>
        <v>-3</v>
      </c>
      <c r="L84" s="186">
        <f>L56+L70</f>
        <v>0</v>
      </c>
      <c r="M84" s="186">
        <f>'Income Statement'!M146</f>
        <v>-2</v>
      </c>
      <c r="N84" s="186">
        <f>'Income Statement'!N146</f>
        <v>-2</v>
      </c>
      <c r="O84" s="186">
        <f>O56+O70</f>
        <v>0</v>
      </c>
      <c r="P84" s="185">
        <f>SUM(L84:O84)</f>
        <v>-4</v>
      </c>
      <c r="Q84" s="186">
        <f t="shared" ref="Q84:T84" si="132">Q56+Q70</f>
        <v>0</v>
      </c>
      <c r="R84" s="186">
        <f t="shared" si="132"/>
        <v>0</v>
      </c>
      <c r="S84" s="186">
        <f t="shared" si="132"/>
        <v>0</v>
      </c>
      <c r="T84" s="186">
        <f t="shared" si="132"/>
        <v>0</v>
      </c>
      <c r="U84" s="185">
        <f>SUM(Q84:T84)</f>
        <v>0</v>
      </c>
      <c r="V84" s="186">
        <f t="shared" ref="V84:Y84" si="133">V56+V70</f>
        <v>0</v>
      </c>
      <c r="W84" s="186">
        <f t="shared" si="133"/>
        <v>0</v>
      </c>
      <c r="X84" s="186">
        <f t="shared" si="133"/>
        <v>0</v>
      </c>
      <c r="Y84" s="186">
        <f t="shared" si="133"/>
        <v>0</v>
      </c>
      <c r="Z84" s="185">
        <f>SUM(V84:Y84)</f>
        <v>0</v>
      </c>
      <c r="AA84" s="186">
        <f t="shared" ref="AA84:AD84" si="134">AA56+AA70</f>
        <v>0</v>
      </c>
      <c r="AB84" s="186">
        <f t="shared" si="134"/>
        <v>0</v>
      </c>
      <c r="AC84" s="186">
        <f t="shared" si="134"/>
        <v>0</v>
      </c>
      <c r="AD84" s="186">
        <f t="shared" si="134"/>
        <v>0</v>
      </c>
      <c r="AE84" s="185">
        <f>SUM(AA84:AD84)</f>
        <v>0</v>
      </c>
      <c r="AF84" s="186">
        <f t="shared" ref="AF84:AI84" si="135">AF56+AF70</f>
        <v>0</v>
      </c>
      <c r="AG84" s="186">
        <f t="shared" si="135"/>
        <v>0</v>
      </c>
      <c r="AH84" s="186">
        <f t="shared" si="135"/>
        <v>0</v>
      </c>
      <c r="AI84" s="186">
        <f t="shared" si="135"/>
        <v>0</v>
      </c>
      <c r="AJ84" s="185">
        <f>SUM(AF84:AI84)</f>
        <v>0</v>
      </c>
      <c r="AK84" s="186">
        <f t="shared" ref="AK84:AN84" si="136">AK56+AK70</f>
        <v>0</v>
      </c>
      <c r="AL84" s="186">
        <f t="shared" si="136"/>
        <v>0</v>
      </c>
      <c r="AM84" s="186">
        <f t="shared" si="136"/>
        <v>0</v>
      </c>
      <c r="AN84" s="186">
        <f t="shared" si="136"/>
        <v>0</v>
      </c>
      <c r="AO84" s="185">
        <f>SUM(AK84:AN84)</f>
        <v>0</v>
      </c>
      <c r="AP84" s="165"/>
      <c r="AQ84" s="187"/>
      <c r="AR84" s="165"/>
      <c r="AS84" s="165"/>
      <c r="AT84" s="165"/>
      <c r="AU84" s="165">
        <f>AU83-AS83</f>
        <v>521</v>
      </c>
      <c r="AV84" s="187"/>
      <c r="AW84" s="165"/>
      <c r="AX84" s="165"/>
      <c r="AY84" s="165"/>
      <c r="AZ84" s="165"/>
      <c r="BA84" s="187"/>
      <c r="BB84" s="165"/>
      <c r="BC84" s="165"/>
      <c r="BD84" s="165"/>
      <c r="BE84" s="165"/>
      <c r="BF84" s="187"/>
      <c r="BG84" s="165"/>
    </row>
    <row r="85" ht="10.5" customHeight="1">
      <c r="A85" s="183" t="s">
        <v>212</v>
      </c>
      <c r="B85" s="220" t="str">
        <f t="shared" ref="B85:F85" si="137">IFERROR(B84/#REF!-1,"na")</f>
        <v>na</v>
      </c>
      <c r="C85" s="220" t="str">
        <f t="shared" si="137"/>
        <v>na</v>
      </c>
      <c r="D85" s="220" t="str">
        <f t="shared" si="137"/>
        <v>na</v>
      </c>
      <c r="E85" s="220" t="str">
        <f t="shared" si="137"/>
        <v>na</v>
      </c>
      <c r="F85" s="221" t="str">
        <f t="shared" si="137"/>
        <v>na</v>
      </c>
      <c r="G85" s="220" t="str">
        <f t="shared" ref="G85:AO85" si="138">IFERROR(G84/B84-1,"na")</f>
        <v>na</v>
      </c>
      <c r="H85" s="220" t="str">
        <f t="shared" si="138"/>
        <v>na</v>
      </c>
      <c r="I85" s="220" t="str">
        <f t="shared" si="138"/>
        <v>na</v>
      </c>
      <c r="J85" s="220" t="str">
        <f t="shared" si="138"/>
        <v>na</v>
      </c>
      <c r="K85" s="221" t="str">
        <f t="shared" si="138"/>
        <v>na</v>
      </c>
      <c r="L85" s="220">
        <f t="shared" si="138"/>
        <v>-1</v>
      </c>
      <c r="M85" s="220" t="str">
        <f t="shared" si="138"/>
        <v>na</v>
      </c>
      <c r="N85" s="220">
        <f t="shared" si="138"/>
        <v>1</v>
      </c>
      <c r="O85" s="220">
        <f t="shared" si="138"/>
        <v>-1</v>
      </c>
      <c r="P85" s="221">
        <f t="shared" si="138"/>
        <v>0.3333333333</v>
      </c>
      <c r="Q85" s="220" t="str">
        <f t="shared" si="138"/>
        <v>na</v>
      </c>
      <c r="R85" s="220">
        <f t="shared" si="138"/>
        <v>-1</v>
      </c>
      <c r="S85" s="220">
        <f t="shared" si="138"/>
        <v>-1</v>
      </c>
      <c r="T85" s="220" t="str">
        <f t="shared" si="138"/>
        <v>na</v>
      </c>
      <c r="U85" s="221">
        <f t="shared" si="138"/>
        <v>-1</v>
      </c>
      <c r="V85" s="220" t="str">
        <f t="shared" si="138"/>
        <v>na</v>
      </c>
      <c r="W85" s="220" t="str">
        <f t="shared" si="138"/>
        <v>na</v>
      </c>
      <c r="X85" s="220" t="str">
        <f t="shared" si="138"/>
        <v>na</v>
      </c>
      <c r="Y85" s="220" t="str">
        <f t="shared" si="138"/>
        <v>na</v>
      </c>
      <c r="Z85" s="221" t="str">
        <f t="shared" si="138"/>
        <v>na</v>
      </c>
      <c r="AA85" s="220" t="str">
        <f t="shared" si="138"/>
        <v>na</v>
      </c>
      <c r="AB85" s="220" t="str">
        <f t="shared" si="138"/>
        <v>na</v>
      </c>
      <c r="AC85" s="220" t="str">
        <f t="shared" si="138"/>
        <v>na</v>
      </c>
      <c r="AD85" s="220" t="str">
        <f t="shared" si="138"/>
        <v>na</v>
      </c>
      <c r="AE85" s="221" t="str">
        <f t="shared" si="138"/>
        <v>na</v>
      </c>
      <c r="AF85" s="220" t="str">
        <f t="shared" si="138"/>
        <v>na</v>
      </c>
      <c r="AG85" s="220" t="str">
        <f t="shared" si="138"/>
        <v>na</v>
      </c>
      <c r="AH85" s="220" t="str">
        <f t="shared" si="138"/>
        <v>na</v>
      </c>
      <c r="AI85" s="220" t="str">
        <f t="shared" si="138"/>
        <v>na</v>
      </c>
      <c r="AJ85" s="221" t="str">
        <f t="shared" si="138"/>
        <v>na</v>
      </c>
      <c r="AK85" s="220" t="str">
        <f t="shared" si="138"/>
        <v>na</v>
      </c>
      <c r="AL85" s="220" t="str">
        <f t="shared" si="138"/>
        <v>na</v>
      </c>
      <c r="AM85" s="220" t="str">
        <f t="shared" si="138"/>
        <v>na</v>
      </c>
      <c r="AN85" s="220" t="str">
        <f t="shared" si="138"/>
        <v>na</v>
      </c>
      <c r="AO85" s="221" t="str">
        <f t="shared" si="138"/>
        <v>na</v>
      </c>
      <c r="AP85" s="165"/>
      <c r="AQ85" s="187"/>
      <c r="AR85" s="165"/>
      <c r="AS85" s="165"/>
      <c r="AT85" s="165"/>
      <c r="AU85" s="165"/>
      <c r="AV85" s="187"/>
      <c r="AW85" s="165"/>
      <c r="AX85" s="165"/>
      <c r="AY85" s="165"/>
      <c r="AZ85" s="165"/>
      <c r="BA85" s="187"/>
      <c r="BB85" s="165"/>
      <c r="BC85" s="165"/>
      <c r="BD85" s="165"/>
      <c r="BE85" s="165"/>
      <c r="BF85" s="187"/>
      <c r="BG85" s="165"/>
    </row>
    <row r="86" ht="10.5" customHeight="1">
      <c r="A86" s="181" t="s">
        <v>236</v>
      </c>
      <c r="B86" s="193">
        <f t="shared" ref="B86:AO86" si="139">B80+B82+B84</f>
        <v>2446</v>
      </c>
      <c r="C86" s="193">
        <f t="shared" si="139"/>
        <v>2472</v>
      </c>
      <c r="D86" s="193">
        <f t="shared" si="139"/>
        <v>2498</v>
      </c>
      <c r="E86" s="193">
        <f t="shared" si="139"/>
        <v>2575</v>
      </c>
      <c r="F86" s="194">
        <f t="shared" si="139"/>
        <v>2575</v>
      </c>
      <c r="G86" s="193">
        <f t="shared" si="139"/>
        <v>2599</v>
      </c>
      <c r="H86" s="193">
        <f t="shared" si="139"/>
        <v>2617</v>
      </c>
      <c r="I86" s="193">
        <f t="shared" si="139"/>
        <v>2637</v>
      </c>
      <c r="J86" s="193">
        <f t="shared" si="139"/>
        <v>2722</v>
      </c>
      <c r="K86" s="194">
        <f t="shared" si="139"/>
        <v>2722</v>
      </c>
      <c r="L86" s="193">
        <f t="shared" si="139"/>
        <v>2741</v>
      </c>
      <c r="M86" s="193">
        <f t="shared" si="139"/>
        <v>2762</v>
      </c>
      <c r="N86" s="193">
        <f t="shared" si="139"/>
        <v>2795</v>
      </c>
      <c r="O86" s="193">
        <f t="shared" si="139"/>
        <v>2883</v>
      </c>
      <c r="P86" s="194">
        <f t="shared" si="139"/>
        <v>2883</v>
      </c>
      <c r="Q86" s="193">
        <f t="shared" si="139"/>
        <v>2903</v>
      </c>
      <c r="R86" s="193">
        <f t="shared" si="139"/>
        <v>2929</v>
      </c>
      <c r="S86" s="193">
        <f t="shared" si="139"/>
        <v>2961</v>
      </c>
      <c r="T86" s="193">
        <f t="shared" si="139"/>
        <v>3055</v>
      </c>
      <c r="U86" s="194">
        <f t="shared" si="139"/>
        <v>3055</v>
      </c>
      <c r="V86" s="193">
        <f t="shared" si="139"/>
        <v>3085</v>
      </c>
      <c r="W86" s="193">
        <f t="shared" si="139"/>
        <v>3114</v>
      </c>
      <c r="X86" s="193">
        <f t="shared" si="139"/>
        <v>3149</v>
      </c>
      <c r="Y86" s="193">
        <f t="shared" si="139"/>
        <v>3243</v>
      </c>
      <c r="Z86" s="194">
        <f t="shared" si="139"/>
        <v>3243</v>
      </c>
      <c r="AA86" s="193">
        <f t="shared" si="139"/>
        <v>3273</v>
      </c>
      <c r="AB86" s="193">
        <f t="shared" si="139"/>
        <v>3302</v>
      </c>
      <c r="AC86" s="193">
        <f t="shared" si="139"/>
        <v>3337</v>
      </c>
      <c r="AD86" s="193">
        <f t="shared" si="139"/>
        <v>3431</v>
      </c>
      <c r="AE86" s="194">
        <f t="shared" si="139"/>
        <v>3431</v>
      </c>
      <c r="AF86" s="193">
        <f t="shared" si="139"/>
        <v>3459</v>
      </c>
      <c r="AG86" s="193">
        <f t="shared" si="139"/>
        <v>3484</v>
      </c>
      <c r="AH86" s="193">
        <f t="shared" si="139"/>
        <v>3514</v>
      </c>
      <c r="AI86" s="193">
        <f t="shared" si="139"/>
        <v>3604</v>
      </c>
      <c r="AJ86" s="194">
        <f t="shared" si="139"/>
        <v>3604</v>
      </c>
      <c r="AK86" s="193">
        <f t="shared" si="139"/>
        <v>3632</v>
      </c>
      <c r="AL86" s="193">
        <f t="shared" si="139"/>
        <v>3657</v>
      </c>
      <c r="AM86" s="193">
        <f t="shared" si="139"/>
        <v>3687</v>
      </c>
      <c r="AN86" s="193">
        <f t="shared" si="139"/>
        <v>3777</v>
      </c>
      <c r="AO86" s="194">
        <f t="shared" si="139"/>
        <v>3777</v>
      </c>
      <c r="AP86" s="238"/>
      <c r="AQ86" s="253"/>
      <c r="AR86" s="238"/>
      <c r="AS86" s="238"/>
      <c r="AT86" s="238"/>
      <c r="AU86" s="238"/>
      <c r="AV86" s="253"/>
      <c r="AW86" s="238"/>
      <c r="AX86" s="238"/>
      <c r="AY86" s="238"/>
      <c r="AZ86" s="238"/>
      <c r="BA86" s="253"/>
      <c r="BB86" s="238"/>
      <c r="BC86" s="238"/>
      <c r="BD86" s="238"/>
      <c r="BE86" s="238"/>
      <c r="BF86" s="253"/>
      <c r="BG86" s="238"/>
    </row>
    <row r="87" ht="10.5" customHeight="1">
      <c r="A87" s="183" t="s">
        <v>212</v>
      </c>
      <c r="B87" s="220" t="str">
        <f t="shared" ref="B87:F87" si="140">IFERROR(B86/#REF!-1,"na")</f>
        <v>na</v>
      </c>
      <c r="C87" s="220" t="str">
        <f t="shared" si="140"/>
        <v>na</v>
      </c>
      <c r="D87" s="220" t="str">
        <f t="shared" si="140"/>
        <v>na</v>
      </c>
      <c r="E87" s="220" t="str">
        <f t="shared" si="140"/>
        <v>na</v>
      </c>
      <c r="F87" s="221" t="str">
        <f t="shared" si="140"/>
        <v>na</v>
      </c>
      <c r="G87" s="220">
        <f t="shared" ref="G87:AO87" si="141">IFERROR(G86/B86-1,"na")</f>
        <v>0.06255110384</v>
      </c>
      <c r="H87" s="220">
        <f t="shared" si="141"/>
        <v>0.05865695793</v>
      </c>
      <c r="I87" s="220">
        <f t="shared" si="141"/>
        <v>0.05564451561</v>
      </c>
      <c r="J87" s="220">
        <f t="shared" si="141"/>
        <v>0.05708737864</v>
      </c>
      <c r="K87" s="221">
        <f t="shared" si="141"/>
        <v>0.05708737864</v>
      </c>
      <c r="L87" s="220">
        <f t="shared" si="141"/>
        <v>0.05463639861</v>
      </c>
      <c r="M87" s="220">
        <f t="shared" si="141"/>
        <v>0.05540695453</v>
      </c>
      <c r="N87" s="220">
        <f t="shared" si="141"/>
        <v>0.05991657186</v>
      </c>
      <c r="O87" s="220">
        <f t="shared" si="141"/>
        <v>0.05914768553</v>
      </c>
      <c r="P87" s="221">
        <f t="shared" si="141"/>
        <v>0.05914768553</v>
      </c>
      <c r="Q87" s="220">
        <f t="shared" si="141"/>
        <v>0.05910251733</v>
      </c>
      <c r="R87" s="220">
        <f t="shared" si="141"/>
        <v>0.0604634323</v>
      </c>
      <c r="S87" s="220">
        <f t="shared" si="141"/>
        <v>0.05939177102</v>
      </c>
      <c r="T87" s="220">
        <f t="shared" si="141"/>
        <v>0.05966007631</v>
      </c>
      <c r="U87" s="221">
        <f t="shared" si="141"/>
        <v>0.05966007631</v>
      </c>
      <c r="V87" s="220">
        <f t="shared" si="141"/>
        <v>0.06269376507</v>
      </c>
      <c r="W87" s="220">
        <f t="shared" si="141"/>
        <v>0.06316148856</v>
      </c>
      <c r="X87" s="220">
        <f t="shared" si="141"/>
        <v>0.06349206349</v>
      </c>
      <c r="Y87" s="220">
        <f t="shared" si="141"/>
        <v>0.06153846154</v>
      </c>
      <c r="Z87" s="221">
        <f t="shared" si="141"/>
        <v>0.06153846154</v>
      </c>
      <c r="AA87" s="220">
        <f t="shared" si="141"/>
        <v>0.06094003241</v>
      </c>
      <c r="AB87" s="220">
        <f t="shared" si="141"/>
        <v>0.06037251124</v>
      </c>
      <c r="AC87" s="220">
        <f t="shared" si="141"/>
        <v>0.05970149254</v>
      </c>
      <c r="AD87" s="220">
        <f t="shared" si="141"/>
        <v>0.05797101449</v>
      </c>
      <c r="AE87" s="221">
        <f t="shared" si="141"/>
        <v>0.05797101449</v>
      </c>
      <c r="AF87" s="220">
        <f t="shared" si="141"/>
        <v>0.05682859762</v>
      </c>
      <c r="AG87" s="220">
        <f t="shared" si="141"/>
        <v>0.05511811024</v>
      </c>
      <c r="AH87" s="220">
        <f t="shared" si="141"/>
        <v>0.05304165418</v>
      </c>
      <c r="AI87" s="220">
        <f t="shared" si="141"/>
        <v>0.05042261731</v>
      </c>
      <c r="AJ87" s="221">
        <f t="shared" si="141"/>
        <v>0.05042261731</v>
      </c>
      <c r="AK87" s="220">
        <f t="shared" si="141"/>
        <v>0.05001445504</v>
      </c>
      <c r="AL87" s="220">
        <f t="shared" si="141"/>
        <v>0.04965556831</v>
      </c>
      <c r="AM87" s="220">
        <f t="shared" si="141"/>
        <v>0.04923164485</v>
      </c>
      <c r="AN87" s="220">
        <f t="shared" si="141"/>
        <v>0.04800221976</v>
      </c>
      <c r="AO87" s="221">
        <f t="shared" si="141"/>
        <v>0.04800221976</v>
      </c>
      <c r="AP87" s="165"/>
      <c r="AQ87" s="187"/>
      <c r="AR87" s="165"/>
      <c r="AS87" s="165"/>
      <c r="AT87" s="165"/>
      <c r="AU87" s="165"/>
      <c r="AV87" s="187"/>
      <c r="AW87" s="165"/>
      <c r="AX87" s="165"/>
      <c r="AY87" s="165"/>
      <c r="AZ87" s="165"/>
      <c r="BA87" s="187"/>
      <c r="BB87" s="165"/>
      <c r="BC87" s="165"/>
      <c r="BD87" s="165"/>
      <c r="BE87" s="165"/>
      <c r="BF87" s="187"/>
      <c r="BG87" s="165"/>
    </row>
    <row r="88" ht="10.5" customHeight="1">
      <c r="A88" s="164" t="s">
        <v>250</v>
      </c>
      <c r="B88" s="262">
        <v>0.099</v>
      </c>
      <c r="C88" s="262">
        <v>0.087</v>
      </c>
      <c r="D88" s="262">
        <v>0.084</v>
      </c>
      <c r="E88" s="254">
        <f>(F88*4)-D88-C88-B88</f>
        <v>0.078</v>
      </c>
      <c r="F88" s="263">
        <v>0.087</v>
      </c>
      <c r="G88" s="258">
        <v>0.062</v>
      </c>
      <c r="H88" s="258">
        <v>0.042</v>
      </c>
      <c r="I88" s="262">
        <v>0.043</v>
      </c>
      <c r="J88" s="254">
        <f>(K88*4)-I88-H88-G88</f>
        <v>0.053</v>
      </c>
      <c r="K88" s="264">
        <v>0.05</v>
      </c>
      <c r="L88" s="262">
        <v>0.061</v>
      </c>
      <c r="M88" s="258">
        <v>0.082</v>
      </c>
      <c r="N88" s="258">
        <v>0.069</v>
      </c>
      <c r="O88" s="222">
        <f>(90%*O60)+(10%*O74)</f>
        <v>0.0445</v>
      </c>
      <c r="P88" s="255">
        <f>AVERAGE(L88:O88)</f>
        <v>0.064125</v>
      </c>
      <c r="Q88" s="222">
        <f t="shared" ref="Q88:T88" si="142">(90%*Q60)+(10%*Q74)</f>
        <v>0.059</v>
      </c>
      <c r="R88" s="222">
        <f t="shared" si="142"/>
        <v>0.059</v>
      </c>
      <c r="S88" s="222">
        <f t="shared" si="142"/>
        <v>0.059</v>
      </c>
      <c r="T88" s="222">
        <f t="shared" si="142"/>
        <v>0.059</v>
      </c>
      <c r="U88" s="255">
        <f>AVERAGE(Q88:T88)</f>
        <v>0.059</v>
      </c>
      <c r="V88" s="222">
        <f t="shared" ref="V88:Y88" si="143">(90%*V60)+(10%*V74)</f>
        <v>0.0495</v>
      </c>
      <c r="W88" s="222">
        <f t="shared" si="143"/>
        <v>0.0495</v>
      </c>
      <c r="X88" s="222">
        <f t="shared" si="143"/>
        <v>0.0495</v>
      </c>
      <c r="Y88" s="222">
        <f t="shared" si="143"/>
        <v>0.0495</v>
      </c>
      <c r="Z88" s="255">
        <f>AVERAGE(V88:Y88)</f>
        <v>0.0495</v>
      </c>
      <c r="AA88" s="222">
        <f t="shared" ref="AA88:AD88" si="144">(90%*AA60)+(10%*AA74)</f>
        <v>0.044</v>
      </c>
      <c r="AB88" s="222">
        <f t="shared" si="144"/>
        <v>0.044</v>
      </c>
      <c r="AC88" s="222">
        <f t="shared" si="144"/>
        <v>0.044</v>
      </c>
      <c r="AD88" s="222">
        <f t="shared" si="144"/>
        <v>0.044</v>
      </c>
      <c r="AE88" s="255">
        <f>AVERAGE(AA88:AD88)</f>
        <v>0.044</v>
      </c>
      <c r="AF88" s="222">
        <f t="shared" ref="AF88:AI88" si="145">(90%*AF60)+(10%*AF74)</f>
        <v>0.035</v>
      </c>
      <c r="AG88" s="222">
        <f t="shared" si="145"/>
        <v>0.035</v>
      </c>
      <c r="AH88" s="222">
        <f t="shared" si="145"/>
        <v>0.035</v>
      </c>
      <c r="AI88" s="222">
        <f t="shared" si="145"/>
        <v>0.035</v>
      </c>
      <c r="AJ88" s="255">
        <f>AVERAGE(AF88:AI88)</f>
        <v>0.035</v>
      </c>
      <c r="AK88" s="222">
        <f t="shared" ref="AK88:AN88" si="146">(90%*AK60)+(10%*AK74)</f>
        <v>0.034</v>
      </c>
      <c r="AL88" s="222">
        <f t="shared" si="146"/>
        <v>0.034</v>
      </c>
      <c r="AM88" s="222">
        <f t="shared" si="146"/>
        <v>0.034</v>
      </c>
      <c r="AN88" s="222">
        <f t="shared" si="146"/>
        <v>0.034</v>
      </c>
      <c r="AO88" s="255">
        <f>AVERAGE(AK88:AN88)</f>
        <v>0.034</v>
      </c>
      <c r="AP88" s="165"/>
      <c r="AQ88" s="187"/>
      <c r="AR88" s="165"/>
      <c r="AS88" s="165"/>
      <c r="AT88" s="165"/>
      <c r="AU88" s="165"/>
      <c r="AV88" s="187"/>
      <c r="AW88" s="165"/>
      <c r="AX88" s="165"/>
      <c r="AY88" s="165"/>
      <c r="AZ88" s="165"/>
      <c r="BA88" s="187"/>
      <c r="BB88" s="165"/>
      <c r="BC88" s="165"/>
      <c r="BD88" s="165"/>
      <c r="BE88" s="165"/>
      <c r="BF88" s="187"/>
      <c r="BG88" s="165"/>
    </row>
    <row r="89" ht="10.5" customHeight="1">
      <c r="A89" s="183"/>
      <c r="B89" s="210"/>
      <c r="C89" s="210"/>
      <c r="D89" s="210"/>
      <c r="E89" s="210"/>
      <c r="F89" s="207"/>
      <c r="G89" s="210"/>
      <c r="H89" s="210"/>
      <c r="I89" s="210"/>
      <c r="J89" s="165"/>
      <c r="K89" s="207"/>
      <c r="L89" s="165"/>
      <c r="M89" s="187"/>
      <c r="N89" s="165"/>
      <c r="O89" s="165"/>
      <c r="P89" s="207"/>
      <c r="Q89" s="165"/>
      <c r="R89" s="165"/>
      <c r="S89" s="165"/>
      <c r="T89" s="165"/>
      <c r="U89" s="207"/>
      <c r="V89" s="165"/>
      <c r="W89" s="165"/>
      <c r="X89" s="165"/>
      <c r="Y89" s="165"/>
      <c r="Z89" s="207"/>
      <c r="AA89" s="165"/>
      <c r="AB89" s="165"/>
      <c r="AC89" s="165"/>
      <c r="AD89" s="165"/>
      <c r="AE89" s="207"/>
      <c r="AF89" s="165"/>
      <c r="AG89" s="165"/>
      <c r="AH89" s="165"/>
      <c r="AI89" s="165"/>
      <c r="AJ89" s="207"/>
      <c r="AK89" s="165"/>
      <c r="AL89" s="165"/>
      <c r="AM89" s="165"/>
      <c r="AN89" s="165"/>
      <c r="AO89" s="207"/>
      <c r="AP89" s="165"/>
      <c r="AQ89" s="187"/>
      <c r="AR89" s="165"/>
      <c r="AS89" s="165"/>
      <c r="AT89" s="165"/>
      <c r="AU89" s="165"/>
      <c r="AV89" s="187"/>
      <c r="AW89" s="165"/>
      <c r="AX89" s="165"/>
      <c r="AY89" s="165"/>
      <c r="AZ89" s="165"/>
      <c r="BA89" s="187"/>
      <c r="BB89" s="165"/>
      <c r="BC89" s="165"/>
      <c r="BD89" s="165"/>
      <c r="BE89" s="165"/>
      <c r="BF89" s="187"/>
      <c r="BG89" s="165"/>
    </row>
    <row r="90" ht="10.5" customHeight="1">
      <c r="A90" s="270" t="s">
        <v>143</v>
      </c>
      <c r="B90" s="213"/>
      <c r="C90" s="213"/>
      <c r="D90" s="213"/>
      <c r="E90" s="213"/>
      <c r="F90" s="216"/>
      <c r="G90" s="213"/>
      <c r="H90" s="213"/>
      <c r="I90" s="213"/>
      <c r="J90" s="215"/>
      <c r="K90" s="216"/>
      <c r="L90" s="215"/>
      <c r="M90" s="252"/>
      <c r="N90" s="215"/>
      <c r="O90" s="215"/>
      <c r="P90" s="216"/>
      <c r="Q90" s="215"/>
      <c r="R90" s="215"/>
      <c r="S90" s="215"/>
      <c r="T90" s="215"/>
      <c r="U90" s="216"/>
      <c r="V90" s="215"/>
      <c r="W90" s="215"/>
      <c r="X90" s="215"/>
      <c r="Y90" s="215"/>
      <c r="Z90" s="216"/>
      <c r="AA90" s="215"/>
      <c r="AB90" s="215"/>
      <c r="AC90" s="215"/>
      <c r="AD90" s="215"/>
      <c r="AE90" s="216"/>
      <c r="AF90" s="215"/>
      <c r="AG90" s="215"/>
      <c r="AH90" s="215"/>
      <c r="AI90" s="215"/>
      <c r="AJ90" s="216"/>
      <c r="AK90" s="215"/>
      <c r="AL90" s="215"/>
      <c r="AM90" s="215"/>
      <c r="AN90" s="215"/>
      <c r="AO90" s="216"/>
      <c r="AP90" s="165"/>
      <c r="AQ90" s="187"/>
      <c r="AR90" s="165"/>
      <c r="AS90" s="165"/>
      <c r="AT90" s="165"/>
      <c r="AU90" s="165"/>
      <c r="AV90" s="187"/>
      <c r="AW90" s="165"/>
      <c r="AX90" s="165"/>
      <c r="AY90" s="165"/>
      <c r="AZ90" s="165"/>
      <c r="BA90" s="187"/>
      <c r="BB90" s="165"/>
      <c r="BC90" s="165"/>
      <c r="BD90" s="165"/>
      <c r="BE90" s="165"/>
      <c r="BF90" s="187"/>
      <c r="BG90" s="165"/>
    </row>
    <row r="91" ht="10.5" customHeight="1">
      <c r="A91" s="181"/>
      <c r="B91" s="165"/>
      <c r="C91" s="165"/>
      <c r="D91" s="165"/>
      <c r="E91" s="165"/>
      <c r="F91" s="207"/>
      <c r="G91" s="165"/>
      <c r="H91" s="165"/>
      <c r="I91" s="165"/>
      <c r="J91" s="165"/>
      <c r="K91" s="207"/>
      <c r="L91" s="165"/>
      <c r="M91" s="187"/>
      <c r="N91" s="165"/>
      <c r="O91" s="165"/>
      <c r="P91" s="207"/>
      <c r="Q91" s="165"/>
      <c r="R91" s="165"/>
      <c r="S91" s="165"/>
      <c r="T91" s="165"/>
      <c r="U91" s="207"/>
      <c r="V91" s="165"/>
      <c r="W91" s="165"/>
      <c r="X91" s="165"/>
      <c r="Y91" s="165"/>
      <c r="Z91" s="207"/>
      <c r="AA91" s="165"/>
      <c r="AB91" s="165"/>
      <c r="AC91" s="165"/>
      <c r="AD91" s="165"/>
      <c r="AE91" s="207"/>
      <c r="AF91" s="165"/>
      <c r="AG91" s="165"/>
      <c r="AH91" s="165"/>
      <c r="AI91" s="165"/>
      <c r="AJ91" s="207"/>
      <c r="AK91" s="165"/>
      <c r="AL91" s="165"/>
      <c r="AM91" s="165"/>
      <c r="AN91" s="165"/>
      <c r="AO91" s="207"/>
      <c r="AP91" s="165"/>
      <c r="AQ91" s="187"/>
      <c r="AR91" s="165"/>
      <c r="AS91" s="165"/>
      <c r="AT91" s="165"/>
      <c r="AU91" s="165"/>
      <c r="AV91" s="187"/>
      <c r="AW91" s="165"/>
      <c r="AX91" s="165"/>
      <c r="AY91" s="165"/>
      <c r="AZ91" s="165"/>
      <c r="BA91" s="187"/>
      <c r="BB91" s="165"/>
      <c r="BC91" s="165"/>
      <c r="BD91" s="165"/>
      <c r="BE91" s="165"/>
      <c r="BF91" s="187"/>
      <c r="BG91" s="165"/>
    </row>
    <row r="92" ht="10.5" customHeight="1">
      <c r="A92" s="183" t="s">
        <v>254</v>
      </c>
      <c r="B92" s="186">
        <f>'Income Statement'!B8</f>
        <v>75.878</v>
      </c>
      <c r="C92" s="186">
        <f>'Income Statement'!C8</f>
        <v>80.846</v>
      </c>
      <c r="D92" s="186">
        <f>'Income Statement'!D8</f>
        <v>80.587</v>
      </c>
      <c r="E92" s="186">
        <f>'Income Statement'!E8</f>
        <v>80.604</v>
      </c>
      <c r="F92" s="185">
        <f>'Income Statement'!F8</f>
        <v>387.927</v>
      </c>
      <c r="G92" s="186">
        <f>'Income Statement'!G8</f>
        <v>104.02</v>
      </c>
      <c r="H92" s="186">
        <f>'Income Statement'!H8</f>
        <v>107.79</v>
      </c>
      <c r="I92" s="186">
        <f>'Income Statement'!I8</f>
        <v>102.415</v>
      </c>
      <c r="J92" s="186">
        <f>'Income Statement'!J8</f>
        <v>109.022</v>
      </c>
      <c r="K92" s="185">
        <f>SUM(G92:J92)</f>
        <v>423.247</v>
      </c>
      <c r="L92" s="186">
        <f>'Income Statement'!L8</f>
        <v>115.18</v>
      </c>
      <c r="M92" s="186">
        <f>'Income Statement'!M8</f>
        <v>119.658</v>
      </c>
      <c r="N92" s="186">
        <f>'Income Statement'!N8</f>
        <v>113.675</v>
      </c>
      <c r="O92" s="186">
        <f>O$10*O93</f>
        <v>96.96149107</v>
      </c>
      <c r="P92" s="185">
        <f>SUM(L92:O92)</f>
        <v>445.4744911</v>
      </c>
      <c r="Q92" s="186">
        <f t="shared" ref="Q92:T92" si="147">Q$10*Q93</f>
        <v>108.6992139</v>
      </c>
      <c r="R92" s="186">
        <f t="shared" si="147"/>
        <v>113.074343</v>
      </c>
      <c r="S92" s="186">
        <f t="shared" si="147"/>
        <v>106.8483529</v>
      </c>
      <c r="T92" s="186">
        <f t="shared" si="147"/>
        <v>112.3504979</v>
      </c>
      <c r="U92" s="185">
        <f>SUM(Q92:T92)</f>
        <v>440.9724077</v>
      </c>
      <c r="V92" s="186">
        <f t="shared" ref="V92:Y92" si="148">V$10*V93</f>
        <v>122.2813958</v>
      </c>
      <c r="W92" s="186">
        <f t="shared" si="148"/>
        <v>127.3485516</v>
      </c>
      <c r="X92" s="186">
        <f t="shared" si="148"/>
        <v>119.1974017</v>
      </c>
      <c r="Y92" s="186">
        <f t="shared" si="148"/>
        <v>125.203453</v>
      </c>
      <c r="Z92" s="185">
        <f>SUM(V92:Y92)</f>
        <v>494.0308021</v>
      </c>
      <c r="AA92" s="186">
        <f t="shared" ref="AA92:AD92" si="149">AA$10*AA93</f>
        <v>135.4626663</v>
      </c>
      <c r="AB92" s="186">
        <f t="shared" si="149"/>
        <v>141.0014718</v>
      </c>
      <c r="AC92" s="186">
        <f t="shared" si="149"/>
        <v>131.905335</v>
      </c>
      <c r="AD92" s="186">
        <f t="shared" si="149"/>
        <v>138.3986329</v>
      </c>
      <c r="AE92" s="185">
        <f>SUM(AA92:AD92)</f>
        <v>546.7681059</v>
      </c>
      <c r="AF92" s="186">
        <f t="shared" ref="AF92:AI92" si="150">AF$10*AF93</f>
        <v>148.1033429</v>
      </c>
      <c r="AG92" s="186">
        <f t="shared" si="150"/>
        <v>153.9631555</v>
      </c>
      <c r="AH92" s="186">
        <f t="shared" si="150"/>
        <v>143.8025857</v>
      </c>
      <c r="AI92" s="186">
        <f t="shared" si="150"/>
        <v>150.5968201</v>
      </c>
      <c r="AJ92" s="185">
        <f>SUM(AF92:AI92)</f>
        <v>596.4659042</v>
      </c>
      <c r="AK92" s="186">
        <f t="shared" ref="AK92:AN92" si="151">AK$10*AK93</f>
        <v>160.9674121</v>
      </c>
      <c r="AL92" s="186">
        <f t="shared" si="151"/>
        <v>167.2760043</v>
      </c>
      <c r="AM92" s="186">
        <f t="shared" si="151"/>
        <v>156.1814905</v>
      </c>
      <c r="AN92" s="186">
        <f t="shared" si="151"/>
        <v>163.4305496</v>
      </c>
      <c r="AO92" s="185">
        <f>SUM(AK92:AN92)</f>
        <v>647.8554564</v>
      </c>
      <c r="AP92" s="165"/>
      <c r="AQ92" s="187"/>
      <c r="AR92" s="165"/>
      <c r="AS92" s="165"/>
      <c r="AT92" s="165"/>
      <c r="AU92" s="165"/>
      <c r="AV92" s="187"/>
      <c r="AW92" s="165"/>
      <c r="AX92" s="165"/>
      <c r="AY92" s="165"/>
      <c r="AZ92" s="165"/>
      <c r="BA92" s="187"/>
      <c r="BB92" s="165"/>
      <c r="BC92" s="165"/>
      <c r="BD92" s="165"/>
      <c r="BE92" s="165"/>
      <c r="BF92" s="187"/>
      <c r="BG92" s="165"/>
    </row>
    <row r="93" ht="10.5" customHeight="1">
      <c r="A93" s="183" t="s">
        <v>255</v>
      </c>
      <c r="B93" s="222">
        <f t="shared" ref="B93:N93" si="152">B92/B$10</f>
        <v>0.8186918711</v>
      </c>
      <c r="C93" s="222">
        <f t="shared" si="152"/>
        <v>0.8179316485</v>
      </c>
      <c r="D93" s="222">
        <f t="shared" si="152"/>
        <v>0.8209341415</v>
      </c>
      <c r="E93" s="222">
        <f t="shared" si="152"/>
        <v>0.820480456</v>
      </c>
      <c r="F93" s="261">
        <f t="shared" si="152"/>
        <v>0.9999948444</v>
      </c>
      <c r="G93" s="222">
        <f t="shared" si="152"/>
        <v>1</v>
      </c>
      <c r="H93" s="222">
        <f t="shared" si="152"/>
        <v>1</v>
      </c>
      <c r="I93" s="222">
        <f t="shared" si="152"/>
        <v>1</v>
      </c>
      <c r="J93" s="222">
        <f t="shared" si="152"/>
        <v>1</v>
      </c>
      <c r="K93" s="261">
        <f t="shared" si="152"/>
        <v>1</v>
      </c>
      <c r="L93" s="222">
        <f t="shared" si="152"/>
        <v>1</v>
      </c>
      <c r="M93" s="222">
        <f t="shared" si="152"/>
        <v>1</v>
      </c>
      <c r="N93" s="222">
        <f t="shared" si="152"/>
        <v>1</v>
      </c>
      <c r="O93" s="258">
        <v>0.81</v>
      </c>
      <c r="P93" s="261">
        <f>P92/P$10</f>
        <v>0.9514242788</v>
      </c>
      <c r="Q93" s="258">
        <v>0.77</v>
      </c>
      <c r="R93" s="258">
        <v>0.77</v>
      </c>
      <c r="S93" s="258">
        <v>0.77</v>
      </c>
      <c r="T93" s="258">
        <v>0.77</v>
      </c>
      <c r="U93" s="261">
        <f>U92/U$10</f>
        <v>0.77</v>
      </c>
      <c r="V93" s="258">
        <v>0.77</v>
      </c>
      <c r="W93" s="258">
        <v>0.77</v>
      </c>
      <c r="X93" s="258">
        <v>0.77</v>
      </c>
      <c r="Y93" s="258">
        <v>0.77</v>
      </c>
      <c r="Z93" s="261">
        <f>Z92/Z$10</f>
        <v>0.77</v>
      </c>
      <c r="AA93" s="258">
        <v>0.77</v>
      </c>
      <c r="AB93" s="258">
        <v>0.77</v>
      </c>
      <c r="AC93" s="258">
        <v>0.77</v>
      </c>
      <c r="AD93" s="258">
        <v>0.77</v>
      </c>
      <c r="AE93" s="261">
        <f>AE92/AE$10</f>
        <v>0.77</v>
      </c>
      <c r="AF93" s="258">
        <v>0.77</v>
      </c>
      <c r="AG93" s="258">
        <v>0.77</v>
      </c>
      <c r="AH93" s="258">
        <v>0.77</v>
      </c>
      <c r="AI93" s="258">
        <v>0.77</v>
      </c>
      <c r="AJ93" s="261">
        <f>AJ92/AJ$10</f>
        <v>0.77</v>
      </c>
      <c r="AK93" s="258">
        <v>0.77</v>
      </c>
      <c r="AL93" s="258">
        <v>0.77</v>
      </c>
      <c r="AM93" s="258">
        <v>0.77</v>
      </c>
      <c r="AN93" s="258">
        <v>0.77</v>
      </c>
      <c r="AO93" s="261">
        <f>AO92/AO$10</f>
        <v>0.77</v>
      </c>
      <c r="AP93" s="172"/>
      <c r="AQ93" s="172"/>
      <c r="AR93" s="172"/>
      <c r="AS93" s="172"/>
      <c r="AT93" s="172"/>
      <c r="AU93" s="172"/>
      <c r="AV93" s="172"/>
      <c r="AW93" s="172"/>
      <c r="AX93" s="172"/>
      <c r="AY93" s="172"/>
      <c r="AZ93" s="172"/>
      <c r="BA93" s="172"/>
      <c r="BB93" s="172"/>
      <c r="BC93" s="172"/>
      <c r="BD93" s="172"/>
      <c r="BE93" s="172"/>
      <c r="BF93" s="172"/>
      <c r="BG93" s="172"/>
    </row>
    <row r="94" ht="10.5" customHeight="1">
      <c r="A94" s="183" t="s">
        <v>212</v>
      </c>
      <c r="B94" s="220" t="str">
        <f t="shared" ref="B94:F94" si="153">IFERROR(B92/#REF!-1,"na")</f>
        <v>na</v>
      </c>
      <c r="C94" s="220" t="str">
        <f t="shared" si="153"/>
        <v>na</v>
      </c>
      <c r="D94" s="220" t="str">
        <f t="shared" si="153"/>
        <v>na</v>
      </c>
      <c r="E94" s="220" t="str">
        <f t="shared" si="153"/>
        <v>na</v>
      </c>
      <c r="F94" s="221" t="str">
        <f t="shared" si="153"/>
        <v>na</v>
      </c>
      <c r="G94" s="220">
        <f t="shared" ref="G94:AO94" si="154">IFERROR(G92/B92-1,"na")</f>
        <v>0.3708848415</v>
      </c>
      <c r="H94" s="220">
        <f t="shared" si="154"/>
        <v>0.3332756104</v>
      </c>
      <c r="I94" s="220">
        <f t="shared" si="154"/>
        <v>0.2708625461</v>
      </c>
      <c r="J94" s="220">
        <f t="shared" si="154"/>
        <v>0.3525631482</v>
      </c>
      <c r="K94" s="221">
        <f t="shared" si="154"/>
        <v>0.09104805801</v>
      </c>
      <c r="L94" s="220">
        <f t="shared" si="154"/>
        <v>0.1072870602</v>
      </c>
      <c r="M94" s="220">
        <f t="shared" si="154"/>
        <v>0.110102978</v>
      </c>
      <c r="N94" s="220">
        <f t="shared" si="154"/>
        <v>0.1099448323</v>
      </c>
      <c r="O94" s="220">
        <f t="shared" si="154"/>
        <v>-0.110624543</v>
      </c>
      <c r="P94" s="221">
        <f t="shared" si="154"/>
        <v>0.0525165945</v>
      </c>
      <c r="Q94" s="220">
        <f t="shared" si="154"/>
        <v>-0.05626659193</v>
      </c>
      <c r="R94" s="220">
        <f t="shared" si="154"/>
        <v>-0.05502061741</v>
      </c>
      <c r="S94" s="220">
        <f t="shared" si="154"/>
        <v>-0.06005407571</v>
      </c>
      <c r="T94" s="220">
        <f t="shared" si="154"/>
        <v>0.1587125635</v>
      </c>
      <c r="U94" s="221">
        <f t="shared" si="154"/>
        <v>-0.01010626519</v>
      </c>
      <c r="V94" s="220">
        <f t="shared" si="154"/>
        <v>0.1249519785</v>
      </c>
      <c r="W94" s="220">
        <f t="shared" si="154"/>
        <v>0.1262373785</v>
      </c>
      <c r="X94" s="220">
        <f t="shared" si="154"/>
        <v>0.1155754717</v>
      </c>
      <c r="Y94" s="220">
        <f t="shared" si="154"/>
        <v>0.1144005173</v>
      </c>
      <c r="Z94" s="221">
        <f t="shared" si="154"/>
        <v>0.1203213476</v>
      </c>
      <c r="AA94" s="220">
        <f t="shared" si="154"/>
        <v>0.1077945701</v>
      </c>
      <c r="AB94" s="220">
        <f t="shared" si="154"/>
        <v>0.107209073</v>
      </c>
      <c r="AC94" s="220">
        <f t="shared" si="154"/>
        <v>0.1066125022</v>
      </c>
      <c r="AD94" s="220">
        <f t="shared" si="154"/>
        <v>0.1053899043</v>
      </c>
      <c r="AE94" s="221">
        <f t="shared" si="154"/>
        <v>0.1067490197</v>
      </c>
      <c r="AF94" s="220">
        <f t="shared" si="154"/>
        <v>0.09331483695</v>
      </c>
      <c r="AG94" s="220">
        <f t="shared" si="154"/>
        <v>0.09192587578</v>
      </c>
      <c r="AH94" s="220">
        <f t="shared" si="154"/>
        <v>0.09019537146</v>
      </c>
      <c r="AI94" s="220">
        <f t="shared" si="154"/>
        <v>0.08813806154</v>
      </c>
      <c r="AJ94" s="221">
        <f t="shared" si="154"/>
        <v>0.09089374045</v>
      </c>
      <c r="AK94" s="220">
        <f t="shared" si="154"/>
        <v>0.08685873606</v>
      </c>
      <c r="AL94" s="220">
        <f t="shared" si="154"/>
        <v>0.08646775746</v>
      </c>
      <c r="AM94" s="220">
        <f t="shared" si="154"/>
        <v>0.08608263015</v>
      </c>
      <c r="AN94" s="220">
        <f t="shared" si="154"/>
        <v>0.08521912662</v>
      </c>
      <c r="AO94" s="221">
        <f t="shared" si="154"/>
        <v>0.08615673063</v>
      </c>
      <c r="AP94" s="165"/>
      <c r="AQ94" s="187"/>
      <c r="AR94" s="165"/>
      <c r="AS94" s="165"/>
      <c r="AT94" s="165"/>
      <c r="AU94" s="165"/>
      <c r="AV94" s="187"/>
      <c r="AW94" s="165"/>
      <c r="AX94" s="165"/>
      <c r="AY94" s="165"/>
      <c r="AZ94" s="165"/>
      <c r="BA94" s="187"/>
      <c r="BB94" s="165"/>
      <c r="BC94" s="165"/>
      <c r="BD94" s="165"/>
      <c r="BE94" s="165"/>
      <c r="BF94" s="187"/>
      <c r="BG94" s="165"/>
    </row>
    <row r="95" ht="10.5" customHeight="1">
      <c r="A95" s="183"/>
      <c r="B95" s="210"/>
      <c r="C95" s="210"/>
      <c r="D95" s="210"/>
      <c r="E95" s="210"/>
      <c r="F95" s="207"/>
      <c r="G95" s="210"/>
      <c r="H95" s="210"/>
      <c r="I95" s="210"/>
      <c r="J95" s="165"/>
      <c r="K95" s="207"/>
      <c r="L95" s="165"/>
      <c r="M95" s="210"/>
      <c r="N95" s="210"/>
      <c r="O95" s="165"/>
      <c r="P95" s="207"/>
      <c r="Q95" s="165"/>
      <c r="R95" s="165"/>
      <c r="S95" s="165"/>
      <c r="T95" s="165"/>
      <c r="U95" s="207"/>
      <c r="V95" s="165"/>
      <c r="W95" s="165"/>
      <c r="X95" s="165"/>
      <c r="Y95" s="165"/>
      <c r="Z95" s="207"/>
      <c r="AA95" s="165"/>
      <c r="AB95" s="165"/>
      <c r="AC95" s="165"/>
      <c r="AD95" s="165"/>
      <c r="AE95" s="207"/>
      <c r="AF95" s="165"/>
      <c r="AG95" s="165"/>
      <c r="AH95" s="165"/>
      <c r="AI95" s="165"/>
      <c r="AJ95" s="207"/>
      <c r="AK95" s="165"/>
      <c r="AL95" s="165"/>
      <c r="AM95" s="165"/>
      <c r="AN95" s="165"/>
      <c r="AO95" s="207"/>
      <c r="AP95" s="165"/>
      <c r="AQ95" s="187"/>
      <c r="AR95" s="165"/>
      <c r="AS95" s="165"/>
      <c r="AT95" s="165"/>
      <c r="AU95" s="165"/>
      <c r="AV95" s="187"/>
      <c r="AW95" s="165"/>
      <c r="AX95" s="165"/>
      <c r="AY95" s="165"/>
      <c r="AZ95" s="165"/>
      <c r="BA95" s="187"/>
      <c r="BB95" s="165"/>
      <c r="BC95" s="165"/>
      <c r="BD95" s="165"/>
      <c r="BE95" s="165"/>
      <c r="BF95" s="187"/>
      <c r="BG95" s="165"/>
    </row>
    <row r="96" ht="10.5" customHeight="1">
      <c r="A96" s="183" t="s">
        <v>163</v>
      </c>
      <c r="B96" s="186">
        <f>'Income Statement'!B13</f>
        <v>19.354</v>
      </c>
      <c r="C96" s="186">
        <f>'Income Statement'!C13</f>
        <v>59.457</v>
      </c>
      <c r="D96" s="186">
        <f>'Income Statement'!D13</f>
        <v>53.751</v>
      </c>
      <c r="E96" s="186">
        <f>'Income Statement'!E13</f>
        <v>57.465</v>
      </c>
      <c r="F96" s="185">
        <f>'Income Statement'!F13</f>
        <v>190.027</v>
      </c>
      <c r="G96" s="186">
        <f>'Income Statement'!G13</f>
        <v>18.993</v>
      </c>
      <c r="H96" s="186">
        <f>'Income Statement'!H13</f>
        <v>51.934</v>
      </c>
      <c r="I96" s="186">
        <f>'Income Statement'!I13</f>
        <v>45.701</v>
      </c>
      <c r="J96" s="186">
        <f>'Income Statement'!J13</f>
        <v>80.494</v>
      </c>
      <c r="K96" s="185">
        <f>SUM(G96:J96)</f>
        <v>197.122</v>
      </c>
      <c r="L96" s="186">
        <f>'Income Statement'!L13</f>
        <v>22.485</v>
      </c>
      <c r="M96" s="186">
        <f>'Income Statement'!M13</f>
        <v>59.423</v>
      </c>
      <c r="N96" s="186">
        <f>'Income Statement'!N13</f>
        <v>58.155</v>
      </c>
      <c r="O96" s="186">
        <f>O$22*O97</f>
        <v>85.38333862</v>
      </c>
      <c r="P96" s="185">
        <f>SUM(L96:O96)</f>
        <v>225.4463386</v>
      </c>
      <c r="Q96" s="186">
        <f t="shared" ref="Q96:T96" si="155">Q$22*Q97</f>
        <v>23.90893698</v>
      </c>
      <c r="R96" s="186">
        <f t="shared" si="155"/>
        <v>65.24285379</v>
      </c>
      <c r="S96" s="186">
        <f t="shared" si="155"/>
        <v>63.9520299</v>
      </c>
      <c r="T96" s="186">
        <f t="shared" si="155"/>
        <v>94.61147527</v>
      </c>
      <c r="U96" s="185">
        <f>SUM(Q96:T96)</f>
        <v>247.7152959</v>
      </c>
      <c r="V96" s="186">
        <f t="shared" ref="V96:Y96" si="156">V$22*V97</f>
        <v>24.80860122</v>
      </c>
      <c r="W96" s="186">
        <f t="shared" si="156"/>
        <v>70.12011476</v>
      </c>
      <c r="X96" s="186">
        <f t="shared" si="156"/>
        <v>68.62353658</v>
      </c>
      <c r="Y96" s="186">
        <f t="shared" si="156"/>
        <v>102.1164867</v>
      </c>
      <c r="Z96" s="185">
        <f>SUM(V96:Y96)</f>
        <v>265.6687393</v>
      </c>
      <c r="AA96" s="186">
        <f t="shared" ref="AA96:AD96" si="157">AA$22*AA97</f>
        <v>27.34328974</v>
      </c>
      <c r="AB96" s="186">
        <f t="shared" si="157"/>
        <v>76.61748779</v>
      </c>
      <c r="AC96" s="186">
        <f t="shared" si="157"/>
        <v>74.94595227</v>
      </c>
      <c r="AD96" s="186">
        <f t="shared" si="157"/>
        <v>111.0961164</v>
      </c>
      <c r="AE96" s="185">
        <f>SUM(AA96:AD96)</f>
        <v>290.0028462</v>
      </c>
      <c r="AF96" s="186">
        <f t="shared" ref="AF96:AI96" si="158">AF$22*AF97</f>
        <v>29.86980554</v>
      </c>
      <c r="AG96" s="186">
        <f t="shared" si="158"/>
        <v>82.8773241</v>
      </c>
      <c r="AH96" s="186">
        <f t="shared" si="158"/>
        <v>80.91626121</v>
      </c>
      <c r="AI96" s="186">
        <f t="shared" si="158"/>
        <v>119.257778</v>
      </c>
      <c r="AJ96" s="185">
        <f>SUM(AF96:AI96)</f>
        <v>312.9211688</v>
      </c>
      <c r="AK96" s="186">
        <f t="shared" ref="AK96:AN96" si="159">AK$22*AK97</f>
        <v>32.18408555</v>
      </c>
      <c r="AL96" s="186">
        <f t="shared" si="159"/>
        <v>88.70536053</v>
      </c>
      <c r="AM96" s="186">
        <f t="shared" si="159"/>
        <v>86.57129357</v>
      </c>
      <c r="AN96" s="186">
        <f t="shared" si="159"/>
        <v>127.228384</v>
      </c>
      <c r="AO96" s="185">
        <f>SUM(AK96:AN96)</f>
        <v>334.6891237</v>
      </c>
      <c r="AP96" s="165"/>
      <c r="AQ96" s="187"/>
      <c r="AR96" s="165"/>
      <c r="AS96" s="165"/>
      <c r="AT96" s="165"/>
      <c r="AU96" s="165"/>
      <c r="AV96" s="187"/>
      <c r="AW96" s="165"/>
      <c r="AX96" s="165"/>
      <c r="AY96" s="165"/>
      <c r="AZ96" s="165"/>
      <c r="BA96" s="187"/>
      <c r="BB96" s="165"/>
      <c r="BC96" s="165"/>
      <c r="BD96" s="165"/>
      <c r="BE96" s="165"/>
      <c r="BF96" s="187"/>
      <c r="BG96" s="165"/>
    </row>
    <row r="97" ht="10.5" customHeight="1">
      <c r="A97" s="164" t="s">
        <v>242</v>
      </c>
      <c r="B97" s="222">
        <f t="shared" ref="B97:N97" si="160">B96/B$22</f>
        <v>0.08709191135</v>
      </c>
      <c r="C97" s="222">
        <f t="shared" si="160"/>
        <v>0.2075556005</v>
      </c>
      <c r="D97" s="222">
        <f t="shared" si="160"/>
        <v>0.1936617054</v>
      </c>
      <c r="E97" s="222">
        <f t="shared" si="160"/>
        <v>0.201570047</v>
      </c>
      <c r="F97" s="261">
        <f t="shared" si="160"/>
        <v>0.1773755141</v>
      </c>
      <c r="G97" s="222">
        <f t="shared" si="160"/>
        <v>0.07657942802</v>
      </c>
      <c r="H97" s="222">
        <f t="shared" si="160"/>
        <v>0.1725720324</v>
      </c>
      <c r="I97" s="222">
        <f t="shared" si="160"/>
        <v>0.1563785304</v>
      </c>
      <c r="J97" s="222">
        <f t="shared" si="160"/>
        <v>0.2364341313</v>
      </c>
      <c r="K97" s="261">
        <f t="shared" si="160"/>
        <v>0.1668187134</v>
      </c>
      <c r="L97" s="222">
        <f t="shared" si="160"/>
        <v>0.0812724552</v>
      </c>
      <c r="M97" s="222">
        <f t="shared" si="160"/>
        <v>0.1743228536</v>
      </c>
      <c r="N97" s="222">
        <f t="shared" si="160"/>
        <v>0.1760432275</v>
      </c>
      <c r="O97" s="258">
        <f>J97</f>
        <v>0.2364341313</v>
      </c>
      <c r="P97" s="261">
        <f>P96/P$22</f>
        <v>0.1722258746</v>
      </c>
      <c r="Q97" s="258">
        <f t="shared" ref="Q97:T97" si="161">L97-0.6%</f>
        <v>0.0752724552</v>
      </c>
      <c r="R97" s="258">
        <f t="shared" si="161"/>
        <v>0.1683228536</v>
      </c>
      <c r="S97" s="258">
        <f t="shared" si="161"/>
        <v>0.1700432275</v>
      </c>
      <c r="T97" s="258">
        <f t="shared" si="161"/>
        <v>0.2304341313</v>
      </c>
      <c r="U97" s="261">
        <f>U96/U$22</f>
        <v>0.1660390976</v>
      </c>
      <c r="V97" s="258">
        <f t="shared" ref="V97:Y97" si="162">Q97-0.5%</f>
        <v>0.0702724552</v>
      </c>
      <c r="W97" s="258">
        <f t="shared" si="162"/>
        <v>0.1633228536</v>
      </c>
      <c r="X97" s="258">
        <f t="shared" si="162"/>
        <v>0.1650432275</v>
      </c>
      <c r="Y97" s="258">
        <f t="shared" si="162"/>
        <v>0.2254341313</v>
      </c>
      <c r="Z97" s="261">
        <f>Z96/Z$22</f>
        <v>0.1609004616</v>
      </c>
      <c r="AA97" s="258">
        <f t="shared" ref="AA97:AD97" si="163">V97</f>
        <v>0.0702724552</v>
      </c>
      <c r="AB97" s="258">
        <f t="shared" si="163"/>
        <v>0.1633228536</v>
      </c>
      <c r="AC97" s="258">
        <f t="shared" si="163"/>
        <v>0.1650432275</v>
      </c>
      <c r="AD97" s="258">
        <f t="shared" si="163"/>
        <v>0.2254341313</v>
      </c>
      <c r="AE97" s="261">
        <f>AE96/AE$22</f>
        <v>0.1606548895</v>
      </c>
      <c r="AF97" s="258">
        <f t="shared" ref="AF97:AI97" si="164">AA97</f>
        <v>0.0702724552</v>
      </c>
      <c r="AG97" s="258">
        <f t="shared" si="164"/>
        <v>0.1633228536</v>
      </c>
      <c r="AH97" s="258">
        <f t="shared" si="164"/>
        <v>0.1650432275</v>
      </c>
      <c r="AI97" s="258">
        <f t="shared" si="164"/>
        <v>0.2254341313</v>
      </c>
      <c r="AJ97" s="261">
        <f>AJ96/AJ$22</f>
        <v>0.16032532</v>
      </c>
      <c r="AK97" s="258">
        <f t="shared" ref="AK97:AN97" si="165">AF97</f>
        <v>0.0702724552</v>
      </c>
      <c r="AL97" s="258">
        <f t="shared" si="165"/>
        <v>0.1633228536</v>
      </c>
      <c r="AM97" s="258">
        <f t="shared" si="165"/>
        <v>0.1650432275</v>
      </c>
      <c r="AN97" s="258">
        <f t="shared" si="165"/>
        <v>0.2254341313</v>
      </c>
      <c r="AO97" s="261">
        <f>AO96/AO$22</f>
        <v>0.1601363002</v>
      </c>
      <c r="AP97" s="165"/>
      <c r="AQ97" s="187"/>
      <c r="AR97" s="165"/>
      <c r="AS97" s="165"/>
      <c r="AT97" s="165"/>
      <c r="AU97" s="165"/>
      <c r="AV97" s="187"/>
      <c r="AW97" s="165"/>
      <c r="AX97" s="165"/>
      <c r="AY97" s="165"/>
      <c r="AZ97" s="165"/>
      <c r="BA97" s="187"/>
      <c r="BB97" s="165"/>
      <c r="BC97" s="165"/>
      <c r="BD97" s="165"/>
      <c r="BE97" s="165"/>
      <c r="BF97" s="187"/>
      <c r="BG97" s="165"/>
    </row>
    <row r="98" ht="10.5" customHeight="1">
      <c r="A98" s="183" t="s">
        <v>212</v>
      </c>
      <c r="B98" s="220" t="str">
        <f t="shared" ref="B98:F98" si="166">IFERROR(B96/#REF!-1,"na")</f>
        <v>na</v>
      </c>
      <c r="C98" s="220" t="str">
        <f t="shared" si="166"/>
        <v>na</v>
      </c>
      <c r="D98" s="220" t="str">
        <f t="shared" si="166"/>
        <v>na</v>
      </c>
      <c r="E98" s="220" t="str">
        <f t="shared" si="166"/>
        <v>na</v>
      </c>
      <c r="F98" s="221" t="str">
        <f t="shared" si="166"/>
        <v>na</v>
      </c>
      <c r="G98" s="220">
        <f t="shared" ref="G98:AO98" si="167">IFERROR(G96/B96-1,"na")</f>
        <v>-0.01865247494</v>
      </c>
      <c r="H98" s="220">
        <f t="shared" si="167"/>
        <v>-0.1265284155</v>
      </c>
      <c r="I98" s="220">
        <f t="shared" si="167"/>
        <v>-0.1497646555</v>
      </c>
      <c r="J98" s="220">
        <f t="shared" si="167"/>
        <v>0.4007482816</v>
      </c>
      <c r="K98" s="221">
        <f t="shared" si="167"/>
        <v>0.03733679951</v>
      </c>
      <c r="L98" s="220">
        <f t="shared" si="167"/>
        <v>0.1838572106</v>
      </c>
      <c r="M98" s="220">
        <f t="shared" si="167"/>
        <v>0.1442022567</v>
      </c>
      <c r="N98" s="220">
        <f t="shared" si="167"/>
        <v>0.2725104483</v>
      </c>
      <c r="O98" s="220">
        <f t="shared" si="167"/>
        <v>0.06074165305</v>
      </c>
      <c r="P98" s="221">
        <f t="shared" si="167"/>
        <v>0.1436893833</v>
      </c>
      <c r="Q98" s="220">
        <f t="shared" si="167"/>
        <v>0.0633283069</v>
      </c>
      <c r="R98" s="220">
        <f t="shared" si="167"/>
        <v>0.0979394139</v>
      </c>
      <c r="S98" s="220">
        <f t="shared" si="167"/>
        <v>0.09968239878</v>
      </c>
      <c r="T98" s="220">
        <f t="shared" si="167"/>
        <v>0.1080788922</v>
      </c>
      <c r="U98" s="221">
        <f t="shared" si="167"/>
        <v>0.09877719663</v>
      </c>
      <c r="V98" s="220">
        <f t="shared" si="167"/>
        <v>0.0376287848</v>
      </c>
      <c r="W98" s="220">
        <f t="shared" si="167"/>
        <v>0.07475548184</v>
      </c>
      <c r="X98" s="220">
        <f t="shared" si="167"/>
        <v>0.07304704309</v>
      </c>
      <c r="Y98" s="220">
        <f t="shared" si="167"/>
        <v>0.07932453688</v>
      </c>
      <c r="Z98" s="221">
        <f t="shared" si="167"/>
        <v>0.07247611937</v>
      </c>
      <c r="AA98" s="220">
        <f t="shared" si="167"/>
        <v>0.1021697472</v>
      </c>
      <c r="AB98" s="220">
        <f t="shared" si="167"/>
        <v>0.09266061595</v>
      </c>
      <c r="AC98" s="220">
        <f t="shared" si="167"/>
        <v>0.09213188355</v>
      </c>
      <c r="AD98" s="220">
        <f t="shared" si="167"/>
        <v>0.08793516119</v>
      </c>
      <c r="AE98" s="221">
        <f t="shared" si="167"/>
        <v>0.09159567289</v>
      </c>
      <c r="AF98" s="220">
        <f t="shared" si="167"/>
        <v>0.0923998473</v>
      </c>
      <c r="AG98" s="220">
        <f t="shared" si="167"/>
        <v>0.08170244794</v>
      </c>
      <c r="AH98" s="220">
        <f t="shared" si="167"/>
        <v>0.07966152621</v>
      </c>
      <c r="AI98" s="220">
        <f t="shared" si="167"/>
        <v>0.07346486809</v>
      </c>
      <c r="AJ98" s="221">
        <f t="shared" si="167"/>
        <v>0.07902792294</v>
      </c>
      <c r="AK98" s="220">
        <f t="shared" si="167"/>
        <v>0.07747891143</v>
      </c>
      <c r="AL98" s="220">
        <f t="shared" si="167"/>
        <v>0.07032124288</v>
      </c>
      <c r="AM98" s="220">
        <f t="shared" si="167"/>
        <v>0.06988746492</v>
      </c>
      <c r="AN98" s="220">
        <f t="shared" si="167"/>
        <v>0.06683510411</v>
      </c>
      <c r="AO98" s="221">
        <f t="shared" si="167"/>
        <v>0.06956370165</v>
      </c>
      <c r="AP98" s="238"/>
      <c r="AQ98" s="253"/>
      <c r="AR98" s="238"/>
      <c r="AS98" s="238"/>
      <c r="AT98" s="238"/>
      <c r="AU98" s="238"/>
      <c r="AV98" s="253"/>
      <c r="AW98" s="238"/>
      <c r="AX98" s="238"/>
      <c r="AY98" s="238"/>
      <c r="AZ98" s="238"/>
      <c r="BA98" s="253"/>
      <c r="BB98" s="238"/>
      <c r="BC98" s="238"/>
      <c r="BD98" s="238"/>
      <c r="BE98" s="238"/>
      <c r="BF98" s="253"/>
      <c r="BG98" s="238"/>
    </row>
    <row r="99" ht="10.5" customHeight="1">
      <c r="A99" s="164"/>
      <c r="B99" s="165"/>
      <c r="C99" s="165"/>
      <c r="D99" s="165"/>
      <c r="E99" s="165"/>
      <c r="F99" s="207"/>
      <c r="G99" s="165"/>
      <c r="H99" s="165"/>
      <c r="I99" s="165"/>
      <c r="J99" s="165"/>
      <c r="K99" s="207"/>
      <c r="L99" s="165"/>
      <c r="M99" s="165"/>
      <c r="N99" s="165"/>
      <c r="O99" s="165"/>
      <c r="P99" s="207"/>
      <c r="Q99" s="165"/>
      <c r="R99" s="165"/>
      <c r="S99" s="165"/>
      <c r="T99" s="165"/>
      <c r="U99" s="207"/>
      <c r="V99" s="165"/>
      <c r="W99" s="165"/>
      <c r="X99" s="165"/>
      <c r="Y99" s="165"/>
      <c r="Z99" s="207"/>
      <c r="AA99" s="165"/>
      <c r="AB99" s="165"/>
      <c r="AC99" s="165"/>
      <c r="AD99" s="165"/>
      <c r="AE99" s="207"/>
      <c r="AF99" s="165"/>
      <c r="AG99" s="165"/>
      <c r="AH99" s="165"/>
      <c r="AI99" s="165"/>
      <c r="AJ99" s="207"/>
      <c r="AK99" s="165"/>
      <c r="AL99" s="165"/>
      <c r="AM99" s="165"/>
      <c r="AN99" s="165"/>
      <c r="AO99" s="207"/>
      <c r="AP99" s="165"/>
      <c r="AQ99" s="187"/>
      <c r="AR99" s="165"/>
      <c r="AS99" s="165"/>
      <c r="AT99" s="165"/>
      <c r="AU99" s="165"/>
      <c r="AV99" s="187"/>
      <c r="AW99" s="165"/>
      <c r="AX99" s="165"/>
      <c r="AY99" s="165"/>
      <c r="AZ99" s="165"/>
      <c r="BA99" s="187"/>
      <c r="BB99" s="165"/>
      <c r="BC99" s="165"/>
      <c r="BD99" s="165"/>
      <c r="BE99" s="165"/>
      <c r="BF99" s="187"/>
      <c r="BG99" s="165"/>
    </row>
    <row r="100" ht="10.5" customHeight="1">
      <c r="A100" s="183" t="s">
        <v>164</v>
      </c>
      <c r="B100" s="186">
        <f>'Income Statement'!B14</f>
        <v>66.015</v>
      </c>
      <c r="C100" s="186">
        <f>'Income Statement'!C14</f>
        <v>58.876</v>
      </c>
      <c r="D100" s="186">
        <f>'Income Statement'!D14</f>
        <v>63.12</v>
      </c>
      <c r="E100" s="186">
        <f>'Income Statement'!E14</f>
        <v>65.608</v>
      </c>
      <c r="F100" s="185">
        <f>'Income Statement'!F14</f>
        <v>253.619</v>
      </c>
      <c r="G100" s="186">
        <f>'Income Statement'!G14</f>
        <v>74.353</v>
      </c>
      <c r="H100" s="186">
        <f>'Income Statement'!H14</f>
        <v>70.152</v>
      </c>
      <c r="I100" s="186">
        <f>'Income Statement'!I14</f>
        <v>71.614</v>
      </c>
      <c r="J100" s="186">
        <f>'Income Statement'!J14</f>
        <v>74.388</v>
      </c>
      <c r="K100" s="185">
        <f>SUM(G100:J100)</f>
        <v>290.507</v>
      </c>
      <c r="L100" s="186">
        <f>'Income Statement'!L14</f>
        <v>81.68</v>
      </c>
      <c r="M100" s="186">
        <f>'Income Statement'!M14</f>
        <v>77.437</v>
      </c>
      <c r="N100" s="186">
        <f>'Income Statement'!N14</f>
        <v>79.792</v>
      </c>
      <c r="O100" s="186">
        <f>O$22*O101</f>
        <v>77.64284159</v>
      </c>
      <c r="P100" s="185">
        <f>SUM(L100:O100)</f>
        <v>316.5518416</v>
      </c>
      <c r="Q100" s="186">
        <f t="shared" ref="Q100:T100" si="168">Q$22*Q101</f>
        <v>91.86992722</v>
      </c>
      <c r="R100" s="186">
        <f t="shared" si="168"/>
        <v>85.7261467</v>
      </c>
      <c r="S100" s="186">
        <f t="shared" si="168"/>
        <v>88.58542665</v>
      </c>
      <c r="T100" s="186">
        <f t="shared" si="168"/>
        <v>85.81106549</v>
      </c>
      <c r="U100" s="185">
        <f>SUM(Q100:T100)</f>
        <v>351.9925661</v>
      </c>
      <c r="V100" s="186">
        <f t="shared" ref="V100:Y100" si="169">V$22*V101</f>
        <v>100.3443718</v>
      </c>
      <c r="W100" s="186">
        <f t="shared" si="169"/>
        <v>94.95527543</v>
      </c>
      <c r="X100" s="186">
        <f t="shared" si="169"/>
        <v>97.93607053</v>
      </c>
      <c r="Y100" s="186">
        <f t="shared" si="169"/>
        <v>94.67220249</v>
      </c>
      <c r="Z100" s="185">
        <f>SUM(V100:Y100)</f>
        <v>387.9079202</v>
      </c>
      <c r="AA100" s="186">
        <f t="shared" ref="AA100:AD100" si="170">AA$22*AA101</f>
        <v>110.5965308</v>
      </c>
      <c r="AB100" s="186">
        <f t="shared" si="170"/>
        <v>103.7538897</v>
      </c>
      <c r="AC100" s="186">
        <f t="shared" si="170"/>
        <v>106.9591052</v>
      </c>
      <c r="AD100" s="186">
        <f t="shared" si="170"/>
        <v>102.9972179</v>
      </c>
      <c r="AE100" s="185">
        <f>SUM(AA100:AD100)</f>
        <v>424.3067436</v>
      </c>
      <c r="AF100" s="186">
        <f t="shared" ref="AF100:AI100" si="171">AF$22*AF101</f>
        <v>120.8156334</v>
      </c>
      <c r="AG100" s="186">
        <f t="shared" si="171"/>
        <v>112.2308365</v>
      </c>
      <c r="AH100" s="186">
        <f t="shared" si="171"/>
        <v>115.4796307</v>
      </c>
      <c r="AI100" s="186">
        <f t="shared" si="171"/>
        <v>110.5638949</v>
      </c>
      <c r="AJ100" s="185">
        <f>SUM(AF100:AI100)</f>
        <v>459.0899956</v>
      </c>
      <c r="AK100" s="186">
        <f t="shared" ref="AK100:AN100" si="172">AK$22*AK101</f>
        <v>130.1762972</v>
      </c>
      <c r="AL100" s="186">
        <f t="shared" si="172"/>
        <v>120.1230484</v>
      </c>
      <c r="AM100" s="186">
        <f t="shared" si="172"/>
        <v>123.5502094</v>
      </c>
      <c r="AN100" s="186">
        <f t="shared" si="172"/>
        <v>117.9534443</v>
      </c>
      <c r="AO100" s="185">
        <f>SUM(AK100:AN100)</f>
        <v>491.8029993</v>
      </c>
      <c r="AP100" s="165"/>
      <c r="AQ100" s="187"/>
      <c r="AR100" s="165"/>
      <c r="AS100" s="165"/>
      <c r="AT100" s="165"/>
      <c r="AU100" s="165"/>
      <c r="AV100" s="187"/>
      <c r="AW100" s="165"/>
      <c r="AX100" s="165"/>
      <c r="AY100" s="165"/>
      <c r="AZ100" s="165"/>
      <c r="BA100" s="187"/>
      <c r="BB100" s="165"/>
      <c r="BC100" s="165"/>
      <c r="BD100" s="165"/>
      <c r="BE100" s="165"/>
      <c r="BF100" s="187"/>
      <c r="BG100" s="165"/>
    </row>
    <row r="101" ht="10.5" customHeight="1">
      <c r="A101" s="164" t="s">
        <v>242</v>
      </c>
      <c r="B101" s="222">
        <f t="shared" ref="B101:N101" si="173">B100/B$22</f>
        <v>0.2970637867</v>
      </c>
      <c r="C101" s="222">
        <f t="shared" si="173"/>
        <v>0.2055274154</v>
      </c>
      <c r="D101" s="222">
        <f t="shared" si="173"/>
        <v>0.2274176638</v>
      </c>
      <c r="E101" s="222">
        <f t="shared" si="173"/>
        <v>0.2301332576</v>
      </c>
      <c r="F101" s="261">
        <f t="shared" si="173"/>
        <v>0.23673373</v>
      </c>
      <c r="G101" s="222">
        <f t="shared" si="173"/>
        <v>0.2997899338</v>
      </c>
      <c r="H101" s="222">
        <f t="shared" si="173"/>
        <v>0.2331088153</v>
      </c>
      <c r="I101" s="222">
        <f t="shared" si="173"/>
        <v>0.245046981</v>
      </c>
      <c r="J101" s="222">
        <f t="shared" si="173"/>
        <v>0.2184990454</v>
      </c>
      <c r="K101" s="261">
        <f t="shared" si="173"/>
        <v>0.2458477693</v>
      </c>
      <c r="L101" s="222">
        <f t="shared" si="173"/>
        <v>0.2952338955</v>
      </c>
      <c r="M101" s="222">
        <f t="shared" si="173"/>
        <v>0.2271685847</v>
      </c>
      <c r="N101" s="222">
        <f t="shared" si="173"/>
        <v>0.2415414188</v>
      </c>
      <c r="O101" s="258">
        <v>0.215</v>
      </c>
      <c r="P101" s="261">
        <f>P100/P$22</f>
        <v>0.2418243654</v>
      </c>
      <c r="Q101" s="258">
        <f t="shared" ref="Q101:T101" si="174">L101-0.6%</f>
        <v>0.2892338955</v>
      </c>
      <c r="R101" s="258">
        <f t="shared" si="174"/>
        <v>0.2211685847</v>
      </c>
      <c r="S101" s="258">
        <f t="shared" si="174"/>
        <v>0.2355414188</v>
      </c>
      <c r="T101" s="258">
        <f t="shared" si="174"/>
        <v>0.209</v>
      </c>
      <c r="U101" s="261">
        <f>U100/U$22</f>
        <v>0.2359342721</v>
      </c>
      <c r="V101" s="258">
        <f>Q101-0.5%</f>
        <v>0.2842338955</v>
      </c>
      <c r="W101" s="258">
        <f t="shared" ref="W101:Y101" si="175">R101</f>
        <v>0.2211685847</v>
      </c>
      <c r="X101" s="258">
        <f t="shared" si="175"/>
        <v>0.2355414188</v>
      </c>
      <c r="Y101" s="258">
        <f t="shared" si="175"/>
        <v>0.209</v>
      </c>
      <c r="Z101" s="261">
        <f>Z100/Z$22</f>
        <v>0.2349337886</v>
      </c>
      <c r="AA101" s="258">
        <f t="shared" ref="AA101:AD101" si="176">V101</f>
        <v>0.2842338955</v>
      </c>
      <c r="AB101" s="258">
        <f t="shared" si="176"/>
        <v>0.2211685847</v>
      </c>
      <c r="AC101" s="258">
        <f t="shared" si="176"/>
        <v>0.2355414188</v>
      </c>
      <c r="AD101" s="258">
        <f t="shared" si="176"/>
        <v>0.209</v>
      </c>
      <c r="AE101" s="261">
        <f>AE100/AE$22</f>
        <v>0.2350561517</v>
      </c>
      <c r="AF101" s="258">
        <f t="shared" ref="AF101:AI101" si="177">AA101</f>
        <v>0.2842338955</v>
      </c>
      <c r="AG101" s="258">
        <f t="shared" si="177"/>
        <v>0.2211685847</v>
      </c>
      <c r="AH101" s="258">
        <f t="shared" si="177"/>
        <v>0.2355414188</v>
      </c>
      <c r="AI101" s="258">
        <f t="shared" si="177"/>
        <v>0.209</v>
      </c>
      <c r="AJ101" s="261">
        <f>AJ100/AJ$22</f>
        <v>0.2352149928</v>
      </c>
      <c r="AK101" s="258">
        <f t="shared" ref="AK101:AN101" si="178">AF101</f>
        <v>0.2842338955</v>
      </c>
      <c r="AL101" s="258">
        <f t="shared" si="178"/>
        <v>0.2211685847</v>
      </c>
      <c r="AM101" s="258">
        <f t="shared" si="178"/>
        <v>0.2355414188</v>
      </c>
      <c r="AN101" s="258">
        <f t="shared" si="178"/>
        <v>0.209</v>
      </c>
      <c r="AO101" s="261">
        <f>AO100/AO$22</f>
        <v>0.2353094474</v>
      </c>
      <c r="AP101" s="165"/>
      <c r="AQ101" s="187"/>
      <c r="AR101" s="165"/>
      <c r="AS101" s="165"/>
      <c r="AT101" s="165"/>
      <c r="AU101" s="165"/>
      <c r="AV101" s="187"/>
      <c r="AW101" s="165"/>
      <c r="AX101" s="165"/>
      <c r="AY101" s="165"/>
      <c r="AZ101" s="165"/>
      <c r="BA101" s="187"/>
      <c r="BB101" s="165"/>
      <c r="BC101" s="165"/>
      <c r="BD101" s="165"/>
      <c r="BE101" s="165"/>
      <c r="BF101" s="187"/>
      <c r="BG101" s="165"/>
    </row>
    <row r="102" ht="10.5" customHeight="1">
      <c r="A102" s="183" t="s">
        <v>212</v>
      </c>
      <c r="B102" s="220" t="str">
        <f t="shared" ref="B102:F102" si="179">IFERROR(B100/#REF!-1,"na")</f>
        <v>na</v>
      </c>
      <c r="C102" s="220" t="str">
        <f t="shared" si="179"/>
        <v>na</v>
      </c>
      <c r="D102" s="220" t="str">
        <f t="shared" si="179"/>
        <v>na</v>
      </c>
      <c r="E102" s="220" t="str">
        <f t="shared" si="179"/>
        <v>na</v>
      </c>
      <c r="F102" s="221" t="str">
        <f t="shared" si="179"/>
        <v>na</v>
      </c>
      <c r="G102" s="220">
        <f t="shared" ref="G102:AO102" si="180">IFERROR(G100/B100-1,"na")</f>
        <v>0.1263046277</v>
      </c>
      <c r="H102" s="220">
        <f t="shared" si="180"/>
        <v>0.1915211631</v>
      </c>
      <c r="I102" s="220">
        <f t="shared" si="180"/>
        <v>0.1345690748</v>
      </c>
      <c r="J102" s="220">
        <f t="shared" si="180"/>
        <v>0.1338251433</v>
      </c>
      <c r="K102" s="221">
        <f t="shared" si="180"/>
        <v>0.1454465162</v>
      </c>
      <c r="L102" s="220">
        <f t="shared" si="180"/>
        <v>0.0985434347</v>
      </c>
      <c r="M102" s="220">
        <f t="shared" si="180"/>
        <v>0.1038459345</v>
      </c>
      <c r="N102" s="220">
        <f t="shared" si="180"/>
        <v>0.1141955484</v>
      </c>
      <c r="O102" s="220">
        <f t="shared" si="180"/>
        <v>0.04375492812</v>
      </c>
      <c r="P102" s="221">
        <f t="shared" si="180"/>
        <v>0.08965306032</v>
      </c>
      <c r="Q102" s="220">
        <f t="shared" si="180"/>
        <v>0.1247542509</v>
      </c>
      <c r="R102" s="220">
        <f t="shared" si="180"/>
        <v>0.1070437479</v>
      </c>
      <c r="S102" s="220">
        <f t="shared" si="180"/>
        <v>0.1102043644</v>
      </c>
      <c r="T102" s="220">
        <f t="shared" si="180"/>
        <v>0.1052025367</v>
      </c>
      <c r="U102" s="221">
        <f t="shared" si="180"/>
        <v>0.1119586741</v>
      </c>
      <c r="V102" s="220">
        <f t="shared" si="180"/>
        <v>0.09224394525</v>
      </c>
      <c r="W102" s="220">
        <f t="shared" si="180"/>
        <v>0.107658271</v>
      </c>
      <c r="X102" s="220">
        <f t="shared" si="180"/>
        <v>0.1055551035</v>
      </c>
      <c r="Y102" s="220">
        <f t="shared" si="180"/>
        <v>0.1032633373</v>
      </c>
      <c r="Z102" s="221">
        <f t="shared" si="180"/>
        <v>0.102034411</v>
      </c>
      <c r="AA102" s="220">
        <f t="shared" si="180"/>
        <v>0.1021697472</v>
      </c>
      <c r="AB102" s="220">
        <f t="shared" si="180"/>
        <v>0.09266061595</v>
      </c>
      <c r="AC102" s="220">
        <f t="shared" si="180"/>
        <v>0.09213188355</v>
      </c>
      <c r="AD102" s="220">
        <f t="shared" si="180"/>
        <v>0.08793516119</v>
      </c>
      <c r="AE102" s="221">
        <f t="shared" si="180"/>
        <v>0.09383366912</v>
      </c>
      <c r="AF102" s="220">
        <f t="shared" si="180"/>
        <v>0.0923998473</v>
      </c>
      <c r="AG102" s="220">
        <f t="shared" si="180"/>
        <v>0.08170244794</v>
      </c>
      <c r="AH102" s="220">
        <f t="shared" si="180"/>
        <v>0.07966152621</v>
      </c>
      <c r="AI102" s="220">
        <f t="shared" si="180"/>
        <v>0.07346486809</v>
      </c>
      <c r="AJ102" s="221">
        <f t="shared" si="180"/>
        <v>0.08197666534</v>
      </c>
      <c r="AK102" s="220">
        <f t="shared" si="180"/>
        <v>0.07747891143</v>
      </c>
      <c r="AL102" s="220">
        <f t="shared" si="180"/>
        <v>0.07032124288</v>
      </c>
      <c r="AM102" s="220">
        <f t="shared" si="180"/>
        <v>0.06988746492</v>
      </c>
      <c r="AN102" s="220">
        <f t="shared" si="180"/>
        <v>0.06683510411</v>
      </c>
      <c r="AO102" s="221">
        <f t="shared" si="180"/>
        <v>0.07125618955</v>
      </c>
      <c r="AP102" s="164"/>
      <c r="AQ102" s="187"/>
      <c r="AR102" s="164"/>
      <c r="AS102" s="164"/>
      <c r="AT102" s="164"/>
      <c r="AU102" s="164"/>
      <c r="AV102" s="187"/>
      <c r="AW102" s="164"/>
      <c r="AX102" s="164"/>
      <c r="AY102" s="164"/>
      <c r="AZ102" s="164"/>
      <c r="BA102" s="187"/>
      <c r="BB102" s="164"/>
      <c r="BC102" s="164"/>
      <c r="BD102" s="164"/>
      <c r="BE102" s="164"/>
      <c r="BF102" s="187"/>
      <c r="BG102" s="164"/>
    </row>
    <row r="103" ht="10.5" customHeight="1">
      <c r="A103" s="183"/>
      <c r="B103" s="210"/>
      <c r="C103" s="210"/>
      <c r="D103" s="210"/>
      <c r="E103" s="210"/>
      <c r="F103" s="211"/>
      <c r="G103" s="210"/>
      <c r="H103" s="210"/>
      <c r="I103" s="210"/>
      <c r="J103" s="165"/>
      <c r="K103" s="207"/>
      <c r="L103" s="165"/>
      <c r="M103" s="210"/>
      <c r="N103" s="210"/>
      <c r="O103" s="165"/>
      <c r="P103" s="207"/>
      <c r="Q103" s="165"/>
      <c r="R103" s="165"/>
      <c r="S103" s="165"/>
      <c r="T103" s="165"/>
      <c r="U103" s="207"/>
      <c r="V103" s="165"/>
      <c r="W103" s="165"/>
      <c r="X103" s="165"/>
      <c r="Y103" s="165"/>
      <c r="Z103" s="207"/>
      <c r="AA103" s="165"/>
      <c r="AB103" s="165"/>
      <c r="AC103" s="165"/>
      <c r="AD103" s="165"/>
      <c r="AE103" s="207"/>
      <c r="AF103" s="165"/>
      <c r="AG103" s="165"/>
      <c r="AH103" s="165"/>
      <c r="AI103" s="165"/>
      <c r="AJ103" s="207"/>
      <c r="AK103" s="165"/>
      <c r="AL103" s="165"/>
      <c r="AM103" s="165"/>
      <c r="AN103" s="165"/>
      <c r="AO103" s="207"/>
      <c r="AP103" s="165"/>
      <c r="AQ103" s="187"/>
      <c r="AR103" s="165"/>
      <c r="AS103" s="165"/>
      <c r="AT103" s="165"/>
      <c r="AU103" s="165"/>
      <c r="AV103" s="187"/>
      <c r="AW103" s="165"/>
      <c r="AX103" s="165"/>
      <c r="AY103" s="165"/>
      <c r="AZ103" s="165"/>
      <c r="BA103" s="187"/>
      <c r="BB103" s="165"/>
      <c r="BC103" s="165"/>
      <c r="BD103" s="165"/>
      <c r="BE103" s="165"/>
      <c r="BF103" s="187"/>
      <c r="BG103" s="165"/>
    </row>
    <row r="104" ht="10.5" customHeight="1">
      <c r="A104" s="183" t="s">
        <v>165</v>
      </c>
      <c r="B104" s="186">
        <f>'Income Statement'!B15</f>
        <v>27.767</v>
      </c>
      <c r="C104" s="186">
        <f>'Income Statement'!C15</f>
        <v>32.646</v>
      </c>
      <c r="D104" s="186">
        <f>'Income Statement'!D15</f>
        <v>33.29</v>
      </c>
      <c r="E104" s="186">
        <f>'Income Statement'!E15</f>
        <v>31.225</v>
      </c>
      <c r="F104" s="185">
        <f>'Income Statement'!F15</f>
        <v>124.928</v>
      </c>
      <c r="G104" s="186">
        <f>'Income Statement'!G15</f>
        <v>29.193</v>
      </c>
      <c r="H104" s="186">
        <f>'Income Statement'!H15</f>
        <v>31.613</v>
      </c>
      <c r="I104" s="186">
        <f>'Income Statement'!I15</f>
        <v>32.647</v>
      </c>
      <c r="J104" s="186">
        <f>'Income Statement'!J15</f>
        <v>35.693</v>
      </c>
      <c r="K104" s="185">
        <f>SUM(G104:J104)</f>
        <v>129.146</v>
      </c>
      <c r="L104" s="186">
        <f>'Income Statement'!L15</f>
        <v>34.307</v>
      </c>
      <c r="M104" s="186">
        <f>'Income Statement'!M15</f>
        <v>35.511</v>
      </c>
      <c r="N104" s="186">
        <f>'Income Statement'!N15</f>
        <v>30.525</v>
      </c>
      <c r="O104" s="186">
        <f>O$22*O105</f>
        <v>35.39069059</v>
      </c>
      <c r="P104" s="185">
        <f>SUM(L104:O104)</f>
        <v>135.7336906</v>
      </c>
      <c r="Q104" s="186">
        <f t="shared" ref="Q104:T104" si="181">Q$22*Q105</f>
        <v>39.38740927</v>
      </c>
      <c r="R104" s="186">
        <f t="shared" si="181"/>
        <v>40.37871736</v>
      </c>
      <c r="S104" s="186">
        <f t="shared" si="181"/>
        <v>34.75225011</v>
      </c>
      <c r="T104" s="186">
        <f t="shared" si="181"/>
        <v>40.23676755</v>
      </c>
      <c r="U104" s="185">
        <f>SUM(Q104:T104)</f>
        <v>154.7551443</v>
      </c>
      <c r="V104" s="186">
        <f t="shared" ref="V104:Y104" si="182">V$22*V105</f>
        <v>43.77744201</v>
      </c>
      <c r="W104" s="186">
        <f t="shared" si="182"/>
        <v>44.72582026</v>
      </c>
      <c r="X104" s="186">
        <f t="shared" si="182"/>
        <v>38.42052747</v>
      </c>
      <c r="Y104" s="186">
        <f t="shared" si="182"/>
        <v>44.39175045</v>
      </c>
      <c r="Z104" s="185">
        <f>SUM(V104:Y104)</f>
        <v>171.3155402</v>
      </c>
      <c r="AA104" s="186">
        <f t="shared" ref="AA104:AD104" si="183">AA$22*AA105</f>
        <v>48.25017219</v>
      </c>
      <c r="AB104" s="186">
        <f t="shared" si="183"/>
        <v>48.87014231</v>
      </c>
      <c r="AC104" s="186">
        <f t="shared" si="183"/>
        <v>41.96028303</v>
      </c>
      <c r="AD104" s="186">
        <f t="shared" si="183"/>
        <v>48.29534618</v>
      </c>
      <c r="AE104" s="185">
        <f>SUM(AA104:AD104)</f>
        <v>187.3759437</v>
      </c>
      <c r="AF104" s="186">
        <f t="shared" ref="AF104:AI104" si="184">AF$22*AF105</f>
        <v>44.20593769</v>
      </c>
      <c r="AG104" s="186">
        <f t="shared" si="184"/>
        <v>52.77425368</v>
      </c>
      <c r="AH104" s="186">
        <f t="shared" si="184"/>
        <v>50.98840644</v>
      </c>
      <c r="AI104" s="186">
        <f t="shared" si="184"/>
        <v>55.01744052</v>
      </c>
      <c r="AJ104" s="185">
        <f>SUM(AF104:AI104)</f>
        <v>202.9860383</v>
      </c>
      <c r="AK104" s="186">
        <f t="shared" ref="AK104:AN104" si="185">AK$22*AK105</f>
        <v>47.63096562</v>
      </c>
      <c r="AL104" s="186">
        <f t="shared" si="185"/>
        <v>56.48540479</v>
      </c>
      <c r="AM104" s="186">
        <f t="shared" si="185"/>
        <v>54.55185691</v>
      </c>
      <c r="AN104" s="186">
        <f t="shared" si="185"/>
        <v>58.69453689</v>
      </c>
      <c r="AO104" s="185">
        <f>SUM(AK104:AN104)</f>
        <v>217.3627642</v>
      </c>
      <c r="AP104" s="165"/>
      <c r="AQ104" s="187"/>
      <c r="AR104" s="165"/>
      <c r="AS104" s="165"/>
      <c r="AT104" s="165"/>
      <c r="AU104" s="165"/>
      <c r="AV104" s="187"/>
      <c r="AW104" s="165"/>
      <c r="AX104" s="165"/>
      <c r="AY104" s="165"/>
      <c r="AZ104" s="165"/>
      <c r="BA104" s="187"/>
      <c r="BB104" s="165"/>
      <c r="BC104" s="165"/>
      <c r="BD104" s="165"/>
      <c r="BE104" s="165"/>
      <c r="BF104" s="187"/>
      <c r="BG104" s="165"/>
    </row>
    <row r="105" ht="10.5" customHeight="1">
      <c r="A105" s="164" t="s">
        <v>242</v>
      </c>
      <c r="B105" s="222">
        <f t="shared" ref="B105:N105" si="186">B104/B$22</f>
        <v>0.1249499381</v>
      </c>
      <c r="C105" s="222">
        <f t="shared" si="186"/>
        <v>0.1139623616</v>
      </c>
      <c r="D105" s="222">
        <f t="shared" si="186"/>
        <v>0.1199419206</v>
      </c>
      <c r="E105" s="222">
        <f t="shared" si="186"/>
        <v>0.1095279687</v>
      </c>
      <c r="F105" s="261">
        <f t="shared" si="186"/>
        <v>0.1166106302</v>
      </c>
      <c r="G105" s="222">
        <f t="shared" si="186"/>
        <v>0.1177056411</v>
      </c>
      <c r="H105" s="222">
        <f t="shared" si="186"/>
        <v>0.1050471687</v>
      </c>
      <c r="I105" s="222">
        <f t="shared" si="186"/>
        <v>0.1117106821</v>
      </c>
      <c r="J105" s="222">
        <f t="shared" si="186"/>
        <v>0.1048406521</v>
      </c>
      <c r="K105" s="261">
        <f t="shared" si="186"/>
        <v>0.1092925679</v>
      </c>
      <c r="L105" s="222">
        <f t="shared" si="186"/>
        <v>0.1240032964</v>
      </c>
      <c r="M105" s="222">
        <f t="shared" si="186"/>
        <v>0.1041747952</v>
      </c>
      <c r="N105" s="222">
        <f t="shared" si="186"/>
        <v>0.09240339645</v>
      </c>
      <c r="O105" s="258">
        <v>0.098</v>
      </c>
      <c r="P105" s="261">
        <f>AVERAGE(L105:O105)</f>
        <v>0.104645372</v>
      </c>
      <c r="Q105" s="222">
        <f t="shared" ref="Q105:T105" si="187">L105</f>
        <v>0.1240032964</v>
      </c>
      <c r="R105" s="222">
        <f t="shared" si="187"/>
        <v>0.1041747952</v>
      </c>
      <c r="S105" s="222">
        <f t="shared" si="187"/>
        <v>0.09240339645</v>
      </c>
      <c r="T105" s="222">
        <f t="shared" si="187"/>
        <v>0.098</v>
      </c>
      <c r="U105" s="261">
        <f>AVERAGE(Q105:T105)</f>
        <v>0.104645372</v>
      </c>
      <c r="V105" s="222">
        <f t="shared" ref="V105:Y105" si="188">Q105</f>
        <v>0.1240032964</v>
      </c>
      <c r="W105" s="222">
        <f t="shared" si="188"/>
        <v>0.1041747952</v>
      </c>
      <c r="X105" s="222">
        <f t="shared" si="188"/>
        <v>0.09240339645</v>
      </c>
      <c r="Y105" s="222">
        <f t="shared" si="188"/>
        <v>0.098</v>
      </c>
      <c r="Z105" s="261">
        <f>AVERAGE(V105:Y105)</f>
        <v>0.104645372</v>
      </c>
      <c r="AA105" s="222">
        <f t="shared" ref="AA105:AD105" si="189">V105</f>
        <v>0.1240032964</v>
      </c>
      <c r="AB105" s="222">
        <f t="shared" si="189"/>
        <v>0.1041747952</v>
      </c>
      <c r="AC105" s="222">
        <f t="shared" si="189"/>
        <v>0.09240339645</v>
      </c>
      <c r="AD105" s="222">
        <f t="shared" si="189"/>
        <v>0.098</v>
      </c>
      <c r="AE105" s="261">
        <f>AVERAGE(AA105:AD105)</f>
        <v>0.104645372</v>
      </c>
      <c r="AF105" s="258">
        <v>0.104</v>
      </c>
      <c r="AG105" s="258">
        <v>0.104</v>
      </c>
      <c r="AH105" s="258">
        <v>0.104</v>
      </c>
      <c r="AI105" s="258">
        <v>0.104</v>
      </c>
      <c r="AJ105" s="261">
        <f>AVERAGE(AF105:AI105)</f>
        <v>0.104</v>
      </c>
      <c r="AK105" s="258">
        <v>0.104</v>
      </c>
      <c r="AL105" s="258">
        <v>0.104</v>
      </c>
      <c r="AM105" s="258">
        <v>0.104</v>
      </c>
      <c r="AN105" s="258">
        <v>0.104</v>
      </c>
      <c r="AO105" s="261">
        <f>AVERAGE(AK105:AN105)</f>
        <v>0.104</v>
      </c>
      <c r="AP105" s="165"/>
      <c r="AQ105" s="187"/>
      <c r="AR105" s="165"/>
      <c r="AS105" s="165"/>
      <c r="AT105" s="165"/>
      <c r="AU105" s="165"/>
      <c r="AV105" s="187"/>
      <c r="AW105" s="165"/>
      <c r="AX105" s="165"/>
      <c r="AY105" s="165"/>
      <c r="AZ105" s="165"/>
      <c r="BA105" s="187"/>
      <c r="BB105" s="165"/>
      <c r="BC105" s="165"/>
      <c r="BD105" s="165"/>
      <c r="BE105" s="165"/>
      <c r="BF105" s="187"/>
      <c r="BG105" s="165"/>
    </row>
    <row r="106" ht="10.5" customHeight="1">
      <c r="A106" s="183" t="s">
        <v>212</v>
      </c>
      <c r="B106" s="220" t="str">
        <f t="shared" ref="B106:F106" si="190">IFERROR(B104/#REF!-1,"na")</f>
        <v>na</v>
      </c>
      <c r="C106" s="220" t="str">
        <f t="shared" si="190"/>
        <v>na</v>
      </c>
      <c r="D106" s="220" t="str">
        <f t="shared" si="190"/>
        <v>na</v>
      </c>
      <c r="E106" s="220" t="str">
        <f t="shared" si="190"/>
        <v>na</v>
      </c>
      <c r="F106" s="221" t="str">
        <f t="shared" si="190"/>
        <v>na</v>
      </c>
      <c r="G106" s="220">
        <f t="shared" ref="G106:AO106" si="191">IFERROR(G104/B104-1,"na")</f>
        <v>0.0513559261</v>
      </c>
      <c r="H106" s="220">
        <f t="shared" si="191"/>
        <v>-0.03164246768</v>
      </c>
      <c r="I106" s="220">
        <f t="shared" si="191"/>
        <v>-0.01931510964</v>
      </c>
      <c r="J106" s="220">
        <f t="shared" si="191"/>
        <v>0.1430904724</v>
      </c>
      <c r="K106" s="221">
        <f t="shared" si="191"/>
        <v>0.03376344775</v>
      </c>
      <c r="L106" s="220">
        <f t="shared" si="191"/>
        <v>0.1751789813</v>
      </c>
      <c r="M106" s="220">
        <f t="shared" si="191"/>
        <v>0.1233037042</v>
      </c>
      <c r="N106" s="220">
        <f t="shared" si="191"/>
        <v>-0.06499831531</v>
      </c>
      <c r="O106" s="220">
        <f t="shared" si="191"/>
        <v>-0.008469711521</v>
      </c>
      <c r="P106" s="221">
        <f t="shared" si="191"/>
        <v>0.05100963705</v>
      </c>
      <c r="Q106" s="220">
        <f t="shared" si="191"/>
        <v>0.1480866667</v>
      </c>
      <c r="R106" s="220">
        <f t="shared" si="191"/>
        <v>0.1370763246</v>
      </c>
      <c r="S106" s="220">
        <f t="shared" si="191"/>
        <v>0.1384848521</v>
      </c>
      <c r="T106" s="220">
        <f t="shared" si="191"/>
        <v>0.1369308392</v>
      </c>
      <c r="U106" s="221">
        <f t="shared" si="191"/>
        <v>0.1401380426</v>
      </c>
      <c r="V106" s="220">
        <f t="shared" si="191"/>
        <v>0.1114577681</v>
      </c>
      <c r="W106" s="220">
        <f t="shared" si="191"/>
        <v>0.107658271</v>
      </c>
      <c r="X106" s="220">
        <f t="shared" si="191"/>
        <v>0.1055551035</v>
      </c>
      <c r="Y106" s="220">
        <f t="shared" si="191"/>
        <v>0.1032633373</v>
      </c>
      <c r="Z106" s="221">
        <f t="shared" si="191"/>
        <v>0.1070103095</v>
      </c>
      <c r="AA106" s="220">
        <f t="shared" si="191"/>
        <v>0.1021697472</v>
      </c>
      <c r="AB106" s="220">
        <f t="shared" si="191"/>
        <v>0.09266061595</v>
      </c>
      <c r="AC106" s="220">
        <f t="shared" si="191"/>
        <v>0.09213188355</v>
      </c>
      <c r="AD106" s="220">
        <f t="shared" si="191"/>
        <v>0.08793516119</v>
      </c>
      <c r="AE106" s="221">
        <f t="shared" si="191"/>
        <v>0.09374749957</v>
      </c>
      <c r="AF106" s="220">
        <f t="shared" si="191"/>
        <v>-0.08381803242</v>
      </c>
      <c r="AG106" s="220">
        <f t="shared" si="191"/>
        <v>0.07988745657</v>
      </c>
      <c r="AH106" s="220">
        <f t="shared" si="191"/>
        <v>0.2151587825</v>
      </c>
      <c r="AI106" s="220">
        <f t="shared" si="191"/>
        <v>0.139187207</v>
      </c>
      <c r="AJ106" s="221">
        <f t="shared" si="191"/>
        <v>0.08330895801</v>
      </c>
      <c r="AK106" s="220">
        <f t="shared" si="191"/>
        <v>0.07747891143</v>
      </c>
      <c r="AL106" s="220">
        <f t="shared" si="191"/>
        <v>0.07032124288</v>
      </c>
      <c r="AM106" s="220">
        <f t="shared" si="191"/>
        <v>0.06988746492</v>
      </c>
      <c r="AN106" s="220">
        <f t="shared" si="191"/>
        <v>0.06683510411</v>
      </c>
      <c r="AO106" s="221">
        <f t="shared" si="191"/>
        <v>0.07082618091</v>
      </c>
      <c r="AP106" s="165"/>
      <c r="AQ106" s="187"/>
      <c r="AR106" s="165"/>
      <c r="AS106" s="165"/>
      <c r="AT106" s="165"/>
      <c r="AU106" s="165"/>
      <c r="AV106" s="187"/>
      <c r="AW106" s="165"/>
      <c r="AX106" s="165"/>
      <c r="AY106" s="165"/>
      <c r="AZ106" s="165"/>
      <c r="BA106" s="187"/>
      <c r="BB106" s="165"/>
      <c r="BC106" s="165"/>
      <c r="BD106" s="165"/>
      <c r="BE106" s="165"/>
      <c r="BF106" s="187"/>
      <c r="BG106" s="165"/>
    </row>
    <row r="107" ht="10.5" customHeight="1">
      <c r="A107" s="181"/>
      <c r="B107" s="165"/>
      <c r="C107" s="165"/>
      <c r="D107" s="165"/>
      <c r="E107" s="165"/>
      <c r="F107" s="207"/>
      <c r="G107" s="165"/>
      <c r="H107" s="165"/>
      <c r="I107" s="165"/>
      <c r="J107" s="165"/>
      <c r="K107" s="207"/>
      <c r="L107" s="165"/>
      <c r="M107" s="165"/>
      <c r="N107" s="165"/>
      <c r="O107" s="165"/>
      <c r="P107" s="207"/>
      <c r="Q107" s="165"/>
      <c r="R107" s="165"/>
      <c r="S107" s="165"/>
      <c r="T107" s="165"/>
      <c r="U107" s="207"/>
      <c r="V107" s="165"/>
      <c r="W107" s="165"/>
      <c r="X107" s="165"/>
      <c r="Y107" s="165"/>
      <c r="Z107" s="207"/>
      <c r="AA107" s="165"/>
      <c r="AB107" s="165"/>
      <c r="AC107" s="165"/>
      <c r="AD107" s="165"/>
      <c r="AE107" s="207"/>
      <c r="AF107" s="165"/>
      <c r="AG107" s="165"/>
      <c r="AH107" s="165"/>
      <c r="AI107" s="165"/>
      <c r="AJ107" s="207"/>
      <c r="AK107" s="165"/>
      <c r="AL107" s="165"/>
      <c r="AM107" s="165"/>
      <c r="AN107" s="165"/>
      <c r="AO107" s="207"/>
      <c r="AP107" s="165"/>
      <c r="AQ107" s="187"/>
      <c r="AR107" s="165"/>
      <c r="AS107" s="165"/>
      <c r="AT107" s="165"/>
      <c r="AU107" s="165"/>
      <c r="AV107" s="187"/>
      <c r="AW107" s="165"/>
      <c r="AX107" s="165"/>
      <c r="AY107" s="165"/>
      <c r="AZ107" s="165"/>
      <c r="BA107" s="187"/>
      <c r="BB107" s="165"/>
      <c r="BC107" s="165"/>
      <c r="BD107" s="165"/>
      <c r="BE107" s="165"/>
      <c r="BF107" s="187"/>
      <c r="BG107" s="165"/>
    </row>
    <row r="108" ht="10.5" customHeight="1">
      <c r="A108" s="183" t="s">
        <v>166</v>
      </c>
      <c r="B108" s="186">
        <f>'Income Statement'!B16</f>
        <v>16.987</v>
      </c>
      <c r="C108" s="186">
        <f>'Income Statement'!C16</f>
        <v>17.89</v>
      </c>
      <c r="D108" s="186">
        <f>'Income Statement'!D16</f>
        <v>17.618</v>
      </c>
      <c r="E108" s="186">
        <f>'Income Statement'!E16</f>
        <v>17.599</v>
      </c>
      <c r="F108" s="185">
        <f>'Income Statement'!F16</f>
        <v>70.094</v>
      </c>
      <c r="G108" s="186">
        <f>'Income Statement'!G16</f>
        <v>19.792</v>
      </c>
      <c r="H108" s="186">
        <f>'Income Statement'!H16</f>
        <v>20.112</v>
      </c>
      <c r="I108" s="186">
        <f>'Income Statement'!I16</f>
        <v>19.72</v>
      </c>
      <c r="J108" s="186">
        <f>'Income Statement'!J16</f>
        <v>19.385</v>
      </c>
      <c r="K108" s="185">
        <f>SUM(G108:J108)</f>
        <v>79.009</v>
      </c>
      <c r="L108" s="186">
        <f>'Income Statement'!L16</f>
        <v>21.944</v>
      </c>
      <c r="M108" s="186">
        <f>'Income Statement'!M16</f>
        <v>22.777</v>
      </c>
      <c r="N108" s="186">
        <f>'Income Statement'!N16</f>
        <v>21.429</v>
      </c>
      <c r="O108" s="186">
        <f>J108*(1+O109)</f>
        <v>20.35425</v>
      </c>
      <c r="P108" s="185">
        <f>SUM(L108:O108)</f>
        <v>86.50425</v>
      </c>
      <c r="Q108" s="186">
        <f t="shared" ref="Q108:T108" si="192">L108*(1+Q109)</f>
        <v>27.43</v>
      </c>
      <c r="R108" s="186">
        <f t="shared" si="192"/>
        <v>28.47125</v>
      </c>
      <c r="S108" s="186">
        <f t="shared" si="192"/>
        <v>26.78625</v>
      </c>
      <c r="T108" s="186">
        <f t="shared" si="192"/>
        <v>25.4428125</v>
      </c>
      <c r="U108" s="185">
        <f>SUM(Q108:T108)</f>
        <v>108.1303125</v>
      </c>
      <c r="V108" s="186">
        <f t="shared" ref="V108:Y108" si="193">Q108*(1+V109)</f>
        <v>29.3501</v>
      </c>
      <c r="W108" s="186">
        <f t="shared" si="193"/>
        <v>30.4642375</v>
      </c>
      <c r="X108" s="186">
        <f t="shared" si="193"/>
        <v>28.6612875</v>
      </c>
      <c r="Y108" s="186">
        <f t="shared" si="193"/>
        <v>27.22380938</v>
      </c>
      <c r="Z108" s="185">
        <f>SUM(V108:Y108)</f>
        <v>115.6994344</v>
      </c>
      <c r="AA108" s="186">
        <f t="shared" ref="AA108:AD108" si="194">V108*(1+AA109)</f>
        <v>30.817605</v>
      </c>
      <c r="AB108" s="186">
        <f t="shared" si="194"/>
        <v>31.98744938</v>
      </c>
      <c r="AC108" s="186">
        <f t="shared" si="194"/>
        <v>30.09435188</v>
      </c>
      <c r="AD108" s="186">
        <f t="shared" si="194"/>
        <v>28.58499984</v>
      </c>
      <c r="AE108" s="185">
        <f>SUM(AA108:AD108)</f>
        <v>121.4844061</v>
      </c>
      <c r="AF108" s="186">
        <f t="shared" ref="AF108:AI108" si="195">AA108*(1+AF109)</f>
        <v>32.35848525</v>
      </c>
      <c r="AG108" s="186">
        <f t="shared" si="195"/>
        <v>33.58682184</v>
      </c>
      <c r="AH108" s="186">
        <f t="shared" si="195"/>
        <v>31.59906947</v>
      </c>
      <c r="AI108" s="186">
        <f t="shared" si="195"/>
        <v>30.01424984</v>
      </c>
      <c r="AJ108" s="185">
        <f>SUM(AF108:AI108)</f>
        <v>127.5586264</v>
      </c>
      <c r="AK108" s="186">
        <f t="shared" ref="AK108:AN108" si="196">AF108*(1+AK109)</f>
        <v>33.97640951</v>
      </c>
      <c r="AL108" s="186">
        <f t="shared" si="196"/>
        <v>35.26616294</v>
      </c>
      <c r="AM108" s="186">
        <f t="shared" si="196"/>
        <v>33.17902294</v>
      </c>
      <c r="AN108" s="186">
        <f t="shared" si="196"/>
        <v>31.51496233</v>
      </c>
      <c r="AO108" s="185">
        <f>SUM(AK108:AN108)</f>
        <v>133.9365577</v>
      </c>
      <c r="AP108" s="165"/>
      <c r="AQ108" s="187"/>
      <c r="AR108" s="165"/>
      <c r="AS108" s="165"/>
      <c r="AT108" s="165"/>
      <c r="AU108" s="165"/>
      <c r="AV108" s="187"/>
      <c r="AW108" s="165"/>
      <c r="AX108" s="165"/>
      <c r="AY108" s="165"/>
      <c r="AZ108" s="165"/>
      <c r="BA108" s="187"/>
      <c r="BB108" s="165"/>
      <c r="BC108" s="165"/>
      <c r="BD108" s="165"/>
      <c r="BE108" s="165"/>
      <c r="BF108" s="187"/>
      <c r="BG108" s="165"/>
    </row>
    <row r="109" ht="10.5" customHeight="1">
      <c r="A109" s="183" t="s">
        <v>212</v>
      </c>
      <c r="B109" s="220" t="str">
        <f t="shared" ref="B109:F109" si="197">IFERROR(B108/#REF!-1,"na")</f>
        <v>na</v>
      </c>
      <c r="C109" s="220" t="str">
        <f t="shared" si="197"/>
        <v>na</v>
      </c>
      <c r="D109" s="220" t="str">
        <f t="shared" si="197"/>
        <v>na</v>
      </c>
      <c r="E109" s="220" t="str">
        <f t="shared" si="197"/>
        <v>na</v>
      </c>
      <c r="F109" s="221" t="str">
        <f t="shared" si="197"/>
        <v>na</v>
      </c>
      <c r="G109" s="220">
        <f t="shared" ref="G109:N109" si="198">IFERROR(G108/B108-1,"na")</f>
        <v>0.165126273</v>
      </c>
      <c r="H109" s="220">
        <f t="shared" si="198"/>
        <v>0.1242034656</v>
      </c>
      <c r="I109" s="220">
        <f t="shared" si="198"/>
        <v>0.1193097968</v>
      </c>
      <c r="J109" s="220">
        <f t="shared" si="198"/>
        <v>0.1014830388</v>
      </c>
      <c r="K109" s="221">
        <f t="shared" si="198"/>
        <v>0.1271863498</v>
      </c>
      <c r="L109" s="220">
        <f t="shared" si="198"/>
        <v>0.1087308003</v>
      </c>
      <c r="M109" s="220">
        <f t="shared" si="198"/>
        <v>0.1325079554</v>
      </c>
      <c r="N109" s="220">
        <f t="shared" si="198"/>
        <v>0.086663286</v>
      </c>
      <c r="O109" s="258">
        <v>0.05</v>
      </c>
      <c r="P109" s="221">
        <f>IFERROR(P108/K108-1,"na")</f>
        <v>0.09486577479</v>
      </c>
      <c r="Q109" s="258">
        <v>0.25</v>
      </c>
      <c r="R109" s="258">
        <v>0.25</v>
      </c>
      <c r="S109" s="258">
        <v>0.25</v>
      </c>
      <c r="T109" s="258">
        <v>0.25</v>
      </c>
      <c r="U109" s="221">
        <f>IFERROR(U108/P108-1,"na")</f>
        <v>0.25</v>
      </c>
      <c r="V109" s="258">
        <v>0.07</v>
      </c>
      <c r="W109" s="258">
        <v>0.07</v>
      </c>
      <c r="X109" s="258">
        <v>0.07</v>
      </c>
      <c r="Y109" s="258">
        <v>0.07</v>
      </c>
      <c r="Z109" s="221">
        <f>IFERROR(Z108/U108-1,"na")</f>
        <v>0.07</v>
      </c>
      <c r="AA109" s="258">
        <v>0.05</v>
      </c>
      <c r="AB109" s="258">
        <v>0.05</v>
      </c>
      <c r="AC109" s="258">
        <v>0.05</v>
      </c>
      <c r="AD109" s="258">
        <v>0.05</v>
      </c>
      <c r="AE109" s="221">
        <f>IFERROR(AE108/Z108-1,"na")</f>
        <v>0.05</v>
      </c>
      <c r="AF109" s="258">
        <v>0.05</v>
      </c>
      <c r="AG109" s="258">
        <v>0.05</v>
      </c>
      <c r="AH109" s="258">
        <v>0.05</v>
      </c>
      <c r="AI109" s="258">
        <v>0.05</v>
      </c>
      <c r="AJ109" s="221">
        <f>IFERROR(AJ108/AE108-1,"na")</f>
        <v>0.05</v>
      </c>
      <c r="AK109" s="258">
        <v>0.05</v>
      </c>
      <c r="AL109" s="258">
        <v>0.05</v>
      </c>
      <c r="AM109" s="258">
        <v>0.05</v>
      </c>
      <c r="AN109" s="258">
        <v>0.05</v>
      </c>
      <c r="AO109" s="221">
        <f>IFERROR(AO108/AJ108-1,"na")</f>
        <v>0.05</v>
      </c>
      <c r="AP109" s="165"/>
      <c r="AQ109" s="187"/>
      <c r="AR109" s="165"/>
      <c r="AS109" s="165"/>
      <c r="AT109" s="165"/>
      <c r="AU109" s="165"/>
      <c r="AV109" s="187"/>
      <c r="AW109" s="165"/>
      <c r="AX109" s="165"/>
      <c r="AY109" s="165"/>
      <c r="AZ109" s="165"/>
      <c r="BA109" s="187"/>
      <c r="BB109" s="165"/>
      <c r="BC109" s="165"/>
      <c r="BD109" s="165"/>
      <c r="BE109" s="165"/>
      <c r="BF109" s="187"/>
      <c r="BG109" s="165"/>
    </row>
    <row r="110" ht="10.5" customHeight="1">
      <c r="A110" s="183"/>
      <c r="B110" s="165"/>
      <c r="C110" s="165"/>
      <c r="D110" s="165"/>
      <c r="E110" s="165"/>
      <c r="F110" s="207"/>
      <c r="G110" s="165"/>
      <c r="H110" s="165"/>
      <c r="I110" s="165"/>
      <c r="J110" s="165"/>
      <c r="K110" s="207"/>
      <c r="L110" s="165"/>
      <c r="M110" s="165"/>
      <c r="N110" s="165"/>
      <c r="O110" s="165"/>
      <c r="P110" s="207"/>
      <c r="Q110" s="165"/>
      <c r="R110" s="165"/>
      <c r="S110" s="165"/>
      <c r="T110" s="165"/>
      <c r="U110" s="207"/>
      <c r="V110" s="165"/>
      <c r="W110" s="165"/>
      <c r="X110" s="165"/>
      <c r="Y110" s="165"/>
      <c r="Z110" s="207"/>
      <c r="AA110" s="165"/>
      <c r="AB110" s="165"/>
      <c r="AC110" s="165"/>
      <c r="AD110" s="165"/>
      <c r="AE110" s="207"/>
      <c r="AF110" s="165"/>
      <c r="AG110" s="165"/>
      <c r="AH110" s="165"/>
      <c r="AI110" s="165"/>
      <c r="AJ110" s="207"/>
      <c r="AK110" s="165"/>
      <c r="AL110" s="165"/>
      <c r="AM110" s="165"/>
      <c r="AN110" s="165"/>
      <c r="AO110" s="207"/>
      <c r="AP110" s="165"/>
      <c r="AQ110" s="187"/>
      <c r="AR110" s="165"/>
      <c r="AS110" s="165"/>
      <c r="AT110" s="165"/>
      <c r="AU110" s="165"/>
      <c r="AV110" s="187"/>
      <c r="AW110" s="165"/>
      <c r="AX110" s="165"/>
      <c r="AY110" s="165"/>
      <c r="AZ110" s="165"/>
      <c r="BA110" s="187"/>
      <c r="BB110" s="165"/>
      <c r="BC110" s="165"/>
      <c r="BD110" s="165"/>
      <c r="BE110" s="165"/>
      <c r="BF110" s="187"/>
      <c r="BG110" s="165"/>
    </row>
    <row r="111" ht="10.5" customHeight="1">
      <c r="A111" s="183" t="s">
        <v>168</v>
      </c>
      <c r="B111" s="186">
        <f>'Income Statement'!B18</f>
        <v>3.936</v>
      </c>
      <c r="C111" s="186">
        <f>'Income Statement'!C18</f>
        <v>3.825</v>
      </c>
      <c r="D111" s="186">
        <f>'Income Statement'!D18</f>
        <v>-0.056</v>
      </c>
      <c r="E111" s="186">
        <f>'Income Statement'!E18</f>
        <v>2.674</v>
      </c>
      <c r="F111" s="185">
        <f>'Income Statement'!F18</f>
        <v>10.379</v>
      </c>
      <c r="G111" s="186">
        <f>'Income Statement'!G18</f>
        <v>0.484</v>
      </c>
      <c r="H111" s="186">
        <f>'Income Statement'!H18</f>
        <v>-0.066</v>
      </c>
      <c r="I111" s="186">
        <f>'Income Statement'!I18</f>
        <v>0.28</v>
      </c>
      <c r="J111" s="186">
        <f>'Income Statement'!J18</f>
        <v>0.628</v>
      </c>
      <c r="K111" s="185">
        <f>SUM(G111:J111)</f>
        <v>1.326</v>
      </c>
      <c r="L111" s="186">
        <f>'Income Statement'!L18</f>
        <v>-1.237</v>
      </c>
      <c r="M111" s="186">
        <f>'Income Statement'!M18</f>
        <v>4.9</v>
      </c>
      <c r="N111" s="186">
        <f>'Income Statement'!N18</f>
        <v>-5.732</v>
      </c>
      <c r="O111" s="186">
        <f>O$22*O112</f>
        <v>0</v>
      </c>
      <c r="P111" s="185">
        <f>SUM(L111:O111)</f>
        <v>-2.069</v>
      </c>
      <c r="Q111" s="186">
        <f t="shared" ref="Q111:T111" si="199">Q$22*Q112</f>
        <v>0</v>
      </c>
      <c r="R111" s="186">
        <f t="shared" si="199"/>
        <v>0</v>
      </c>
      <c r="S111" s="186">
        <f t="shared" si="199"/>
        <v>0</v>
      </c>
      <c r="T111" s="186">
        <f t="shared" si="199"/>
        <v>0</v>
      </c>
      <c r="U111" s="185">
        <f>SUM(Q111:T111)</f>
        <v>0</v>
      </c>
      <c r="V111" s="186">
        <f t="shared" ref="V111:Y111" si="200">V$22*V112</f>
        <v>0</v>
      </c>
      <c r="W111" s="186">
        <f t="shared" si="200"/>
        <v>0</v>
      </c>
      <c r="X111" s="186">
        <f t="shared" si="200"/>
        <v>0</v>
      </c>
      <c r="Y111" s="186">
        <f t="shared" si="200"/>
        <v>0</v>
      </c>
      <c r="Z111" s="185">
        <f>SUM(V111:Y111)</f>
        <v>0</v>
      </c>
      <c r="AA111" s="186">
        <f t="shared" ref="AA111:AD111" si="201">AA$22*AA112</f>
        <v>0</v>
      </c>
      <c r="AB111" s="186">
        <f t="shared" si="201"/>
        <v>0</v>
      </c>
      <c r="AC111" s="186">
        <f t="shared" si="201"/>
        <v>0</v>
      </c>
      <c r="AD111" s="186">
        <f t="shared" si="201"/>
        <v>0</v>
      </c>
      <c r="AE111" s="185">
        <f>SUM(AA111:AD111)</f>
        <v>0</v>
      </c>
      <c r="AF111" s="186">
        <f t="shared" ref="AF111:AI111" si="202">AF$22*AF112</f>
        <v>0</v>
      </c>
      <c r="AG111" s="186">
        <f t="shared" si="202"/>
        <v>0</v>
      </c>
      <c r="AH111" s="186">
        <f t="shared" si="202"/>
        <v>0</v>
      </c>
      <c r="AI111" s="186">
        <f t="shared" si="202"/>
        <v>0</v>
      </c>
      <c r="AJ111" s="185">
        <f>SUM(AF111:AI111)</f>
        <v>0</v>
      </c>
      <c r="AK111" s="186">
        <f t="shared" ref="AK111:AN111" si="203">AK$22*AK112</f>
        <v>0</v>
      </c>
      <c r="AL111" s="186">
        <f t="shared" si="203"/>
        <v>0</v>
      </c>
      <c r="AM111" s="186">
        <f t="shared" si="203"/>
        <v>0</v>
      </c>
      <c r="AN111" s="186">
        <f t="shared" si="203"/>
        <v>0</v>
      </c>
      <c r="AO111" s="185">
        <f>SUM(AK111:AN111)</f>
        <v>0</v>
      </c>
      <c r="AP111" s="165"/>
      <c r="AQ111" s="187"/>
      <c r="AR111" s="165"/>
      <c r="AS111" s="165"/>
      <c r="AT111" s="165"/>
      <c r="AU111" s="165"/>
      <c r="AV111" s="187"/>
      <c r="AW111" s="165"/>
      <c r="AX111" s="165"/>
      <c r="AY111" s="165"/>
      <c r="AZ111" s="165"/>
      <c r="BA111" s="187"/>
      <c r="BB111" s="165"/>
      <c r="BC111" s="165"/>
      <c r="BD111" s="165"/>
      <c r="BE111" s="165"/>
      <c r="BF111" s="187"/>
      <c r="BG111" s="165"/>
    </row>
    <row r="112" ht="10.5" customHeight="1">
      <c r="A112" s="164" t="s">
        <v>242</v>
      </c>
      <c r="B112" s="254">
        <f t="shared" ref="B112:N112" si="204">B111/B$22</f>
        <v>0.0177117786</v>
      </c>
      <c r="C112" s="254">
        <f t="shared" si="204"/>
        <v>0.01335250975</v>
      </c>
      <c r="D112" s="254">
        <f t="shared" si="204"/>
        <v>-0.0002017647207</v>
      </c>
      <c r="E112" s="254">
        <f t="shared" si="204"/>
        <v>0.009379592896</v>
      </c>
      <c r="F112" s="255">
        <f t="shared" si="204"/>
        <v>0.009687994131</v>
      </c>
      <c r="G112" s="254">
        <f t="shared" si="204"/>
        <v>0.001951479132</v>
      </c>
      <c r="H112" s="254">
        <f t="shared" si="204"/>
        <v>-0.0002193120911</v>
      </c>
      <c r="I112" s="254">
        <f t="shared" si="204"/>
        <v>0.0009580969457</v>
      </c>
      <c r="J112" s="254">
        <f t="shared" si="204"/>
        <v>0.001844617418</v>
      </c>
      <c r="K112" s="261">
        <f t="shared" si="204"/>
        <v>0.001122155893</v>
      </c>
      <c r="L112" s="254">
        <f t="shared" si="204"/>
        <v>-0.004471159755</v>
      </c>
      <c r="M112" s="254">
        <f t="shared" si="204"/>
        <v>0.01437460213</v>
      </c>
      <c r="N112" s="254">
        <f t="shared" si="204"/>
        <v>-0.01735155671</v>
      </c>
      <c r="O112" s="258">
        <v>0.0</v>
      </c>
      <c r="P112" s="261">
        <f>AVERAGE(L112:O112)</f>
        <v>-0.001862028582</v>
      </c>
      <c r="Q112" s="258">
        <v>0.0</v>
      </c>
      <c r="R112" s="258">
        <v>0.0</v>
      </c>
      <c r="S112" s="258">
        <v>0.0</v>
      </c>
      <c r="T112" s="258">
        <v>0.0</v>
      </c>
      <c r="U112" s="261">
        <f>AVERAGE(Q112:T112)</f>
        <v>0</v>
      </c>
      <c r="V112" s="258">
        <v>0.0</v>
      </c>
      <c r="W112" s="258">
        <v>0.0</v>
      </c>
      <c r="X112" s="258">
        <v>0.0</v>
      </c>
      <c r="Y112" s="258">
        <v>0.0</v>
      </c>
      <c r="Z112" s="261">
        <f>AVERAGE(V112:Y112)</f>
        <v>0</v>
      </c>
      <c r="AA112" s="258">
        <v>0.0</v>
      </c>
      <c r="AB112" s="258">
        <v>0.0</v>
      </c>
      <c r="AC112" s="258">
        <v>0.0</v>
      </c>
      <c r="AD112" s="258">
        <v>0.0</v>
      </c>
      <c r="AE112" s="261">
        <f>AVERAGE(AA112:AD112)</f>
        <v>0</v>
      </c>
      <c r="AF112" s="258">
        <v>0.0</v>
      </c>
      <c r="AG112" s="258">
        <v>0.0</v>
      </c>
      <c r="AH112" s="258">
        <v>0.0</v>
      </c>
      <c r="AI112" s="258">
        <v>0.0</v>
      </c>
      <c r="AJ112" s="261">
        <f>AVERAGE(AF112:AI112)</f>
        <v>0</v>
      </c>
      <c r="AK112" s="258">
        <v>0.0</v>
      </c>
      <c r="AL112" s="258">
        <v>0.0</v>
      </c>
      <c r="AM112" s="258">
        <v>0.0</v>
      </c>
      <c r="AN112" s="258">
        <v>0.0</v>
      </c>
      <c r="AO112" s="261">
        <f>AVERAGE(AK112:AN112)</f>
        <v>0</v>
      </c>
      <c r="AP112" s="165"/>
      <c r="AQ112" s="187"/>
      <c r="AR112" s="165"/>
      <c r="AS112" s="165"/>
      <c r="AT112" s="165"/>
      <c r="AU112" s="165"/>
      <c r="AV112" s="187"/>
      <c r="AW112" s="165"/>
      <c r="AX112" s="165"/>
      <c r="AY112" s="165"/>
      <c r="AZ112" s="165"/>
      <c r="BA112" s="187"/>
      <c r="BB112" s="165"/>
      <c r="BC112" s="165"/>
      <c r="BD112" s="165"/>
      <c r="BE112" s="165"/>
      <c r="BF112" s="187"/>
      <c r="BG112" s="165"/>
    </row>
    <row r="113" ht="10.5" customHeight="1">
      <c r="A113" s="183" t="s">
        <v>212</v>
      </c>
      <c r="B113" s="220" t="str">
        <f t="shared" ref="B113:F113" si="205">IFERROR(B111/#REF!-1,"na")</f>
        <v>na</v>
      </c>
      <c r="C113" s="220" t="str">
        <f t="shared" si="205"/>
        <v>na</v>
      </c>
      <c r="D113" s="220" t="str">
        <f t="shared" si="205"/>
        <v>na</v>
      </c>
      <c r="E113" s="220" t="str">
        <f t="shared" si="205"/>
        <v>na</v>
      </c>
      <c r="F113" s="221" t="str">
        <f t="shared" si="205"/>
        <v>na</v>
      </c>
      <c r="G113" s="220">
        <f t="shared" ref="G113:AO113" si="206">IFERROR(G111/B111-1,"na")</f>
        <v>-0.8770325203</v>
      </c>
      <c r="H113" s="220">
        <f t="shared" si="206"/>
        <v>-1.017254902</v>
      </c>
      <c r="I113" s="220">
        <f t="shared" si="206"/>
        <v>-6</v>
      </c>
      <c r="J113" s="220">
        <f t="shared" si="206"/>
        <v>-0.7651458489</v>
      </c>
      <c r="K113" s="221">
        <f t="shared" si="206"/>
        <v>-0.8722420272</v>
      </c>
      <c r="L113" s="220">
        <f t="shared" si="206"/>
        <v>-3.555785124</v>
      </c>
      <c r="M113" s="220">
        <f t="shared" si="206"/>
        <v>-75.24242424</v>
      </c>
      <c r="N113" s="220">
        <f t="shared" si="206"/>
        <v>-21.47142857</v>
      </c>
      <c r="O113" s="220">
        <f t="shared" si="206"/>
        <v>-1</v>
      </c>
      <c r="P113" s="221">
        <f t="shared" si="206"/>
        <v>-2.560331825</v>
      </c>
      <c r="Q113" s="220">
        <f t="shared" si="206"/>
        <v>-1</v>
      </c>
      <c r="R113" s="220">
        <f t="shared" si="206"/>
        <v>-1</v>
      </c>
      <c r="S113" s="220">
        <f t="shared" si="206"/>
        <v>-1</v>
      </c>
      <c r="T113" s="220" t="str">
        <f t="shared" si="206"/>
        <v>na</v>
      </c>
      <c r="U113" s="221">
        <f t="shared" si="206"/>
        <v>-1</v>
      </c>
      <c r="V113" s="220" t="str">
        <f t="shared" si="206"/>
        <v>na</v>
      </c>
      <c r="W113" s="220" t="str">
        <f t="shared" si="206"/>
        <v>na</v>
      </c>
      <c r="X113" s="220" t="str">
        <f t="shared" si="206"/>
        <v>na</v>
      </c>
      <c r="Y113" s="220" t="str">
        <f t="shared" si="206"/>
        <v>na</v>
      </c>
      <c r="Z113" s="221" t="str">
        <f t="shared" si="206"/>
        <v>na</v>
      </c>
      <c r="AA113" s="220" t="str">
        <f t="shared" si="206"/>
        <v>na</v>
      </c>
      <c r="AB113" s="220" t="str">
        <f t="shared" si="206"/>
        <v>na</v>
      </c>
      <c r="AC113" s="220" t="str">
        <f t="shared" si="206"/>
        <v>na</v>
      </c>
      <c r="AD113" s="220" t="str">
        <f t="shared" si="206"/>
        <v>na</v>
      </c>
      <c r="AE113" s="221" t="str">
        <f t="shared" si="206"/>
        <v>na</v>
      </c>
      <c r="AF113" s="220" t="str">
        <f t="shared" si="206"/>
        <v>na</v>
      </c>
      <c r="AG113" s="220" t="str">
        <f t="shared" si="206"/>
        <v>na</v>
      </c>
      <c r="AH113" s="220" t="str">
        <f t="shared" si="206"/>
        <v>na</v>
      </c>
      <c r="AI113" s="220" t="str">
        <f t="shared" si="206"/>
        <v>na</v>
      </c>
      <c r="AJ113" s="221" t="str">
        <f t="shared" si="206"/>
        <v>na</v>
      </c>
      <c r="AK113" s="220" t="str">
        <f t="shared" si="206"/>
        <v>na</v>
      </c>
      <c r="AL113" s="220" t="str">
        <f t="shared" si="206"/>
        <v>na</v>
      </c>
      <c r="AM113" s="220" t="str">
        <f t="shared" si="206"/>
        <v>na</v>
      </c>
      <c r="AN113" s="220" t="str">
        <f t="shared" si="206"/>
        <v>na</v>
      </c>
      <c r="AO113" s="221" t="str">
        <f t="shared" si="206"/>
        <v>na</v>
      </c>
      <c r="AP113" s="165"/>
      <c r="AQ113" s="187"/>
      <c r="AR113" s="165"/>
      <c r="AS113" s="165"/>
      <c r="AT113" s="165"/>
      <c r="AU113" s="165"/>
      <c r="AV113" s="187"/>
      <c r="AW113" s="165"/>
      <c r="AX113" s="165"/>
      <c r="AY113" s="165"/>
      <c r="AZ113" s="165"/>
      <c r="BA113" s="187"/>
      <c r="BB113" s="165"/>
      <c r="BC113" s="165"/>
      <c r="BD113" s="165"/>
      <c r="BE113" s="165"/>
      <c r="BF113" s="187"/>
      <c r="BG113" s="165"/>
    </row>
    <row r="114" ht="10.5" customHeight="1">
      <c r="A114" s="183"/>
      <c r="B114" s="220"/>
      <c r="C114" s="220"/>
      <c r="D114" s="220"/>
      <c r="E114" s="220"/>
      <c r="F114" s="221"/>
      <c r="G114" s="220"/>
      <c r="H114" s="220"/>
      <c r="I114" s="220"/>
      <c r="J114" s="220"/>
      <c r="K114" s="221"/>
      <c r="L114" s="220"/>
      <c r="M114" s="220"/>
      <c r="N114" s="220"/>
      <c r="O114" s="220"/>
      <c r="P114" s="221"/>
      <c r="Q114" s="220"/>
      <c r="R114" s="220"/>
      <c r="S114" s="220"/>
      <c r="T114" s="220"/>
      <c r="U114" s="221"/>
      <c r="V114" s="220"/>
      <c r="W114" s="220"/>
      <c r="X114" s="220"/>
      <c r="Y114" s="220"/>
      <c r="Z114" s="221"/>
      <c r="AA114" s="220"/>
      <c r="AB114" s="220"/>
      <c r="AC114" s="220"/>
      <c r="AD114" s="220"/>
      <c r="AE114" s="221"/>
      <c r="AF114" s="220"/>
      <c r="AG114" s="220"/>
      <c r="AH114" s="220"/>
      <c r="AI114" s="220"/>
      <c r="AJ114" s="221"/>
      <c r="AK114" s="220"/>
      <c r="AL114" s="220"/>
      <c r="AM114" s="220"/>
      <c r="AN114" s="220"/>
      <c r="AO114" s="221"/>
      <c r="AP114" s="165"/>
      <c r="AQ114" s="187"/>
      <c r="AR114" s="165"/>
      <c r="AS114" s="165"/>
      <c r="AT114" s="165"/>
      <c r="AU114" s="165"/>
      <c r="AV114" s="187"/>
      <c r="AW114" s="165"/>
      <c r="AX114" s="165"/>
      <c r="AY114" s="165"/>
      <c r="AZ114" s="165"/>
      <c r="BA114" s="187"/>
      <c r="BB114" s="165"/>
      <c r="BC114" s="165"/>
      <c r="BD114" s="165"/>
      <c r="BE114" s="165"/>
      <c r="BF114" s="187"/>
      <c r="BG114" s="165"/>
    </row>
    <row r="115" ht="10.5" customHeight="1">
      <c r="A115" s="198" t="s">
        <v>256</v>
      </c>
      <c r="B115" s="215"/>
      <c r="C115" s="215"/>
      <c r="D115" s="215"/>
      <c r="E115" s="215"/>
      <c r="F115" s="216"/>
      <c r="G115" s="215"/>
      <c r="H115" s="215"/>
      <c r="I115" s="215"/>
      <c r="J115" s="215"/>
      <c r="K115" s="216"/>
      <c r="L115" s="215"/>
      <c r="M115" s="215"/>
      <c r="N115" s="215"/>
      <c r="O115" s="215"/>
      <c r="P115" s="216"/>
      <c r="Q115" s="215"/>
      <c r="R115" s="215"/>
      <c r="S115" s="215"/>
      <c r="T115" s="215"/>
      <c r="U115" s="216"/>
      <c r="V115" s="215"/>
      <c r="W115" s="215"/>
      <c r="X115" s="215"/>
      <c r="Y115" s="215"/>
      <c r="Z115" s="216"/>
      <c r="AA115" s="215"/>
      <c r="AB115" s="215"/>
      <c r="AC115" s="215"/>
      <c r="AD115" s="215"/>
      <c r="AE115" s="216"/>
      <c r="AF115" s="215"/>
      <c r="AG115" s="215"/>
      <c r="AH115" s="215"/>
      <c r="AI115" s="215"/>
      <c r="AJ115" s="216"/>
      <c r="AK115" s="215"/>
      <c r="AL115" s="215"/>
      <c r="AM115" s="215"/>
      <c r="AN115" s="215"/>
      <c r="AO115" s="216"/>
      <c r="AP115" s="164"/>
      <c r="AQ115" s="164"/>
      <c r="AR115" s="164"/>
      <c r="AS115" s="164"/>
      <c r="AT115" s="164"/>
      <c r="AU115" s="164"/>
      <c r="AV115" s="164"/>
      <c r="AW115" s="164"/>
      <c r="AX115" s="164"/>
      <c r="AY115" s="164"/>
      <c r="AZ115" s="164"/>
      <c r="BA115" s="164"/>
      <c r="BB115" s="164"/>
      <c r="BC115" s="164"/>
      <c r="BD115" s="164"/>
      <c r="BE115" s="164"/>
      <c r="BF115" s="164"/>
      <c r="BG115" s="164"/>
    </row>
    <row r="116" ht="10.5" customHeight="1">
      <c r="A116" s="164" t="s">
        <v>256</v>
      </c>
      <c r="B116" s="186">
        <f>'Cash Flow Statement'!B30</f>
        <v>2.049</v>
      </c>
      <c r="C116" s="186">
        <f>'Cash Flow Statement'!C30</f>
        <v>2.744</v>
      </c>
      <c r="D116" s="186">
        <f>'Cash Flow Statement'!D30</f>
        <v>1.533</v>
      </c>
      <c r="E116" s="186">
        <f>'Cash Flow Statement'!E30</f>
        <v>1.58</v>
      </c>
      <c r="F116" s="185">
        <f>'Cash Flow Statement'!F30</f>
        <v>7.906</v>
      </c>
      <c r="G116" s="186">
        <f>'Cash Flow Statement'!G30</f>
        <v>0.975</v>
      </c>
      <c r="H116" s="186">
        <f>'Cash Flow Statement'!H30</f>
        <v>1.872</v>
      </c>
      <c r="I116" s="186">
        <f>'Cash Flow Statement'!I30</f>
        <v>3.118</v>
      </c>
      <c r="J116" s="186">
        <f>'Cash Flow Statement'!J30</f>
        <v>2.948</v>
      </c>
      <c r="K116" s="185">
        <f>SUM(G116:J116)</f>
        <v>8.913</v>
      </c>
      <c r="L116" s="186">
        <f>'Cash Flow Statement'!L30</f>
        <v>2.631</v>
      </c>
      <c r="M116" s="186">
        <f>'Cash Flow Statement'!M30</f>
        <v>3.507</v>
      </c>
      <c r="N116" s="186">
        <f>'Cash Flow Statement'!N30</f>
        <v>2.994</v>
      </c>
      <c r="O116" s="186">
        <f>'Income Statement'!O15*Assumptions!O117</f>
        <v>2.92303129</v>
      </c>
      <c r="P116" s="185">
        <f>SUM(L116:O116)</f>
        <v>12.05503129</v>
      </c>
      <c r="Q116" s="186">
        <f>'Income Statement'!Q15*Assumptions!Q117</f>
        <v>3.02061602</v>
      </c>
      <c r="R116" s="186">
        <f>'Income Statement'!R15*Assumptions!R117</f>
        <v>3.98772667</v>
      </c>
      <c r="S116" s="186">
        <f>'Income Statement'!S15*Assumptions!S117</f>
        <v>3.408623647</v>
      </c>
      <c r="T116" s="186">
        <f>'Income Statement'!T15*Assumptions!T117</f>
        <v>3.323284418</v>
      </c>
      <c r="U116" s="185">
        <f>SUM(Q116:T116)</f>
        <v>13.74025076</v>
      </c>
      <c r="V116" s="186">
        <f>'Income Statement'!V15*Assumptions!V117</f>
        <v>3.35728714</v>
      </c>
      <c r="W116" s="186">
        <f>'Income Statement'!W15*Assumptions!W117</f>
        <v>4.417038429</v>
      </c>
      <c r="X116" s="186">
        <f>'Income Statement'!X15*Assumptions!X117</f>
        <v>3.768421269</v>
      </c>
      <c r="Y116" s="186">
        <f>'Income Statement'!Y15*Assumptions!Y117</f>
        <v>3.666457858</v>
      </c>
      <c r="Z116" s="185">
        <f>SUM(V116:Y116)</f>
        <v>15.2092047</v>
      </c>
      <c r="AA116" s="186">
        <f>'Income Statement'!AA15*Assumptions!AA117</f>
        <v>3.700300318</v>
      </c>
      <c r="AB116" s="186">
        <f>'Income Statement'!AB15*Assumptions!AB117</f>
        <v>4.82632393</v>
      </c>
      <c r="AC116" s="186">
        <f>'Income Statement'!AC15*Assumptions!AC117</f>
        <v>4.115613019</v>
      </c>
      <c r="AD116" s="186">
        <f>'Income Statement'!AD15*Assumptions!AD117</f>
        <v>3.988868421</v>
      </c>
      <c r="AE116" s="185">
        <f>SUM(AA116:AD116)</f>
        <v>16.63110569</v>
      </c>
      <c r="AF116" s="186">
        <f>'Income Statement'!AF15*Assumptions!AF117</f>
        <v>3.390148426</v>
      </c>
      <c r="AG116" s="186">
        <f>'Income Statement'!AG15*Assumptions!AG117</f>
        <v>5.211886673</v>
      </c>
      <c r="AH116" s="186">
        <f>'Income Statement'!AH15*Assumptions!AH117</f>
        <v>5.001123305</v>
      </c>
      <c r="AI116" s="186">
        <f>'Income Statement'!AI15*Assumptions!AI117</f>
        <v>4.544067875</v>
      </c>
      <c r="AJ116" s="185">
        <f>SUM(AF116:AI116)</f>
        <v>18.14722628</v>
      </c>
      <c r="AK116" s="186">
        <f>'Income Statement'!AK15*Assumptions!AK117</f>
        <v>3.652813436</v>
      </c>
      <c r="AL116" s="186">
        <f>'Income Statement'!AL15*Assumptions!AL117</f>
        <v>5.578393022</v>
      </c>
      <c r="AM116" s="186">
        <f>'Income Statement'!AM15*Assumptions!AM117</f>
        <v>5.350639134</v>
      </c>
      <c r="AN116" s="186">
        <f>'Income Statement'!AN15*Assumptions!AN117</f>
        <v>4.847771125</v>
      </c>
      <c r="AO116" s="185">
        <f>SUM(AK116:AN116)</f>
        <v>19.42961672</v>
      </c>
      <c r="AP116" s="164"/>
      <c r="AQ116" s="164"/>
      <c r="AR116" s="164"/>
      <c r="AS116" s="164"/>
      <c r="AT116" s="164"/>
      <c r="AU116" s="164"/>
      <c r="AV116" s="164"/>
      <c r="AW116" s="164"/>
      <c r="AX116" s="164"/>
      <c r="AY116" s="164"/>
      <c r="AZ116" s="164"/>
      <c r="BA116" s="164"/>
      <c r="BB116" s="164"/>
      <c r="BC116" s="164"/>
      <c r="BD116" s="164"/>
      <c r="BE116" s="164"/>
      <c r="BF116" s="164"/>
      <c r="BG116" s="164"/>
    </row>
    <row r="117" ht="10.5" customHeight="1">
      <c r="A117" s="164" t="s">
        <v>257</v>
      </c>
      <c r="B117" s="172">
        <f>B116/'Income Statement'!B15</f>
        <v>0.07379263154</v>
      </c>
      <c r="C117" s="172">
        <f>C116/'Income Statement'!C15</f>
        <v>0.0840531765</v>
      </c>
      <c r="D117" s="172">
        <f>D116/'Income Statement'!D15</f>
        <v>0.04604986482</v>
      </c>
      <c r="E117" s="172">
        <f>E116/'Income Statement'!E15</f>
        <v>0.05060048038</v>
      </c>
      <c r="F117" s="244">
        <f>F116/'Income Statement'!F15</f>
        <v>0.06328445184</v>
      </c>
      <c r="G117" s="172">
        <f>G116/'Income Statement'!G15</f>
        <v>0.03339841743</v>
      </c>
      <c r="H117" s="172">
        <f>H116/'Income Statement'!H15</f>
        <v>0.05921614526</v>
      </c>
      <c r="I117" s="172">
        <f>I116/'Income Statement'!I15</f>
        <v>0.09550647839</v>
      </c>
      <c r="J117" s="172">
        <f>J116/'Income Statement'!J15</f>
        <v>0.08259322556</v>
      </c>
      <c r="K117" s="244">
        <f>K116/'Income Statement'!K15</f>
        <v>0.06901491335</v>
      </c>
      <c r="L117" s="172">
        <f>L116/'Income Statement'!L15</f>
        <v>0.07668988836</v>
      </c>
      <c r="M117" s="172">
        <f>M116/'Income Statement'!M15</f>
        <v>0.09875813128</v>
      </c>
      <c r="N117" s="172">
        <f>N116/'Income Statement'!N15</f>
        <v>0.09808353808</v>
      </c>
      <c r="O117" s="258">
        <f>J117</f>
        <v>0.08259322556</v>
      </c>
      <c r="P117" s="244">
        <f>AVERAGE(L117:O117)</f>
        <v>0.08903119582</v>
      </c>
      <c r="Q117" s="258">
        <f t="shared" ref="Q117:T117" si="207">L117</f>
        <v>0.07668988836</v>
      </c>
      <c r="R117" s="258">
        <f t="shared" si="207"/>
        <v>0.09875813128</v>
      </c>
      <c r="S117" s="258">
        <f t="shared" si="207"/>
        <v>0.09808353808</v>
      </c>
      <c r="T117" s="258">
        <f t="shared" si="207"/>
        <v>0.08259322556</v>
      </c>
      <c r="U117" s="244">
        <f>AVERAGE(Q117:T117)</f>
        <v>0.08903119582</v>
      </c>
      <c r="V117" s="258">
        <f t="shared" ref="V117:Y117" si="208">Q117</f>
        <v>0.07668988836</v>
      </c>
      <c r="W117" s="258">
        <f t="shared" si="208"/>
        <v>0.09875813128</v>
      </c>
      <c r="X117" s="258">
        <f t="shared" si="208"/>
        <v>0.09808353808</v>
      </c>
      <c r="Y117" s="258">
        <f t="shared" si="208"/>
        <v>0.08259322556</v>
      </c>
      <c r="Z117" s="244">
        <f>AVERAGE(V117:Y117)</f>
        <v>0.08903119582</v>
      </c>
      <c r="AA117" s="258">
        <f t="shared" ref="AA117:AD117" si="209">V117</f>
        <v>0.07668988836</v>
      </c>
      <c r="AB117" s="258">
        <f t="shared" si="209"/>
        <v>0.09875813128</v>
      </c>
      <c r="AC117" s="258">
        <f t="shared" si="209"/>
        <v>0.09808353808</v>
      </c>
      <c r="AD117" s="258">
        <f t="shared" si="209"/>
        <v>0.08259322556</v>
      </c>
      <c r="AE117" s="244">
        <f>AVERAGE(AA117:AD117)</f>
        <v>0.08903119582</v>
      </c>
      <c r="AF117" s="258">
        <f t="shared" ref="AF117:AI117" si="210">AA117</f>
        <v>0.07668988836</v>
      </c>
      <c r="AG117" s="258">
        <f t="shared" si="210"/>
        <v>0.09875813128</v>
      </c>
      <c r="AH117" s="258">
        <f t="shared" si="210"/>
        <v>0.09808353808</v>
      </c>
      <c r="AI117" s="258">
        <f t="shared" si="210"/>
        <v>0.08259322556</v>
      </c>
      <c r="AJ117" s="244">
        <f>AVERAGE(AF117:AI117)</f>
        <v>0.08903119582</v>
      </c>
      <c r="AK117" s="258">
        <f t="shared" ref="AK117:AN117" si="211">AF117</f>
        <v>0.07668988836</v>
      </c>
      <c r="AL117" s="258">
        <f t="shared" si="211"/>
        <v>0.09875813128</v>
      </c>
      <c r="AM117" s="258">
        <f t="shared" si="211"/>
        <v>0.09808353808</v>
      </c>
      <c r="AN117" s="258">
        <f t="shared" si="211"/>
        <v>0.08259322556</v>
      </c>
      <c r="AO117" s="244">
        <f>AVERAGE(AK117:AN117)</f>
        <v>0.08903119582</v>
      </c>
      <c r="AP117" s="164"/>
      <c r="AQ117" s="164"/>
      <c r="AR117" s="164"/>
      <c r="AS117" s="164"/>
      <c r="AT117" s="164"/>
      <c r="AU117" s="164"/>
      <c r="AV117" s="164"/>
      <c r="AW117" s="164"/>
      <c r="AX117" s="164"/>
      <c r="AY117" s="164"/>
      <c r="AZ117" s="164"/>
      <c r="BA117" s="164"/>
      <c r="BB117" s="164"/>
      <c r="BC117" s="164"/>
      <c r="BD117" s="164"/>
      <c r="BE117" s="164"/>
      <c r="BF117" s="164"/>
      <c r="BG117" s="164"/>
    </row>
    <row r="118" ht="10.5" customHeight="1">
      <c r="A118" s="164"/>
      <c r="B118" s="165"/>
      <c r="C118" s="165"/>
      <c r="D118" s="165"/>
      <c r="E118" s="165"/>
      <c r="F118" s="207"/>
      <c r="G118" s="165"/>
      <c r="H118" s="165"/>
      <c r="I118" s="165"/>
      <c r="J118" s="165"/>
      <c r="K118" s="207"/>
      <c r="L118" s="165"/>
      <c r="M118" s="165"/>
      <c r="N118" s="165"/>
      <c r="O118" s="165"/>
      <c r="P118" s="207"/>
      <c r="Q118" s="165"/>
      <c r="R118" s="165"/>
      <c r="S118" s="165"/>
      <c r="T118" s="165"/>
      <c r="U118" s="207"/>
      <c r="V118" s="165"/>
      <c r="W118" s="165"/>
      <c r="X118" s="165"/>
      <c r="Y118" s="165"/>
      <c r="Z118" s="207"/>
      <c r="AA118" s="165"/>
      <c r="AB118" s="165"/>
      <c r="AC118" s="165"/>
      <c r="AD118" s="165"/>
      <c r="AE118" s="207"/>
      <c r="AF118" s="165"/>
      <c r="AG118" s="165"/>
      <c r="AH118" s="165"/>
      <c r="AI118" s="165"/>
      <c r="AJ118" s="207"/>
      <c r="AK118" s="165"/>
      <c r="AL118" s="165"/>
      <c r="AM118" s="165"/>
      <c r="AN118" s="165"/>
      <c r="AO118" s="207"/>
      <c r="AP118" s="164"/>
      <c r="AQ118" s="164"/>
      <c r="AR118" s="164"/>
      <c r="AS118" s="164"/>
      <c r="AT118" s="164"/>
      <c r="AU118" s="164"/>
      <c r="AV118" s="164"/>
      <c r="AW118" s="164"/>
      <c r="AX118" s="164"/>
      <c r="AY118" s="164"/>
      <c r="AZ118" s="164"/>
      <c r="BA118" s="164"/>
      <c r="BB118" s="164"/>
      <c r="BC118" s="164"/>
      <c r="BD118" s="164"/>
      <c r="BE118" s="164"/>
      <c r="BF118" s="164"/>
      <c r="BG118" s="164"/>
    </row>
    <row r="119" ht="10.5" customHeight="1">
      <c r="A119" s="198" t="s">
        <v>258</v>
      </c>
      <c r="B119" s="215"/>
      <c r="C119" s="215"/>
      <c r="D119" s="215"/>
      <c r="E119" s="215"/>
      <c r="F119" s="216"/>
      <c r="G119" s="215"/>
      <c r="H119" s="215"/>
      <c r="I119" s="215"/>
      <c r="J119" s="215"/>
      <c r="K119" s="216"/>
      <c r="L119" s="215"/>
      <c r="M119" s="252"/>
      <c r="N119" s="215"/>
      <c r="O119" s="215"/>
      <c r="P119" s="216"/>
      <c r="Q119" s="215"/>
      <c r="R119" s="215"/>
      <c r="S119" s="215"/>
      <c r="T119" s="215"/>
      <c r="U119" s="216"/>
      <c r="V119" s="215"/>
      <c r="W119" s="215"/>
      <c r="X119" s="215"/>
      <c r="Y119" s="215"/>
      <c r="Z119" s="216"/>
      <c r="AA119" s="215"/>
      <c r="AB119" s="215"/>
      <c r="AC119" s="215"/>
      <c r="AD119" s="215"/>
      <c r="AE119" s="216"/>
      <c r="AF119" s="215"/>
      <c r="AG119" s="215"/>
      <c r="AH119" s="215"/>
      <c r="AI119" s="215"/>
      <c r="AJ119" s="216"/>
      <c r="AK119" s="215"/>
      <c r="AL119" s="215"/>
      <c r="AM119" s="215"/>
      <c r="AN119" s="215"/>
      <c r="AO119" s="216"/>
      <c r="AP119" s="165"/>
      <c r="AQ119" s="187"/>
      <c r="AR119" s="165"/>
      <c r="AS119" s="165"/>
      <c r="AT119" s="165"/>
      <c r="AU119" s="165"/>
      <c r="AV119" s="187"/>
      <c r="AW119" s="165"/>
      <c r="AX119" s="165"/>
      <c r="AY119" s="165"/>
      <c r="AZ119" s="165"/>
      <c r="BA119" s="187"/>
      <c r="BB119" s="165"/>
      <c r="BC119" s="165"/>
      <c r="BD119" s="165"/>
      <c r="BE119" s="165"/>
      <c r="BF119" s="187"/>
      <c r="BG119" s="165"/>
    </row>
    <row r="120" ht="10.5" customHeight="1">
      <c r="A120" s="164" t="s">
        <v>259</v>
      </c>
      <c r="B120" s="186"/>
      <c r="C120" s="186"/>
      <c r="D120" s="186"/>
      <c r="E120" s="186"/>
      <c r="F120" s="185"/>
      <c r="G120" s="186" t="str">
        <f t="shared" ref="G120:J120" si="212">F124</f>
        <v/>
      </c>
      <c r="H120" s="186">
        <f t="shared" si="212"/>
        <v>382.019</v>
      </c>
      <c r="I120" s="186">
        <f t="shared" si="212"/>
        <v>400.239</v>
      </c>
      <c r="J120" s="186">
        <f t="shared" si="212"/>
        <v>421.633</v>
      </c>
      <c r="K120" s="185">
        <f>380.1</f>
        <v>380.1</v>
      </c>
      <c r="L120" s="186">
        <f>J124</f>
        <v>423.991</v>
      </c>
      <c r="M120" s="186">
        <f t="shared" ref="M120:O120" si="213">L124</f>
        <v>419.313</v>
      </c>
      <c r="N120" s="186">
        <f t="shared" si="213"/>
        <v>430.387</v>
      </c>
      <c r="O120" s="186">
        <f t="shared" si="213"/>
        <v>448.324</v>
      </c>
      <c r="P120" s="185">
        <f>K124</f>
        <v>424.048</v>
      </c>
      <c r="Q120" s="186">
        <f t="shared" ref="Q120:T120" si="214">P124</f>
        <v>487.7723324</v>
      </c>
      <c r="R120" s="186">
        <f t="shared" si="214"/>
        <v>488.7455909</v>
      </c>
      <c r="S120" s="186">
        <f t="shared" si="214"/>
        <v>499.5592125</v>
      </c>
      <c r="T120" s="186">
        <f t="shared" si="214"/>
        <v>523.2884876</v>
      </c>
      <c r="U120" s="185">
        <f>P124</f>
        <v>487.7723324</v>
      </c>
      <c r="V120" s="186">
        <f t="shared" ref="V120:Y120" si="215">U124</f>
        <v>542.4222205</v>
      </c>
      <c r="W120" s="186">
        <f t="shared" si="215"/>
        <v>546.9216037</v>
      </c>
      <c r="X120" s="186">
        <f t="shared" si="215"/>
        <v>558.5936831</v>
      </c>
      <c r="Y120" s="186">
        <f t="shared" si="215"/>
        <v>571.2036498</v>
      </c>
      <c r="Z120" s="185">
        <f>U124</f>
        <v>542.4222205</v>
      </c>
      <c r="AA120" s="186">
        <f t="shared" ref="AA120:AD120" si="216">Z124</f>
        <v>583.8394667</v>
      </c>
      <c r="AB120" s="186">
        <f t="shared" si="216"/>
        <v>589.568655</v>
      </c>
      <c r="AC120" s="186">
        <f t="shared" si="216"/>
        <v>602.7639838</v>
      </c>
      <c r="AD120" s="186">
        <f t="shared" si="216"/>
        <v>616.9004298</v>
      </c>
      <c r="AE120" s="185">
        <f>Z124</f>
        <v>583.8394667</v>
      </c>
      <c r="AF120" s="186">
        <f t="shared" ref="AF120:AI120" si="217">AE124</f>
        <v>630.8966451</v>
      </c>
      <c r="AG120" s="186">
        <f t="shared" si="217"/>
        <v>637.534132</v>
      </c>
      <c r="AH120" s="186">
        <f t="shared" si="217"/>
        <v>651.8187564</v>
      </c>
      <c r="AI120" s="186">
        <f t="shared" si="217"/>
        <v>667.0294496</v>
      </c>
      <c r="AJ120" s="185">
        <f>AE124</f>
        <v>630.8966451</v>
      </c>
      <c r="AK120" s="186">
        <f t="shared" ref="AK120:AN120" si="218">AJ124</f>
        <v>681.7894269</v>
      </c>
      <c r="AL120" s="186">
        <f t="shared" si="218"/>
        <v>688.8305411</v>
      </c>
      <c r="AM120" s="186">
        <f t="shared" si="218"/>
        <v>703.7641462</v>
      </c>
      <c r="AN120" s="186">
        <f t="shared" si="218"/>
        <v>719.7183047</v>
      </c>
      <c r="AO120" s="185">
        <f>AJ124</f>
        <v>681.7894269</v>
      </c>
      <c r="AP120" s="165"/>
      <c r="AQ120" s="187"/>
      <c r="AR120" s="165"/>
      <c r="AS120" s="165"/>
      <c r="AT120" s="165"/>
      <c r="AU120" s="165"/>
      <c r="AV120" s="187"/>
      <c r="AW120" s="165"/>
      <c r="AX120" s="165"/>
      <c r="AY120" s="165"/>
      <c r="AZ120" s="165"/>
      <c r="BA120" s="187"/>
      <c r="BB120" s="165"/>
      <c r="BC120" s="165"/>
      <c r="BD120" s="165"/>
      <c r="BE120" s="165"/>
      <c r="BF120" s="187"/>
      <c r="BG120" s="165"/>
    </row>
    <row r="121" ht="10.5" customHeight="1">
      <c r="A121" s="164" t="s">
        <v>260</v>
      </c>
      <c r="B121" s="186"/>
      <c r="C121" s="186"/>
      <c r="D121" s="186"/>
      <c r="E121" s="186"/>
      <c r="F121" s="185"/>
      <c r="G121" s="186">
        <f>-'Cash Flow Statement'!G47</f>
        <v>26.311</v>
      </c>
      <c r="H121" s="186">
        <f>-'Cash Flow Statement'!H47</f>
        <v>38.034</v>
      </c>
      <c r="I121" s="186">
        <f>-'Cash Flow Statement'!I47</f>
        <v>48.623</v>
      </c>
      <c r="J121" s="186">
        <f>-'Cash Flow Statement'!J47</f>
        <v>42.093</v>
      </c>
      <c r="K121" s="185">
        <f t="shared" ref="K121:K122" si="224">SUM(G121:J121)</f>
        <v>155.061</v>
      </c>
      <c r="L121" s="186">
        <f>-'Cash Flow Statement'!L47</f>
        <v>23.055</v>
      </c>
      <c r="M121" s="186">
        <f>-'Cash Flow Statement'!M47</f>
        <v>35.746</v>
      </c>
      <c r="N121" s="186">
        <f>-'Cash Flow Statement'!N47</f>
        <v>54.776</v>
      </c>
      <c r="O121" s="186">
        <f>O126</f>
        <v>69.33686319</v>
      </c>
      <c r="P121" s="185">
        <f t="shared" ref="P121:P123" si="225">SUM(L121:O121)</f>
        <v>182.9138632</v>
      </c>
      <c r="Q121" s="186">
        <f t="shared" ref="Q121:T121" si="219">Q126</f>
        <v>28.5868758</v>
      </c>
      <c r="R121" s="186">
        <f t="shared" si="219"/>
        <v>38.76054404</v>
      </c>
      <c r="S121" s="186">
        <f t="shared" si="219"/>
        <v>52.65298898</v>
      </c>
      <c r="T121" s="186">
        <f t="shared" si="219"/>
        <v>49.26951128</v>
      </c>
      <c r="U121" s="185">
        <f t="shared" ref="U121:U123" si="227">SUM(Q121:T121)</f>
        <v>169.2699201</v>
      </c>
      <c r="V121" s="186">
        <f t="shared" ref="V121:Y121" si="220">V126</f>
        <v>35.3034502</v>
      </c>
      <c r="W121" s="186">
        <f t="shared" si="220"/>
        <v>42.9334372</v>
      </c>
      <c r="X121" s="186">
        <f t="shared" si="220"/>
        <v>41.57912906</v>
      </c>
      <c r="Y121" s="186">
        <f t="shared" si="220"/>
        <v>45.29770454</v>
      </c>
      <c r="Z121" s="185">
        <f t="shared" ref="Z121:Z123" si="229">SUM(V121:Y121)</f>
        <v>165.113721</v>
      </c>
      <c r="AA121" s="186">
        <f t="shared" ref="AA121:AD121" si="221">AA126</f>
        <v>38.91039478</v>
      </c>
      <c r="AB121" s="186">
        <f t="shared" si="221"/>
        <v>46.91167593</v>
      </c>
      <c r="AC121" s="186">
        <f t="shared" si="221"/>
        <v>45.40989254</v>
      </c>
      <c r="AD121" s="186">
        <f t="shared" si="221"/>
        <v>49.28096549</v>
      </c>
      <c r="AE121" s="185">
        <f t="shared" ref="AE121:AE123" si="231">SUM(AA121:AD121)</f>
        <v>180.5129287</v>
      </c>
      <c r="AF121" s="186">
        <f t="shared" ref="AF121:AI121" si="222">AF126</f>
        <v>42.50570932</v>
      </c>
      <c r="AG121" s="186">
        <f t="shared" si="222"/>
        <v>50.74447469</v>
      </c>
      <c r="AH121" s="186">
        <f t="shared" si="222"/>
        <v>49.02731388</v>
      </c>
      <c r="AI121" s="186">
        <f t="shared" si="222"/>
        <v>52.90138512</v>
      </c>
      <c r="AJ121" s="185">
        <f t="shared" ref="AJ121:AJ123" si="233">SUM(AF121:AI121)</f>
        <v>195.178883</v>
      </c>
      <c r="AK121" s="186">
        <f t="shared" ref="AK121:AN121" si="223">AK126</f>
        <v>45.7990054</v>
      </c>
      <c r="AL121" s="186">
        <f t="shared" si="223"/>
        <v>54.31288922</v>
      </c>
      <c r="AM121" s="186">
        <f t="shared" si="223"/>
        <v>52.45370856</v>
      </c>
      <c r="AN121" s="186">
        <f t="shared" si="223"/>
        <v>56.4370547</v>
      </c>
      <c r="AO121" s="185">
        <f t="shared" ref="AO121:AO123" si="235">SUM(AK121:AN121)</f>
        <v>209.0026579</v>
      </c>
      <c r="AP121" s="165"/>
      <c r="AQ121" s="187"/>
      <c r="AR121" s="165"/>
      <c r="AS121" s="165"/>
      <c r="AT121" s="165"/>
      <c r="AU121" s="165"/>
      <c r="AV121" s="187"/>
      <c r="AW121" s="165"/>
      <c r="AX121" s="165"/>
      <c r="AY121" s="165"/>
      <c r="AZ121" s="165"/>
      <c r="BA121" s="187"/>
      <c r="BB121" s="165"/>
      <c r="BC121" s="165"/>
      <c r="BD121" s="165"/>
      <c r="BE121" s="165"/>
      <c r="BF121" s="187"/>
      <c r="BG121" s="165"/>
    </row>
    <row r="122" ht="10.5" customHeight="1">
      <c r="A122" s="164" t="s">
        <v>261</v>
      </c>
      <c r="B122" s="271"/>
      <c r="C122" s="186"/>
      <c r="D122" s="186"/>
      <c r="E122" s="186"/>
      <c r="F122" s="185"/>
      <c r="G122" s="271">
        <f>-'Cash Flow Statement'!G10+Assumptions!G141</f>
        <v>-26.612</v>
      </c>
      <c r="H122" s="186">
        <f>-'Cash Flow Statement'!H10+Assumptions!H141</f>
        <v>-27.049</v>
      </c>
      <c r="I122" s="186">
        <f>-'Cash Flow Statement'!I10+Assumptions!I141</f>
        <v>-28.265</v>
      </c>
      <c r="J122" s="186">
        <f>-'Cash Flow Statement'!J10+Assumptions!J141</f>
        <v>-29.187</v>
      </c>
      <c r="K122" s="185">
        <f t="shared" si="224"/>
        <v>-111.113</v>
      </c>
      <c r="L122" s="271">
        <f>-'Cash Flow Statement'!L10+Assumptions!L141</f>
        <v>-29.10275</v>
      </c>
      <c r="M122" s="186">
        <f>-'Cash Flow Statement'!M10+Assumptions!M141</f>
        <v>-29.24</v>
      </c>
      <c r="N122" s="186">
        <f>-'Cash Flow Statement'!N10+Assumptions!N141</f>
        <v>-29.918</v>
      </c>
      <c r="O122" s="186">
        <f>-O130</f>
        <v>-29.94553076</v>
      </c>
      <c r="P122" s="185">
        <f t="shared" si="225"/>
        <v>-118.2062808</v>
      </c>
      <c r="Q122" s="186">
        <f t="shared" ref="Q122:T122" si="226">-Q130</f>
        <v>-27.61361737</v>
      </c>
      <c r="R122" s="186">
        <f t="shared" si="226"/>
        <v>-27.94692246</v>
      </c>
      <c r="S122" s="186">
        <f t="shared" si="226"/>
        <v>-28.92371388</v>
      </c>
      <c r="T122" s="186">
        <f t="shared" si="226"/>
        <v>-30.13577838</v>
      </c>
      <c r="U122" s="185">
        <f t="shared" si="227"/>
        <v>-114.6200321</v>
      </c>
      <c r="V122" s="186">
        <f t="shared" ref="V122:Y122" si="228">-V130</f>
        <v>-30.80406701</v>
      </c>
      <c r="W122" s="186">
        <f t="shared" si="228"/>
        <v>-31.26135772</v>
      </c>
      <c r="X122" s="186">
        <f t="shared" si="228"/>
        <v>-28.96916238</v>
      </c>
      <c r="Y122" s="186">
        <f t="shared" si="228"/>
        <v>-32.66188761</v>
      </c>
      <c r="Z122" s="185">
        <f t="shared" si="229"/>
        <v>-123.6964747</v>
      </c>
      <c r="AA122" s="186">
        <f t="shared" ref="AA122:AD122" si="230">-AA130</f>
        <v>-33.18120653</v>
      </c>
      <c r="AB122" s="186">
        <f t="shared" si="230"/>
        <v>-33.71634711</v>
      </c>
      <c r="AC122" s="186">
        <f t="shared" si="230"/>
        <v>-31.2734465</v>
      </c>
      <c r="AD122" s="186">
        <f t="shared" si="230"/>
        <v>-35.28475019</v>
      </c>
      <c r="AE122" s="185">
        <f t="shared" si="231"/>
        <v>-133.4557503</v>
      </c>
      <c r="AF122" s="186">
        <f t="shared" ref="AF122:AI122" si="232">-AF130</f>
        <v>-35.86822249</v>
      </c>
      <c r="AG122" s="186">
        <f t="shared" si="232"/>
        <v>-36.45985031</v>
      </c>
      <c r="AH122" s="186">
        <f t="shared" si="232"/>
        <v>-33.81662066</v>
      </c>
      <c r="AI122" s="186">
        <f t="shared" si="232"/>
        <v>-38.14140782</v>
      </c>
      <c r="AJ122" s="185">
        <f t="shared" si="233"/>
        <v>-144.2861013</v>
      </c>
      <c r="AK122" s="186">
        <f t="shared" ref="AK122:AN122" si="234">-AK130</f>
        <v>-38.75789113</v>
      </c>
      <c r="AL122" s="186">
        <f t="shared" si="234"/>
        <v>-39.37928422</v>
      </c>
      <c r="AM122" s="186">
        <f t="shared" si="234"/>
        <v>-36.49955002</v>
      </c>
      <c r="AN122" s="186">
        <f t="shared" si="234"/>
        <v>-41.13652576</v>
      </c>
      <c r="AO122" s="185">
        <f t="shared" si="235"/>
        <v>-155.7732511</v>
      </c>
      <c r="AP122" s="165"/>
      <c r="AQ122" s="187"/>
      <c r="AR122" s="165"/>
      <c r="AS122" s="165"/>
      <c r="AT122" s="165"/>
      <c r="AU122" s="165"/>
      <c r="AV122" s="187"/>
      <c r="AW122" s="165"/>
      <c r="AX122" s="165"/>
      <c r="AY122" s="165"/>
      <c r="AZ122" s="165"/>
      <c r="BA122" s="187"/>
      <c r="BB122" s="165"/>
      <c r="BC122" s="165"/>
      <c r="BD122" s="165"/>
      <c r="BE122" s="165"/>
      <c r="BF122" s="187"/>
      <c r="BG122" s="165"/>
    </row>
    <row r="123" ht="10.5" customHeight="1">
      <c r="A123" s="164" t="s">
        <v>210</v>
      </c>
      <c r="B123" s="186"/>
      <c r="C123" s="186"/>
      <c r="D123" s="186"/>
      <c r="E123" s="186"/>
      <c r="F123" s="185"/>
      <c r="G123" s="186">
        <f t="shared" ref="G123:J123" si="236">G124-SUM(G120:G122)</f>
        <v>382.32</v>
      </c>
      <c r="H123" s="186">
        <f t="shared" si="236"/>
        <v>7.235</v>
      </c>
      <c r="I123" s="186">
        <f t="shared" si="236"/>
        <v>1.036</v>
      </c>
      <c r="J123" s="186">
        <f t="shared" si="236"/>
        <v>-10.548</v>
      </c>
      <c r="K123" s="185"/>
      <c r="L123" s="186">
        <f t="shared" ref="L123:N123" si="237">L124-SUM(L120:L122)</f>
        <v>1.36975</v>
      </c>
      <c r="M123" s="186">
        <f t="shared" si="237"/>
        <v>4.568</v>
      </c>
      <c r="N123" s="186">
        <f t="shared" si="237"/>
        <v>-6.921</v>
      </c>
      <c r="O123" s="184">
        <v>0.0</v>
      </c>
      <c r="P123" s="185">
        <f t="shared" si="225"/>
        <v>-0.98325</v>
      </c>
      <c r="Q123" s="184">
        <v>0.0</v>
      </c>
      <c r="R123" s="184">
        <v>0.0</v>
      </c>
      <c r="S123" s="184">
        <v>0.0</v>
      </c>
      <c r="T123" s="184">
        <v>0.0</v>
      </c>
      <c r="U123" s="185">
        <f t="shared" si="227"/>
        <v>0</v>
      </c>
      <c r="V123" s="184">
        <v>0.0</v>
      </c>
      <c r="W123" s="184">
        <v>0.0</v>
      </c>
      <c r="X123" s="184">
        <v>0.0</v>
      </c>
      <c r="Y123" s="184">
        <v>0.0</v>
      </c>
      <c r="Z123" s="185">
        <f t="shared" si="229"/>
        <v>0</v>
      </c>
      <c r="AA123" s="184">
        <v>0.0</v>
      </c>
      <c r="AB123" s="184">
        <v>0.0</v>
      </c>
      <c r="AC123" s="184">
        <v>0.0</v>
      </c>
      <c r="AD123" s="184">
        <v>0.0</v>
      </c>
      <c r="AE123" s="185">
        <f t="shared" si="231"/>
        <v>0</v>
      </c>
      <c r="AF123" s="184">
        <v>0.0</v>
      </c>
      <c r="AG123" s="184">
        <v>0.0</v>
      </c>
      <c r="AH123" s="184">
        <v>0.0</v>
      </c>
      <c r="AI123" s="184">
        <v>0.0</v>
      </c>
      <c r="AJ123" s="185">
        <f t="shared" si="233"/>
        <v>0</v>
      </c>
      <c r="AK123" s="184">
        <v>0.0</v>
      </c>
      <c r="AL123" s="184">
        <v>0.0</v>
      </c>
      <c r="AM123" s="184">
        <v>0.0</v>
      </c>
      <c r="AN123" s="184">
        <v>0.0</v>
      </c>
      <c r="AO123" s="185">
        <f t="shared" si="235"/>
        <v>0</v>
      </c>
      <c r="AP123" s="165"/>
      <c r="AQ123" s="187"/>
      <c r="AR123" s="165"/>
      <c r="AS123" s="165"/>
      <c r="AT123" s="165"/>
      <c r="AU123" s="165"/>
      <c r="AV123" s="187"/>
      <c r="AW123" s="165"/>
      <c r="AX123" s="165"/>
      <c r="AY123" s="165"/>
      <c r="AZ123" s="165"/>
      <c r="BA123" s="187"/>
      <c r="BB123" s="165"/>
      <c r="BC123" s="165"/>
      <c r="BD123" s="165"/>
      <c r="BE123" s="165"/>
      <c r="BF123" s="187"/>
      <c r="BG123" s="165"/>
    </row>
    <row r="124" ht="10.5" customHeight="1">
      <c r="A124" s="259" t="s">
        <v>262</v>
      </c>
      <c r="B124" s="272"/>
      <c r="C124" s="272"/>
      <c r="D124" s="272"/>
      <c r="E124" s="272"/>
      <c r="F124" s="273"/>
      <c r="G124" s="272">
        <f>'Balance Sheet'!D22</f>
        <v>382.019</v>
      </c>
      <c r="H124" s="272">
        <f>'Balance Sheet'!E22</f>
        <v>400.239</v>
      </c>
      <c r="I124" s="272">
        <f>'Balance Sheet'!F22</f>
        <v>421.633</v>
      </c>
      <c r="J124" s="272">
        <f>'Balance Sheet'!G22</f>
        <v>423.991</v>
      </c>
      <c r="K124" s="273">
        <f>SUM(K120:K123)</f>
        <v>424.048</v>
      </c>
      <c r="L124" s="272">
        <f>'Balance Sheet'!I22</f>
        <v>419.313</v>
      </c>
      <c r="M124" s="272">
        <f>'Balance Sheet'!J22</f>
        <v>430.387</v>
      </c>
      <c r="N124" s="272">
        <f>'Balance Sheet'!K22</f>
        <v>448.324</v>
      </c>
      <c r="O124" s="272">
        <f t="shared" ref="O124:AO124" si="238">SUM(O120:O123)</f>
        <v>487.7153324</v>
      </c>
      <c r="P124" s="273">
        <f t="shared" si="238"/>
        <v>487.7723324</v>
      </c>
      <c r="Q124" s="272">
        <f t="shared" si="238"/>
        <v>488.7455909</v>
      </c>
      <c r="R124" s="272">
        <f t="shared" si="238"/>
        <v>499.5592125</v>
      </c>
      <c r="S124" s="272">
        <f t="shared" si="238"/>
        <v>523.2884876</v>
      </c>
      <c r="T124" s="272">
        <f t="shared" si="238"/>
        <v>542.4222205</v>
      </c>
      <c r="U124" s="273">
        <f t="shared" si="238"/>
        <v>542.4222205</v>
      </c>
      <c r="V124" s="272">
        <f t="shared" si="238"/>
        <v>546.9216037</v>
      </c>
      <c r="W124" s="272">
        <f t="shared" si="238"/>
        <v>558.5936831</v>
      </c>
      <c r="X124" s="272">
        <f t="shared" si="238"/>
        <v>571.2036498</v>
      </c>
      <c r="Y124" s="272">
        <f t="shared" si="238"/>
        <v>583.8394667</v>
      </c>
      <c r="Z124" s="273">
        <f t="shared" si="238"/>
        <v>583.8394667</v>
      </c>
      <c r="AA124" s="272">
        <f t="shared" si="238"/>
        <v>589.568655</v>
      </c>
      <c r="AB124" s="272">
        <f t="shared" si="238"/>
        <v>602.7639838</v>
      </c>
      <c r="AC124" s="272">
        <f t="shared" si="238"/>
        <v>616.9004298</v>
      </c>
      <c r="AD124" s="272">
        <f t="shared" si="238"/>
        <v>630.8966451</v>
      </c>
      <c r="AE124" s="273">
        <f t="shared" si="238"/>
        <v>630.8966451</v>
      </c>
      <c r="AF124" s="272">
        <f t="shared" si="238"/>
        <v>637.534132</v>
      </c>
      <c r="AG124" s="272">
        <f t="shared" si="238"/>
        <v>651.8187564</v>
      </c>
      <c r="AH124" s="272">
        <f t="shared" si="238"/>
        <v>667.0294496</v>
      </c>
      <c r="AI124" s="272">
        <f t="shared" si="238"/>
        <v>681.7894269</v>
      </c>
      <c r="AJ124" s="273">
        <f t="shared" si="238"/>
        <v>681.7894269</v>
      </c>
      <c r="AK124" s="272">
        <f t="shared" si="238"/>
        <v>688.8305411</v>
      </c>
      <c r="AL124" s="272">
        <f t="shared" si="238"/>
        <v>703.7641462</v>
      </c>
      <c r="AM124" s="272">
        <f t="shared" si="238"/>
        <v>719.7183047</v>
      </c>
      <c r="AN124" s="272">
        <f t="shared" si="238"/>
        <v>735.0188336</v>
      </c>
      <c r="AO124" s="273">
        <f t="shared" si="238"/>
        <v>735.0188336</v>
      </c>
      <c r="AP124" s="165"/>
      <c r="AQ124" s="187"/>
      <c r="AR124" s="165"/>
      <c r="AS124" s="165"/>
      <c r="AT124" s="165"/>
      <c r="AU124" s="165"/>
      <c r="AV124" s="187"/>
      <c r="AW124" s="165"/>
      <c r="AX124" s="165"/>
      <c r="AY124" s="165"/>
      <c r="AZ124" s="165"/>
      <c r="BA124" s="187"/>
      <c r="BB124" s="165"/>
      <c r="BC124" s="165"/>
      <c r="BD124" s="165"/>
      <c r="BE124" s="165"/>
      <c r="BF124" s="187"/>
      <c r="BG124" s="165"/>
    </row>
    <row r="125" ht="10.5" customHeight="1">
      <c r="A125" s="164"/>
      <c r="B125" s="184"/>
      <c r="C125" s="184"/>
      <c r="D125" s="184"/>
      <c r="E125" s="184"/>
      <c r="F125" s="196"/>
      <c r="G125" s="184"/>
      <c r="H125" s="184"/>
      <c r="I125" s="184"/>
      <c r="J125" s="186"/>
      <c r="K125" s="185"/>
      <c r="L125" s="186"/>
      <c r="M125" s="186"/>
      <c r="N125" s="186"/>
      <c r="O125" s="186"/>
      <c r="P125" s="185"/>
      <c r="Q125" s="186"/>
      <c r="R125" s="186"/>
      <c r="S125" s="186"/>
      <c r="T125" s="186"/>
      <c r="U125" s="185"/>
      <c r="V125" s="186"/>
      <c r="W125" s="186"/>
      <c r="X125" s="186"/>
      <c r="Y125" s="186"/>
      <c r="Z125" s="185"/>
      <c r="AA125" s="186"/>
      <c r="AB125" s="186"/>
      <c r="AC125" s="186"/>
      <c r="AD125" s="186"/>
      <c r="AE125" s="185"/>
      <c r="AF125" s="186"/>
      <c r="AG125" s="186"/>
      <c r="AH125" s="186"/>
      <c r="AI125" s="186"/>
      <c r="AJ125" s="185"/>
      <c r="AK125" s="186"/>
      <c r="AL125" s="186"/>
      <c r="AM125" s="186"/>
      <c r="AN125" s="186"/>
      <c r="AO125" s="185"/>
      <c r="AP125" s="165"/>
      <c r="AQ125" s="187"/>
      <c r="AR125" s="165"/>
      <c r="AS125" s="165"/>
      <c r="AT125" s="165"/>
      <c r="AU125" s="165"/>
      <c r="AV125" s="187"/>
      <c r="AW125" s="165"/>
      <c r="AX125" s="165"/>
      <c r="AY125" s="165"/>
      <c r="AZ125" s="165"/>
      <c r="BA125" s="187"/>
      <c r="BB125" s="165"/>
      <c r="BC125" s="165"/>
      <c r="BD125" s="165"/>
      <c r="BE125" s="165"/>
      <c r="BF125" s="187"/>
      <c r="BG125" s="165"/>
    </row>
    <row r="126" ht="10.5" customHeight="1">
      <c r="A126" s="164" t="s">
        <v>91</v>
      </c>
      <c r="B126" s="186">
        <f>-'Cash Flow Statement'!B47</f>
        <v>22.997</v>
      </c>
      <c r="C126" s="186">
        <f>-'Cash Flow Statement'!C47</f>
        <v>22.146</v>
      </c>
      <c r="D126" s="186">
        <f>-'Cash Flow Statement'!D47</f>
        <v>39.493</v>
      </c>
      <c r="E126" s="186">
        <f>-'Cash Flow Statement'!E47</f>
        <v>51.35</v>
      </c>
      <c r="F126" s="185">
        <f>-'Cash Flow Statement'!F47</f>
        <v>135.986</v>
      </c>
      <c r="G126" s="186">
        <f>-'Cash Flow Statement'!G47</f>
        <v>26.311</v>
      </c>
      <c r="H126" s="186">
        <f>-'Cash Flow Statement'!H47</f>
        <v>38.034</v>
      </c>
      <c r="I126" s="186">
        <f>-'Cash Flow Statement'!I47</f>
        <v>48.623</v>
      </c>
      <c r="J126" s="186">
        <f>-'Cash Flow Statement'!J47</f>
        <v>42.093</v>
      </c>
      <c r="K126" s="185">
        <f>SUM(G126:J126)</f>
        <v>155.061</v>
      </c>
      <c r="L126" s="186">
        <f>-'Cash Flow Statement'!L47</f>
        <v>23.055</v>
      </c>
      <c r="M126" s="186">
        <f>-'Cash Flow Statement'!M47</f>
        <v>35.746</v>
      </c>
      <c r="N126" s="186">
        <f>-'Cash Flow Statement'!N47</f>
        <v>54.776</v>
      </c>
      <c r="O126" s="186">
        <f>O$22*O127</f>
        <v>69.33686319</v>
      </c>
      <c r="P126" s="185">
        <f>SUM(L126:O126)</f>
        <v>182.9138632</v>
      </c>
      <c r="Q126" s="186">
        <f t="shared" ref="Q126:T126" si="239">Q$22*Q127</f>
        <v>28.5868758</v>
      </c>
      <c r="R126" s="186">
        <f t="shared" si="239"/>
        <v>38.76054404</v>
      </c>
      <c r="S126" s="186">
        <f t="shared" si="239"/>
        <v>52.65298898</v>
      </c>
      <c r="T126" s="186">
        <f t="shared" si="239"/>
        <v>49.26951128</v>
      </c>
      <c r="U126" s="185">
        <f>SUM(Q126:T126)</f>
        <v>169.2699201</v>
      </c>
      <c r="V126" s="186">
        <f t="shared" ref="V126:Y126" si="240">V$22*V127</f>
        <v>35.3034502</v>
      </c>
      <c r="W126" s="186">
        <f t="shared" si="240"/>
        <v>42.9334372</v>
      </c>
      <c r="X126" s="186">
        <f t="shared" si="240"/>
        <v>41.57912906</v>
      </c>
      <c r="Y126" s="186">
        <f t="shared" si="240"/>
        <v>45.29770454</v>
      </c>
      <c r="Z126" s="185">
        <f>SUM(V126:Y126)</f>
        <v>165.113721</v>
      </c>
      <c r="AA126" s="186">
        <f t="shared" ref="AA126:AD126" si="241">AA$22*AA127</f>
        <v>38.91039478</v>
      </c>
      <c r="AB126" s="186">
        <f t="shared" si="241"/>
        <v>46.91167593</v>
      </c>
      <c r="AC126" s="186">
        <f t="shared" si="241"/>
        <v>45.40989254</v>
      </c>
      <c r="AD126" s="186">
        <f t="shared" si="241"/>
        <v>49.28096549</v>
      </c>
      <c r="AE126" s="185">
        <f>SUM(AA126:AD126)</f>
        <v>180.5129287</v>
      </c>
      <c r="AF126" s="186">
        <f t="shared" ref="AF126:AI126" si="242">AF$22*AF127</f>
        <v>42.50570932</v>
      </c>
      <c r="AG126" s="186">
        <f t="shared" si="242"/>
        <v>50.74447469</v>
      </c>
      <c r="AH126" s="186">
        <f t="shared" si="242"/>
        <v>49.02731388</v>
      </c>
      <c r="AI126" s="186">
        <f t="shared" si="242"/>
        <v>52.90138512</v>
      </c>
      <c r="AJ126" s="185">
        <f>SUM(AF126:AI126)</f>
        <v>195.178883</v>
      </c>
      <c r="AK126" s="186">
        <f t="shared" ref="AK126:AN126" si="243">AK$22*AK127</f>
        <v>45.7990054</v>
      </c>
      <c r="AL126" s="186">
        <f t="shared" si="243"/>
        <v>54.31288922</v>
      </c>
      <c r="AM126" s="186">
        <f t="shared" si="243"/>
        <v>52.45370856</v>
      </c>
      <c r="AN126" s="186">
        <f t="shared" si="243"/>
        <v>56.4370547</v>
      </c>
      <c r="AO126" s="185">
        <f>SUM(AK126:AN126)</f>
        <v>209.0026579</v>
      </c>
      <c r="AP126" s="274"/>
      <c r="AQ126" s="274"/>
      <c r="AR126" s="274"/>
      <c r="AS126" s="274"/>
      <c r="AT126" s="274"/>
      <c r="AU126" s="274"/>
      <c r="AV126" s="274"/>
      <c r="AW126" s="274"/>
      <c r="AX126" s="274"/>
      <c r="AY126" s="274"/>
      <c r="AZ126" s="274"/>
      <c r="BA126" s="274"/>
      <c r="BB126" s="274"/>
      <c r="BC126" s="274"/>
      <c r="BD126" s="274"/>
      <c r="BE126" s="274"/>
      <c r="BF126" s="274"/>
      <c r="BG126" s="274"/>
    </row>
    <row r="127" ht="10.5" customHeight="1">
      <c r="A127" s="183" t="s">
        <v>263</v>
      </c>
      <c r="B127" s="222">
        <f t="shared" ref="B127:N127" si="244">B126/B$22</f>
        <v>0.1034852064</v>
      </c>
      <c r="C127" s="222">
        <f t="shared" si="244"/>
        <v>0.0773084133</v>
      </c>
      <c r="D127" s="222">
        <f t="shared" si="244"/>
        <v>0.1422909663</v>
      </c>
      <c r="E127" s="222">
        <f t="shared" si="244"/>
        <v>0.1801204545</v>
      </c>
      <c r="F127" s="261">
        <f t="shared" si="244"/>
        <v>0.1269324183</v>
      </c>
      <c r="G127" s="222">
        <f t="shared" si="244"/>
        <v>0.1060854699</v>
      </c>
      <c r="H127" s="222">
        <f t="shared" si="244"/>
        <v>0.1263835768</v>
      </c>
      <c r="I127" s="222">
        <f t="shared" si="244"/>
        <v>0.1663769564</v>
      </c>
      <c r="J127" s="222">
        <f t="shared" si="244"/>
        <v>0.1236393009</v>
      </c>
      <c r="K127" s="261">
        <f t="shared" si="244"/>
        <v>0.1312236915</v>
      </c>
      <c r="L127" s="222">
        <f t="shared" si="244"/>
        <v>0.08333273091</v>
      </c>
      <c r="M127" s="222">
        <f t="shared" si="244"/>
        <v>0.1048641893</v>
      </c>
      <c r="N127" s="222">
        <f t="shared" si="244"/>
        <v>0.1658145272</v>
      </c>
      <c r="O127" s="258">
        <v>0.192</v>
      </c>
      <c r="P127" s="261">
        <f>AVERAGE(L127:O127)</f>
        <v>0.1365028619</v>
      </c>
      <c r="Q127" s="258">
        <v>0.09</v>
      </c>
      <c r="R127" s="258">
        <v>0.1</v>
      </c>
      <c r="S127" s="258">
        <v>0.14</v>
      </c>
      <c r="T127" s="258">
        <v>0.12</v>
      </c>
      <c r="U127" s="261">
        <f>AVERAGE(Q127:T127)</f>
        <v>0.1125</v>
      </c>
      <c r="V127" s="258">
        <v>0.1</v>
      </c>
      <c r="W127" s="258">
        <v>0.1</v>
      </c>
      <c r="X127" s="258">
        <v>0.1</v>
      </c>
      <c r="Y127" s="258">
        <v>0.1</v>
      </c>
      <c r="Z127" s="261">
        <f>AVERAGE(V127:Y127)</f>
        <v>0.1</v>
      </c>
      <c r="AA127" s="258">
        <v>0.1</v>
      </c>
      <c r="AB127" s="258">
        <v>0.1</v>
      </c>
      <c r="AC127" s="258">
        <v>0.1</v>
      </c>
      <c r="AD127" s="258">
        <v>0.1</v>
      </c>
      <c r="AE127" s="261">
        <f>AVERAGE(AA127:AD127)</f>
        <v>0.1</v>
      </c>
      <c r="AF127" s="258">
        <v>0.1</v>
      </c>
      <c r="AG127" s="258">
        <v>0.1</v>
      </c>
      <c r="AH127" s="258">
        <v>0.1</v>
      </c>
      <c r="AI127" s="258">
        <v>0.1</v>
      </c>
      <c r="AJ127" s="261">
        <f>AVERAGE(AF127:AI127)</f>
        <v>0.1</v>
      </c>
      <c r="AK127" s="258">
        <v>0.1</v>
      </c>
      <c r="AL127" s="258">
        <v>0.1</v>
      </c>
      <c r="AM127" s="258">
        <v>0.1</v>
      </c>
      <c r="AN127" s="258">
        <v>0.1</v>
      </c>
      <c r="AO127" s="261">
        <f>AVERAGE(AK127:AN127)</f>
        <v>0.1</v>
      </c>
      <c r="AP127" s="165"/>
      <c r="AQ127" s="187"/>
      <c r="AR127" s="165"/>
      <c r="AS127" s="165"/>
      <c r="AT127" s="165"/>
      <c r="AU127" s="165"/>
      <c r="AV127" s="187"/>
      <c r="AW127" s="165"/>
      <c r="AX127" s="165"/>
      <c r="AY127" s="165"/>
      <c r="AZ127" s="165"/>
      <c r="BA127" s="187"/>
      <c r="BB127" s="165"/>
      <c r="BC127" s="165"/>
      <c r="BD127" s="165"/>
      <c r="BE127" s="165"/>
      <c r="BF127" s="187"/>
      <c r="BG127" s="165"/>
    </row>
    <row r="128" ht="10.5" customHeight="1">
      <c r="A128" s="183" t="s">
        <v>212</v>
      </c>
      <c r="B128" s="220" t="str">
        <f t="shared" ref="B128:F128" si="245">IFERROR(B126/#REF!-1,"na")</f>
        <v>na</v>
      </c>
      <c r="C128" s="220" t="str">
        <f t="shared" si="245"/>
        <v>na</v>
      </c>
      <c r="D128" s="220" t="str">
        <f t="shared" si="245"/>
        <v>na</v>
      </c>
      <c r="E128" s="220" t="str">
        <f t="shared" si="245"/>
        <v>na</v>
      </c>
      <c r="F128" s="221" t="str">
        <f t="shared" si="245"/>
        <v>na</v>
      </c>
      <c r="G128" s="220">
        <f t="shared" ref="G128:AO128" si="246">IFERROR(G126/B126-1,"na")</f>
        <v>0.1441057529</v>
      </c>
      <c r="H128" s="220">
        <f t="shared" si="246"/>
        <v>0.7174207532</v>
      </c>
      <c r="I128" s="220">
        <f t="shared" si="246"/>
        <v>0.2311802092</v>
      </c>
      <c r="J128" s="220">
        <f t="shared" si="246"/>
        <v>-0.1802726388</v>
      </c>
      <c r="K128" s="221">
        <f t="shared" si="246"/>
        <v>0.1402717927</v>
      </c>
      <c r="L128" s="220">
        <f t="shared" si="246"/>
        <v>-0.1237505226</v>
      </c>
      <c r="M128" s="220">
        <f t="shared" si="246"/>
        <v>-0.0601567019</v>
      </c>
      <c r="N128" s="220">
        <f t="shared" si="246"/>
        <v>0.1265450507</v>
      </c>
      <c r="O128" s="220">
        <f t="shared" si="246"/>
        <v>0.6472302566</v>
      </c>
      <c r="P128" s="221">
        <f t="shared" si="246"/>
        <v>0.1796252003</v>
      </c>
      <c r="Q128" s="220">
        <f t="shared" si="246"/>
        <v>0.2399425636</v>
      </c>
      <c r="R128" s="220">
        <f t="shared" si="246"/>
        <v>0.08433234611</v>
      </c>
      <c r="S128" s="220">
        <f t="shared" si="246"/>
        <v>-0.03875805127</v>
      </c>
      <c r="T128" s="220">
        <f t="shared" si="246"/>
        <v>-0.2894182255</v>
      </c>
      <c r="U128" s="221">
        <f t="shared" si="246"/>
        <v>-0.07459217599</v>
      </c>
      <c r="V128" s="220">
        <f t="shared" si="246"/>
        <v>0.2349530757</v>
      </c>
      <c r="W128" s="220">
        <f t="shared" si="246"/>
        <v>0.107658271</v>
      </c>
      <c r="X128" s="220">
        <f t="shared" si="246"/>
        <v>-0.2103177832</v>
      </c>
      <c r="Y128" s="220">
        <f t="shared" si="246"/>
        <v>-0.08061388556</v>
      </c>
      <c r="Z128" s="221">
        <f t="shared" si="246"/>
        <v>-0.02455367802</v>
      </c>
      <c r="AA128" s="220">
        <f t="shared" si="246"/>
        <v>0.1021697472</v>
      </c>
      <c r="AB128" s="220">
        <f t="shared" si="246"/>
        <v>0.09266061595</v>
      </c>
      <c r="AC128" s="220">
        <f t="shared" si="246"/>
        <v>0.09213188355</v>
      </c>
      <c r="AD128" s="220">
        <f t="shared" si="246"/>
        <v>0.08793516119</v>
      </c>
      <c r="AE128" s="221">
        <f t="shared" si="246"/>
        <v>0.09326425236</v>
      </c>
      <c r="AF128" s="220">
        <f t="shared" si="246"/>
        <v>0.0923998473</v>
      </c>
      <c r="AG128" s="220">
        <f t="shared" si="246"/>
        <v>0.08170244794</v>
      </c>
      <c r="AH128" s="220">
        <f t="shared" si="246"/>
        <v>0.07966152621</v>
      </c>
      <c r="AI128" s="220">
        <f t="shared" si="246"/>
        <v>0.07346486809</v>
      </c>
      <c r="AJ128" s="221">
        <f t="shared" si="246"/>
        <v>0.08124600478</v>
      </c>
      <c r="AK128" s="220">
        <f t="shared" si="246"/>
        <v>0.07747891143</v>
      </c>
      <c r="AL128" s="220">
        <f t="shared" si="246"/>
        <v>0.07032124288</v>
      </c>
      <c r="AM128" s="220">
        <f t="shared" si="246"/>
        <v>0.06988746492</v>
      </c>
      <c r="AN128" s="220">
        <f t="shared" si="246"/>
        <v>0.06683510411</v>
      </c>
      <c r="AO128" s="221">
        <f t="shared" si="246"/>
        <v>0.07082618091</v>
      </c>
      <c r="AP128" s="165"/>
      <c r="AQ128" s="187"/>
      <c r="AR128" s="165"/>
      <c r="AS128" s="165"/>
      <c r="AT128" s="165"/>
      <c r="AU128" s="165"/>
      <c r="AV128" s="187"/>
      <c r="AW128" s="165"/>
      <c r="AX128" s="165"/>
      <c r="AY128" s="165"/>
      <c r="AZ128" s="165"/>
      <c r="BA128" s="187"/>
      <c r="BB128" s="165"/>
      <c r="BC128" s="165"/>
      <c r="BD128" s="165"/>
      <c r="BE128" s="165"/>
      <c r="BF128" s="187"/>
      <c r="BG128" s="165"/>
    </row>
    <row r="129" ht="10.5" customHeight="1">
      <c r="A129" s="164"/>
      <c r="B129" s="165"/>
      <c r="C129" s="165"/>
      <c r="D129" s="165"/>
      <c r="E129" s="165"/>
      <c r="F129" s="207"/>
      <c r="G129" s="165"/>
      <c r="H129" s="275"/>
      <c r="I129" s="165"/>
      <c r="J129" s="165"/>
      <c r="K129" s="207"/>
      <c r="L129" s="165"/>
      <c r="M129" s="275"/>
      <c r="N129" s="275"/>
      <c r="O129" s="165"/>
      <c r="P129" s="207"/>
      <c r="Q129" s="165"/>
      <c r="R129" s="165"/>
      <c r="S129" s="165"/>
      <c r="T129" s="165"/>
      <c r="U129" s="207"/>
      <c r="V129" s="165"/>
      <c r="W129" s="165"/>
      <c r="X129" s="165"/>
      <c r="Y129" s="165"/>
      <c r="Z129" s="207"/>
      <c r="AA129" s="165"/>
      <c r="AB129" s="165"/>
      <c r="AC129" s="165"/>
      <c r="AD129" s="165"/>
      <c r="AE129" s="207"/>
      <c r="AF129" s="165"/>
      <c r="AG129" s="165"/>
      <c r="AH129" s="165"/>
      <c r="AI129" s="165"/>
      <c r="AJ129" s="207"/>
      <c r="AK129" s="165"/>
      <c r="AL129" s="165"/>
      <c r="AM129" s="165"/>
      <c r="AN129" s="165"/>
      <c r="AO129" s="207"/>
      <c r="AP129" s="164"/>
      <c r="AQ129" s="187"/>
      <c r="AR129" s="164"/>
      <c r="AS129" s="164"/>
      <c r="AT129" s="164"/>
      <c r="AU129" s="164"/>
      <c r="AV129" s="187"/>
      <c r="AW129" s="164"/>
      <c r="AX129" s="164"/>
      <c r="AY129" s="164"/>
      <c r="AZ129" s="164"/>
      <c r="BA129" s="187"/>
      <c r="BB129" s="164"/>
      <c r="BC129" s="164"/>
      <c r="BD129" s="164"/>
      <c r="BE129" s="164"/>
      <c r="BF129" s="187"/>
      <c r="BG129" s="164"/>
    </row>
    <row r="130" ht="10.5" customHeight="1">
      <c r="A130" s="164" t="s">
        <v>264</v>
      </c>
      <c r="B130" s="186">
        <f t="shared" ref="B130:J130" si="247">-B122</f>
        <v>0</v>
      </c>
      <c r="C130" s="186">
        <f t="shared" si="247"/>
        <v>0</v>
      </c>
      <c r="D130" s="186">
        <f t="shared" si="247"/>
        <v>0</v>
      </c>
      <c r="E130" s="186">
        <f t="shared" si="247"/>
        <v>0</v>
      </c>
      <c r="F130" s="185">
        <f t="shared" si="247"/>
        <v>0</v>
      </c>
      <c r="G130" s="186">
        <f t="shared" si="247"/>
        <v>26.612</v>
      </c>
      <c r="H130" s="186">
        <f t="shared" si="247"/>
        <v>27.049</v>
      </c>
      <c r="I130" s="186">
        <f t="shared" si="247"/>
        <v>28.265</v>
      </c>
      <c r="J130" s="186">
        <f t="shared" si="247"/>
        <v>29.187</v>
      </c>
      <c r="K130" s="185">
        <f>SUM(G130:J130)</f>
        <v>111.113</v>
      </c>
      <c r="L130" s="186">
        <f t="shared" ref="L130:N130" si="248">-L122</f>
        <v>29.10275</v>
      </c>
      <c r="M130" s="186">
        <f t="shared" si="248"/>
        <v>29.24</v>
      </c>
      <c r="N130" s="186">
        <f t="shared" si="248"/>
        <v>29.918</v>
      </c>
      <c r="O130" s="186">
        <f>O131*(O120+(O121*0.5))</f>
        <v>29.94553076</v>
      </c>
      <c r="P130" s="185">
        <f>SUM(L130:O130)</f>
        <v>118.2062808</v>
      </c>
      <c r="Q130" s="186">
        <f t="shared" ref="Q130:T130" si="249">Q131*(Q120+(Q121*0.5))</f>
        <v>27.61361737</v>
      </c>
      <c r="R130" s="186">
        <f t="shared" si="249"/>
        <v>27.94692246</v>
      </c>
      <c r="S130" s="186">
        <f t="shared" si="249"/>
        <v>28.92371388</v>
      </c>
      <c r="T130" s="186">
        <f t="shared" si="249"/>
        <v>30.13577838</v>
      </c>
      <c r="U130" s="185">
        <f>SUM(Q130:T130)</f>
        <v>114.6200321</v>
      </c>
      <c r="V130" s="186">
        <f t="shared" ref="V130:Y130" si="250">V131*(V120+(V121*0.5))</f>
        <v>30.80406701</v>
      </c>
      <c r="W130" s="186">
        <f t="shared" si="250"/>
        <v>31.26135772</v>
      </c>
      <c r="X130" s="186">
        <f t="shared" si="250"/>
        <v>28.96916238</v>
      </c>
      <c r="Y130" s="186">
        <f t="shared" si="250"/>
        <v>32.66188761</v>
      </c>
      <c r="Z130" s="185">
        <f>SUM(V130:Y130)</f>
        <v>123.6964747</v>
      </c>
      <c r="AA130" s="186">
        <f t="shared" ref="AA130:AD130" si="251">AA131*(AA120+(AA121*0.5))</f>
        <v>33.18120653</v>
      </c>
      <c r="AB130" s="186">
        <f t="shared" si="251"/>
        <v>33.71634711</v>
      </c>
      <c r="AC130" s="186">
        <f t="shared" si="251"/>
        <v>31.2734465</v>
      </c>
      <c r="AD130" s="186">
        <f t="shared" si="251"/>
        <v>35.28475019</v>
      </c>
      <c r="AE130" s="185">
        <f>SUM(AA130:AD130)</f>
        <v>133.4557503</v>
      </c>
      <c r="AF130" s="186">
        <f t="shared" ref="AF130:AI130" si="252">AF131*(AF120+(AF121*0.5))</f>
        <v>35.86822249</v>
      </c>
      <c r="AG130" s="186">
        <f t="shared" si="252"/>
        <v>36.45985031</v>
      </c>
      <c r="AH130" s="186">
        <f t="shared" si="252"/>
        <v>33.81662066</v>
      </c>
      <c r="AI130" s="186">
        <f t="shared" si="252"/>
        <v>38.14140782</v>
      </c>
      <c r="AJ130" s="185">
        <f>SUM(AF130:AI130)</f>
        <v>144.2861013</v>
      </c>
      <c r="AK130" s="186">
        <f t="shared" ref="AK130:AN130" si="253">AK131*(AK120+(AK121*0.5))</f>
        <v>38.75789113</v>
      </c>
      <c r="AL130" s="186">
        <f t="shared" si="253"/>
        <v>39.37928422</v>
      </c>
      <c r="AM130" s="186">
        <f t="shared" si="253"/>
        <v>36.49955002</v>
      </c>
      <c r="AN130" s="186">
        <f t="shared" si="253"/>
        <v>41.13652576</v>
      </c>
      <c r="AO130" s="185">
        <f>SUM(AK130:AN130)</f>
        <v>155.7732511</v>
      </c>
      <c r="AP130" s="164"/>
      <c r="AQ130" s="187"/>
      <c r="AR130" s="164"/>
      <c r="AS130" s="164"/>
      <c r="AT130" s="164"/>
      <c r="AU130" s="164"/>
      <c r="AV130" s="187"/>
      <c r="AW130" s="164"/>
      <c r="AX130" s="164"/>
      <c r="AY130" s="164"/>
      <c r="AZ130" s="164"/>
      <c r="BA130" s="187"/>
      <c r="BB130" s="164"/>
      <c r="BC130" s="164"/>
      <c r="BD130" s="164"/>
      <c r="BE130" s="164"/>
      <c r="BF130" s="187"/>
      <c r="BG130" s="164"/>
    </row>
    <row r="131" ht="10.5" customHeight="1">
      <c r="A131" s="183" t="s">
        <v>265</v>
      </c>
      <c r="B131" s="222"/>
      <c r="C131" s="222"/>
      <c r="D131" s="222"/>
      <c r="E131" s="222"/>
      <c r="F131" s="261"/>
      <c r="G131" s="222">
        <f t="shared" ref="G131:N131" si="254">G130/(G120+(G121*0.5))</f>
        <v>2.022880164</v>
      </c>
      <c r="H131" s="222">
        <f t="shared" si="254"/>
        <v>0.06744781017</v>
      </c>
      <c r="I131" s="222">
        <f t="shared" si="254"/>
        <v>0.06657629658</v>
      </c>
      <c r="J131" s="222">
        <f t="shared" si="254"/>
        <v>0.0659325765</v>
      </c>
      <c r="K131" s="261">
        <f t="shared" si="254"/>
        <v>0.2428006875</v>
      </c>
      <c r="L131" s="222">
        <f t="shared" si="254"/>
        <v>0.06682322335</v>
      </c>
      <c r="M131" s="222">
        <f t="shared" si="254"/>
        <v>0.06688228809</v>
      </c>
      <c r="N131" s="222">
        <f t="shared" si="254"/>
        <v>0.06535525094</v>
      </c>
      <c r="O131" s="258">
        <v>0.062</v>
      </c>
      <c r="P131" s="261">
        <f>AVERAGE(L131:O131)</f>
        <v>0.0652651906</v>
      </c>
      <c r="Q131" s="258">
        <v>0.055</v>
      </c>
      <c r="R131" s="258">
        <v>0.055</v>
      </c>
      <c r="S131" s="258">
        <v>0.055</v>
      </c>
      <c r="T131" s="258">
        <v>0.055</v>
      </c>
      <c r="U131" s="261">
        <f>AVERAGE(Q131:T131)</f>
        <v>0.055</v>
      </c>
      <c r="V131" s="258">
        <v>0.055</v>
      </c>
      <c r="W131" s="258">
        <v>0.055</v>
      </c>
      <c r="X131" s="258">
        <v>0.05</v>
      </c>
      <c r="Y131" s="258">
        <v>0.055</v>
      </c>
      <c r="Z131" s="261">
        <f>AVERAGE(V131:Y131)</f>
        <v>0.05375</v>
      </c>
      <c r="AA131" s="258">
        <v>0.055</v>
      </c>
      <c r="AB131" s="258">
        <v>0.055</v>
      </c>
      <c r="AC131" s="258">
        <v>0.05</v>
      </c>
      <c r="AD131" s="258">
        <v>0.055</v>
      </c>
      <c r="AE131" s="261">
        <f>AVERAGE(AA131:AD131)</f>
        <v>0.05375</v>
      </c>
      <c r="AF131" s="258">
        <v>0.055</v>
      </c>
      <c r="AG131" s="258">
        <v>0.055</v>
      </c>
      <c r="AH131" s="258">
        <v>0.05</v>
      </c>
      <c r="AI131" s="258">
        <v>0.055</v>
      </c>
      <c r="AJ131" s="261">
        <f>AVERAGE(AF131:AI131)</f>
        <v>0.05375</v>
      </c>
      <c r="AK131" s="258">
        <v>0.055</v>
      </c>
      <c r="AL131" s="258">
        <v>0.055</v>
      </c>
      <c r="AM131" s="258">
        <v>0.05</v>
      </c>
      <c r="AN131" s="258">
        <v>0.055</v>
      </c>
      <c r="AO131" s="261">
        <f>AVERAGE(AK131:AN131)</f>
        <v>0.05375</v>
      </c>
      <c r="AP131" s="164"/>
      <c r="AQ131" s="187"/>
      <c r="AR131" s="164"/>
      <c r="AS131" s="164"/>
      <c r="AT131" s="164"/>
      <c r="AU131" s="164"/>
      <c r="AV131" s="187"/>
      <c r="AW131" s="164"/>
      <c r="AX131" s="164"/>
      <c r="AY131" s="164"/>
      <c r="AZ131" s="164"/>
      <c r="BA131" s="187"/>
      <c r="BB131" s="164"/>
      <c r="BC131" s="164"/>
      <c r="BD131" s="164"/>
      <c r="BE131" s="164"/>
      <c r="BF131" s="187"/>
      <c r="BG131" s="164"/>
    </row>
    <row r="132" ht="10.5" customHeight="1">
      <c r="A132" s="183" t="s">
        <v>212</v>
      </c>
      <c r="B132" s="220"/>
      <c r="C132" s="220"/>
      <c r="D132" s="220"/>
      <c r="E132" s="220"/>
      <c r="F132" s="221"/>
      <c r="G132" s="220" t="str">
        <f t="shared" ref="G132:AO132" si="255">IFERROR(G130/B130-1,"na")</f>
        <v>na</v>
      </c>
      <c r="H132" s="220" t="str">
        <f t="shared" si="255"/>
        <v>na</v>
      </c>
      <c r="I132" s="220" t="str">
        <f t="shared" si="255"/>
        <v>na</v>
      </c>
      <c r="J132" s="220" t="str">
        <f t="shared" si="255"/>
        <v>na</v>
      </c>
      <c r="K132" s="221" t="str">
        <f t="shared" si="255"/>
        <v>na</v>
      </c>
      <c r="L132" s="220">
        <f t="shared" si="255"/>
        <v>0.09359499474</v>
      </c>
      <c r="M132" s="220">
        <f t="shared" si="255"/>
        <v>0.08100114607</v>
      </c>
      <c r="N132" s="220">
        <f t="shared" si="255"/>
        <v>0.05848222183</v>
      </c>
      <c r="O132" s="220">
        <f t="shared" si="255"/>
        <v>0.02598865107</v>
      </c>
      <c r="P132" s="221">
        <f t="shared" si="255"/>
        <v>0.06383844158</v>
      </c>
      <c r="Q132" s="220">
        <f t="shared" si="255"/>
        <v>-0.05116810719</v>
      </c>
      <c r="R132" s="220">
        <f t="shared" si="255"/>
        <v>-0.04422289812</v>
      </c>
      <c r="S132" s="220">
        <f t="shared" si="255"/>
        <v>-0.03323370941</v>
      </c>
      <c r="T132" s="220">
        <f t="shared" si="255"/>
        <v>0.006353122222</v>
      </c>
      <c r="U132" s="221">
        <f t="shared" si="255"/>
        <v>-0.03033890121</v>
      </c>
      <c r="V132" s="220">
        <f t="shared" si="255"/>
        <v>0.1155389964</v>
      </c>
      <c r="W132" s="220">
        <f t="shared" si="255"/>
        <v>0.1185975046</v>
      </c>
      <c r="X132" s="220">
        <f t="shared" si="255"/>
        <v>0.001571323146</v>
      </c>
      <c r="Y132" s="220">
        <f t="shared" si="255"/>
        <v>0.08382425723</v>
      </c>
      <c r="Z132" s="221">
        <f t="shared" si="255"/>
        <v>0.07918722825</v>
      </c>
      <c r="AA132" s="220">
        <f t="shared" si="255"/>
        <v>0.07716966466</v>
      </c>
      <c r="AB132" s="220">
        <f t="shared" si="255"/>
        <v>0.07853111852</v>
      </c>
      <c r="AC132" s="220">
        <f t="shared" si="255"/>
        <v>0.0795426561</v>
      </c>
      <c r="AD132" s="220">
        <f t="shared" si="255"/>
        <v>0.08030345977</v>
      </c>
      <c r="AE132" s="221">
        <f t="shared" si="255"/>
        <v>0.0788969583</v>
      </c>
      <c r="AF132" s="220">
        <f t="shared" si="255"/>
        <v>0.08098005598</v>
      </c>
      <c r="AG132" s="220">
        <f t="shared" si="255"/>
        <v>0.08137011968</v>
      </c>
      <c r="AH132" s="220">
        <f t="shared" si="255"/>
        <v>0.08132055929</v>
      </c>
      <c r="AI132" s="220">
        <f t="shared" si="255"/>
        <v>0.08096012042</v>
      </c>
      <c r="AJ132" s="221">
        <f t="shared" si="255"/>
        <v>0.08115312319</v>
      </c>
      <c r="AK132" s="220">
        <f t="shared" si="255"/>
        <v>0.08056347477</v>
      </c>
      <c r="AL132" s="220">
        <f t="shared" si="255"/>
        <v>0.08007256967</v>
      </c>
      <c r="AM132" s="220">
        <f t="shared" si="255"/>
        <v>0.07933759508</v>
      </c>
      <c r="AN132" s="220">
        <f t="shared" si="255"/>
        <v>0.07852667526</v>
      </c>
      <c r="AO132" s="221">
        <f t="shared" si="255"/>
        <v>0.07961369628</v>
      </c>
      <c r="AP132" s="164"/>
      <c r="AQ132" s="187"/>
      <c r="AR132" s="164"/>
      <c r="AS132" s="164"/>
      <c r="AT132" s="164"/>
      <c r="AU132" s="164"/>
      <c r="AV132" s="187"/>
      <c r="AW132" s="164"/>
      <c r="AX132" s="164"/>
      <c r="AY132" s="164"/>
      <c r="AZ132" s="164"/>
      <c r="BA132" s="187"/>
      <c r="BB132" s="164"/>
      <c r="BC132" s="164"/>
      <c r="BD132" s="164"/>
      <c r="BE132" s="164"/>
      <c r="BF132" s="187"/>
      <c r="BG132" s="164"/>
    </row>
    <row r="133" ht="10.5" customHeight="1">
      <c r="A133" s="164"/>
      <c r="B133" s="165"/>
      <c r="C133" s="165"/>
      <c r="D133" s="165"/>
      <c r="E133" s="165"/>
      <c r="F133" s="207"/>
      <c r="G133" s="165"/>
      <c r="H133" s="275"/>
      <c r="I133" s="165"/>
      <c r="J133" s="165"/>
      <c r="K133" s="207"/>
      <c r="L133" s="165"/>
      <c r="M133" s="275"/>
      <c r="N133" s="275"/>
      <c r="O133" s="165"/>
      <c r="P133" s="207"/>
      <c r="Q133" s="165"/>
      <c r="R133" s="165"/>
      <c r="S133" s="165"/>
      <c r="T133" s="165"/>
      <c r="U133" s="207"/>
      <c r="V133" s="165"/>
      <c r="W133" s="165"/>
      <c r="X133" s="165"/>
      <c r="Y133" s="165"/>
      <c r="Z133" s="207"/>
      <c r="AA133" s="165"/>
      <c r="AB133" s="165"/>
      <c r="AC133" s="165"/>
      <c r="AD133" s="165"/>
      <c r="AE133" s="207"/>
      <c r="AF133" s="165"/>
      <c r="AG133" s="165"/>
      <c r="AH133" s="165"/>
      <c r="AI133" s="165"/>
      <c r="AJ133" s="207"/>
      <c r="AK133" s="165"/>
      <c r="AL133" s="165"/>
      <c r="AM133" s="165"/>
      <c r="AN133" s="165"/>
      <c r="AO133" s="207"/>
      <c r="AP133" s="164"/>
      <c r="AQ133" s="187"/>
      <c r="AR133" s="164"/>
      <c r="AS133" s="164"/>
      <c r="AT133" s="164"/>
      <c r="AU133" s="164"/>
      <c r="AV133" s="187"/>
      <c r="AW133" s="164"/>
      <c r="AX133" s="164"/>
      <c r="AY133" s="164"/>
      <c r="AZ133" s="164"/>
      <c r="BA133" s="187"/>
      <c r="BB133" s="164"/>
      <c r="BC133" s="164"/>
      <c r="BD133" s="164"/>
      <c r="BE133" s="164"/>
      <c r="BF133" s="187"/>
      <c r="BG133" s="164"/>
    </row>
    <row r="134" ht="10.5" customHeight="1">
      <c r="A134" s="198" t="s">
        <v>266</v>
      </c>
      <c r="B134" s="215"/>
      <c r="C134" s="215"/>
      <c r="D134" s="215"/>
      <c r="E134" s="215"/>
      <c r="F134" s="216"/>
      <c r="G134" s="215"/>
      <c r="H134" s="215"/>
      <c r="I134" s="215"/>
      <c r="J134" s="215"/>
      <c r="K134" s="216"/>
      <c r="L134" s="215"/>
      <c r="M134" s="215"/>
      <c r="N134" s="215"/>
      <c r="O134" s="215"/>
      <c r="P134" s="216"/>
      <c r="Q134" s="215"/>
      <c r="R134" s="215"/>
      <c r="S134" s="215"/>
      <c r="T134" s="215"/>
      <c r="U134" s="216"/>
      <c r="V134" s="215"/>
      <c r="W134" s="215"/>
      <c r="X134" s="215"/>
      <c r="Y134" s="215"/>
      <c r="Z134" s="216"/>
      <c r="AA134" s="215"/>
      <c r="AB134" s="215"/>
      <c r="AC134" s="215"/>
      <c r="AD134" s="215"/>
      <c r="AE134" s="216"/>
      <c r="AF134" s="215"/>
      <c r="AG134" s="215"/>
      <c r="AH134" s="215"/>
      <c r="AI134" s="215"/>
      <c r="AJ134" s="216"/>
      <c r="AK134" s="215"/>
      <c r="AL134" s="215"/>
      <c r="AM134" s="215"/>
      <c r="AN134" s="215"/>
      <c r="AO134" s="216"/>
      <c r="AP134" s="164"/>
      <c r="AQ134" s="187"/>
      <c r="AR134" s="164"/>
      <c r="AS134" s="164"/>
      <c r="AT134" s="164"/>
      <c r="AU134" s="164"/>
      <c r="AV134" s="187"/>
      <c r="AW134" s="164"/>
      <c r="AX134" s="164"/>
      <c r="AY134" s="164"/>
      <c r="AZ134" s="164"/>
      <c r="BA134" s="187"/>
      <c r="BB134" s="164"/>
      <c r="BC134" s="164"/>
      <c r="BD134" s="164"/>
      <c r="BE134" s="164"/>
      <c r="BF134" s="187"/>
      <c r="BG134" s="164"/>
    </row>
    <row r="135" ht="10.5" customHeight="1">
      <c r="A135" s="164" t="s">
        <v>259</v>
      </c>
      <c r="B135" s="186">
        <v>425.0</v>
      </c>
      <c r="C135" s="186">
        <v>412.0</v>
      </c>
      <c r="D135" s="186">
        <v>399.0</v>
      </c>
      <c r="E135" s="186">
        <v>386.0</v>
      </c>
      <c r="F135" s="185">
        <f>373+51</f>
        <v>424</v>
      </c>
      <c r="G135" s="186">
        <v>373.0</v>
      </c>
      <c r="H135" s="186">
        <f t="shared" ref="H135:J135" si="256">G139</f>
        <v>359.75</v>
      </c>
      <c r="I135" s="186">
        <f t="shared" si="256"/>
        <v>346.993</v>
      </c>
      <c r="J135" s="186">
        <f t="shared" si="256"/>
        <v>334.236</v>
      </c>
      <c r="K135" s="185">
        <v>373.0</v>
      </c>
      <c r="L135" s="186">
        <f t="shared" ref="L135:O135" si="257">K139</f>
        <v>323.767</v>
      </c>
      <c r="M135" s="186">
        <f t="shared" si="257"/>
        <v>314.58875</v>
      </c>
      <c r="N135" s="186">
        <f t="shared" si="257"/>
        <v>304.961</v>
      </c>
      <c r="O135" s="186">
        <f t="shared" si="257"/>
        <v>295.587</v>
      </c>
      <c r="P135" s="185">
        <f>K139</f>
        <v>323.767</v>
      </c>
      <c r="Q135" s="186">
        <f t="shared" ref="Q135:T135" si="258">P139</f>
        <v>286.40875</v>
      </c>
      <c r="R135" s="186">
        <f t="shared" si="258"/>
        <v>278.389</v>
      </c>
      <c r="S135" s="186">
        <f t="shared" si="258"/>
        <v>270.36925</v>
      </c>
      <c r="T135" s="186">
        <f t="shared" si="258"/>
        <v>262.3495</v>
      </c>
      <c r="U135" s="185">
        <f>P139</f>
        <v>286.40875</v>
      </c>
      <c r="V135" s="186">
        <f t="shared" ref="V135:Y135" si="259">U139</f>
        <v>254.32975</v>
      </c>
      <c r="W135" s="186">
        <f t="shared" si="259"/>
        <v>247.34075</v>
      </c>
      <c r="X135" s="186">
        <f t="shared" si="259"/>
        <v>240.35175</v>
      </c>
      <c r="Y135" s="186">
        <f t="shared" si="259"/>
        <v>233.36275</v>
      </c>
      <c r="Z135" s="185">
        <f>U139</f>
        <v>254.32975</v>
      </c>
      <c r="AA135" s="186">
        <f t="shared" ref="AA135:AD135" si="260">Z139</f>
        <v>226.37375</v>
      </c>
      <c r="AB135" s="186">
        <f t="shared" si="260"/>
        <v>219.54875</v>
      </c>
      <c r="AC135" s="186">
        <f t="shared" si="260"/>
        <v>212.72375</v>
      </c>
      <c r="AD135" s="186">
        <f t="shared" si="260"/>
        <v>205.89875</v>
      </c>
      <c r="AE135" s="185">
        <f>Z139</f>
        <v>226.37375</v>
      </c>
      <c r="AF135" s="186">
        <f t="shared" ref="AF135:AI135" si="261">AE139</f>
        <v>199.07375</v>
      </c>
      <c r="AG135" s="186">
        <f t="shared" si="261"/>
        <v>193.155</v>
      </c>
      <c r="AH135" s="186">
        <f t="shared" si="261"/>
        <v>187.23625</v>
      </c>
      <c r="AI135" s="186">
        <f t="shared" si="261"/>
        <v>181.3175</v>
      </c>
      <c r="AJ135" s="185">
        <f>AE139</f>
        <v>199.07375</v>
      </c>
      <c r="AK135" s="186">
        <f t="shared" ref="AK135:AN135" si="262">AJ139</f>
        <v>175.39875</v>
      </c>
      <c r="AL135" s="186">
        <f t="shared" si="262"/>
        <v>168.15</v>
      </c>
      <c r="AM135" s="186">
        <f t="shared" si="262"/>
        <v>160.90125</v>
      </c>
      <c r="AN135" s="186">
        <f t="shared" si="262"/>
        <v>153.6525</v>
      </c>
      <c r="AO135" s="185">
        <f>AJ139</f>
        <v>175.39875</v>
      </c>
      <c r="AP135" s="164"/>
      <c r="AQ135" s="187"/>
      <c r="AR135" s="164"/>
      <c r="AS135" s="164"/>
      <c r="AT135" s="164"/>
      <c r="AU135" s="164"/>
      <c r="AV135" s="187"/>
      <c r="AW135" s="164"/>
      <c r="AX135" s="164"/>
      <c r="AY135" s="164"/>
      <c r="AZ135" s="164"/>
      <c r="BA135" s="187"/>
      <c r="BB135" s="164"/>
      <c r="BC135" s="164"/>
      <c r="BD135" s="164"/>
      <c r="BE135" s="164"/>
      <c r="BF135" s="187"/>
      <c r="BG135" s="164"/>
    </row>
    <row r="136" ht="10.5" customHeight="1">
      <c r="A136" s="164" t="s">
        <v>267</v>
      </c>
      <c r="B136" s="186">
        <f>-'Cash Flow Statement'!B54</f>
        <v>0</v>
      </c>
      <c r="C136" s="186">
        <f>-'Cash Flow Statement'!C54</f>
        <v>0</v>
      </c>
      <c r="D136" s="186">
        <f>-'Cash Flow Statement'!D54</f>
        <v>0</v>
      </c>
      <c r="E136" s="186">
        <f>-'Cash Flow Statement'!E54</f>
        <v>0</v>
      </c>
      <c r="F136" s="185">
        <f>SUM(B136:E136)</f>
        <v>0</v>
      </c>
      <c r="G136" s="186">
        <f>-'Cash Flow Statement'!G54</f>
        <v>0</v>
      </c>
      <c r="H136" s="186">
        <f>-'Cash Flow Statement'!H54</f>
        <v>0</v>
      </c>
      <c r="I136" s="186">
        <f>-'Cash Flow Statement'!I54</f>
        <v>0</v>
      </c>
      <c r="J136" s="184">
        <v>0.0</v>
      </c>
      <c r="K136" s="185">
        <f>SUM(G136:J136)</f>
        <v>0</v>
      </c>
      <c r="L136" s="184">
        <v>0.0</v>
      </c>
      <c r="M136" s="186">
        <f>-'Cash Flow Statement'!M54</f>
        <v>0</v>
      </c>
      <c r="N136" s="186">
        <f>-'Cash Flow Statement'!N54</f>
        <v>0</v>
      </c>
      <c r="O136" s="184">
        <v>0.0</v>
      </c>
      <c r="P136" s="185">
        <f t="shared" ref="P136:P138" si="263">SUM(L136:O136)</f>
        <v>0</v>
      </c>
      <c r="Q136" s="184">
        <v>0.0</v>
      </c>
      <c r="R136" s="184">
        <v>0.0</v>
      </c>
      <c r="S136" s="184">
        <v>0.0</v>
      </c>
      <c r="T136" s="184">
        <v>0.0</v>
      </c>
      <c r="U136" s="185">
        <f t="shared" ref="U136:U138" si="265">SUM(Q136:T136)</f>
        <v>0</v>
      </c>
      <c r="V136" s="184">
        <v>0.0</v>
      </c>
      <c r="W136" s="184">
        <v>0.0</v>
      </c>
      <c r="X136" s="184">
        <v>0.0</v>
      </c>
      <c r="Y136" s="184">
        <v>0.0</v>
      </c>
      <c r="Z136" s="185">
        <f t="shared" ref="Z136:Z138" si="267">SUM(V136:Y136)</f>
        <v>0</v>
      </c>
      <c r="AA136" s="184">
        <v>0.0</v>
      </c>
      <c r="AB136" s="184">
        <v>0.0</v>
      </c>
      <c r="AC136" s="184">
        <v>0.0</v>
      </c>
      <c r="AD136" s="184">
        <v>0.0</v>
      </c>
      <c r="AE136" s="185">
        <f t="shared" ref="AE136:AE138" si="269">SUM(AA136:AD136)</f>
        <v>0</v>
      </c>
      <c r="AF136" s="184">
        <v>0.0</v>
      </c>
      <c r="AG136" s="184">
        <v>0.0</v>
      </c>
      <c r="AH136" s="184">
        <v>0.0</v>
      </c>
      <c r="AI136" s="184">
        <v>0.0</v>
      </c>
      <c r="AJ136" s="185">
        <f t="shared" ref="AJ136:AJ138" si="271">SUM(AF136:AI136)</f>
        <v>0</v>
      </c>
      <c r="AK136" s="184">
        <v>0.0</v>
      </c>
      <c r="AL136" s="184">
        <v>0.0</v>
      </c>
      <c r="AM136" s="184">
        <v>0.0</v>
      </c>
      <c r="AN136" s="184">
        <v>0.0</v>
      </c>
      <c r="AO136" s="185">
        <f t="shared" ref="AO136:AO138" si="273">SUM(AK136:AN136)</f>
        <v>0</v>
      </c>
      <c r="AP136" s="165"/>
      <c r="AQ136" s="187"/>
      <c r="AR136" s="165"/>
      <c r="AS136" s="165"/>
      <c r="AT136" s="165"/>
      <c r="AU136" s="165"/>
      <c r="AV136" s="187"/>
      <c r="AW136" s="165"/>
      <c r="AX136" s="165"/>
      <c r="AY136" s="165"/>
      <c r="AZ136" s="165"/>
      <c r="BA136" s="187"/>
      <c r="BB136" s="165"/>
      <c r="BC136" s="165"/>
      <c r="BD136" s="165"/>
      <c r="BE136" s="165"/>
      <c r="BF136" s="187"/>
      <c r="BG136" s="165"/>
    </row>
    <row r="137" ht="10.5" customHeight="1">
      <c r="A137" s="164" t="s">
        <v>268</v>
      </c>
      <c r="B137" s="184">
        <v>-12.587</v>
      </c>
      <c r="C137" s="184">
        <v>-12.965</v>
      </c>
      <c r="D137" s="184">
        <v>-12.965</v>
      </c>
      <c r="E137" s="186">
        <f>F137-SUM(B137:D137)</f>
        <v>-12.965</v>
      </c>
      <c r="F137" s="196">
        <v>-51.482</v>
      </c>
      <c r="G137" s="184">
        <v>-12.768</v>
      </c>
      <c r="H137" s="184">
        <v>-12.768</v>
      </c>
      <c r="I137" s="184">
        <v>-12.768</v>
      </c>
      <c r="J137" s="184">
        <f>K137-I137-H137-G137</f>
        <v>-10.929</v>
      </c>
      <c r="K137" s="185">
        <v>-49.233</v>
      </c>
      <c r="L137" s="184">
        <f>-36.713/4</f>
        <v>-9.17825</v>
      </c>
      <c r="M137" s="184">
        <v>-9.189</v>
      </c>
      <c r="N137" s="184">
        <v>-9.19</v>
      </c>
      <c r="O137" s="184">
        <f>-36.713/4</f>
        <v>-9.17825</v>
      </c>
      <c r="P137" s="185">
        <f t="shared" si="263"/>
        <v>-36.7355</v>
      </c>
      <c r="Q137" s="184">
        <f t="shared" ref="Q137:T137" si="264">-32.079/4</f>
        <v>-8.01975</v>
      </c>
      <c r="R137" s="184">
        <f t="shared" si="264"/>
        <v>-8.01975</v>
      </c>
      <c r="S137" s="184">
        <f t="shared" si="264"/>
        <v>-8.01975</v>
      </c>
      <c r="T137" s="184">
        <f t="shared" si="264"/>
        <v>-8.01975</v>
      </c>
      <c r="U137" s="185">
        <f t="shared" si="265"/>
        <v>-32.079</v>
      </c>
      <c r="V137" s="184">
        <f t="shared" ref="V137:Y137" si="266">-27.956/4</f>
        <v>-6.989</v>
      </c>
      <c r="W137" s="184">
        <f t="shared" si="266"/>
        <v>-6.989</v>
      </c>
      <c r="X137" s="184">
        <f t="shared" si="266"/>
        <v>-6.989</v>
      </c>
      <c r="Y137" s="184">
        <f t="shared" si="266"/>
        <v>-6.989</v>
      </c>
      <c r="Z137" s="185">
        <f t="shared" si="267"/>
        <v>-27.956</v>
      </c>
      <c r="AA137" s="184">
        <f t="shared" ref="AA137:AD137" si="268">-27.3/4</f>
        <v>-6.825</v>
      </c>
      <c r="AB137" s="184">
        <f t="shared" si="268"/>
        <v>-6.825</v>
      </c>
      <c r="AC137" s="184">
        <f t="shared" si="268"/>
        <v>-6.825</v>
      </c>
      <c r="AD137" s="184">
        <f t="shared" si="268"/>
        <v>-6.825</v>
      </c>
      <c r="AE137" s="185">
        <f t="shared" si="269"/>
        <v>-27.3</v>
      </c>
      <c r="AF137" s="184">
        <f t="shared" ref="AF137:AI137" si="270">-23.675/4</f>
        <v>-5.91875</v>
      </c>
      <c r="AG137" s="184">
        <f t="shared" si="270"/>
        <v>-5.91875</v>
      </c>
      <c r="AH137" s="184">
        <f t="shared" si="270"/>
        <v>-5.91875</v>
      </c>
      <c r="AI137" s="184">
        <f t="shared" si="270"/>
        <v>-5.91875</v>
      </c>
      <c r="AJ137" s="185">
        <f t="shared" si="271"/>
        <v>-23.675</v>
      </c>
      <c r="AK137" s="184">
        <f t="shared" ref="AK137:AN137" si="272">-28.995/4</f>
        <v>-7.24875</v>
      </c>
      <c r="AL137" s="184">
        <f t="shared" si="272"/>
        <v>-7.24875</v>
      </c>
      <c r="AM137" s="184">
        <f t="shared" si="272"/>
        <v>-7.24875</v>
      </c>
      <c r="AN137" s="184">
        <f t="shared" si="272"/>
        <v>-7.24875</v>
      </c>
      <c r="AO137" s="185">
        <f t="shared" si="273"/>
        <v>-28.995</v>
      </c>
      <c r="AP137" s="165"/>
      <c r="AQ137" s="187"/>
      <c r="AR137" s="165"/>
      <c r="AS137" s="165"/>
      <c r="AT137" s="165"/>
      <c r="AU137" s="165"/>
      <c r="AV137" s="187"/>
      <c r="AW137" s="165"/>
      <c r="AX137" s="165"/>
      <c r="AY137" s="165"/>
      <c r="AZ137" s="165"/>
      <c r="BA137" s="187"/>
      <c r="BB137" s="165"/>
      <c r="BC137" s="165"/>
      <c r="BD137" s="165"/>
      <c r="BE137" s="165"/>
      <c r="BF137" s="187"/>
      <c r="BG137" s="165"/>
    </row>
    <row r="138" ht="10.5" customHeight="1">
      <c r="A138" s="164" t="s">
        <v>210</v>
      </c>
      <c r="B138" s="186"/>
      <c r="C138" s="186"/>
      <c r="D138" s="186"/>
      <c r="E138" s="186"/>
      <c r="F138" s="185"/>
      <c r="G138" s="186">
        <f t="shared" ref="G138:I138" si="274">G139-SUM(G135:G137)</f>
        <v>-0.482</v>
      </c>
      <c r="H138" s="186">
        <f t="shared" si="274"/>
        <v>0.011</v>
      </c>
      <c r="I138" s="186">
        <f t="shared" si="274"/>
        <v>0.011</v>
      </c>
      <c r="J138" s="184">
        <v>0.0</v>
      </c>
      <c r="K138" s="185"/>
      <c r="L138" s="184">
        <v>0.0</v>
      </c>
      <c r="M138" s="186">
        <f t="shared" ref="M138:N138" si="275">M139-SUM(M135:M137)</f>
        <v>-0.43875</v>
      </c>
      <c r="N138" s="186">
        <f t="shared" si="275"/>
        <v>-0.184</v>
      </c>
      <c r="O138" s="184">
        <v>0.0</v>
      </c>
      <c r="P138" s="185">
        <f t="shared" si="263"/>
        <v>-0.62275</v>
      </c>
      <c r="Q138" s="184">
        <v>0.0</v>
      </c>
      <c r="R138" s="184">
        <v>0.0</v>
      </c>
      <c r="S138" s="184">
        <v>0.0</v>
      </c>
      <c r="T138" s="184">
        <v>0.0</v>
      </c>
      <c r="U138" s="185">
        <f t="shared" si="265"/>
        <v>0</v>
      </c>
      <c r="V138" s="184">
        <v>0.0</v>
      </c>
      <c r="W138" s="184">
        <v>0.0</v>
      </c>
      <c r="X138" s="184">
        <v>0.0</v>
      </c>
      <c r="Y138" s="184">
        <v>0.0</v>
      </c>
      <c r="Z138" s="185">
        <f t="shared" si="267"/>
        <v>0</v>
      </c>
      <c r="AA138" s="184">
        <v>0.0</v>
      </c>
      <c r="AB138" s="184">
        <v>0.0</v>
      </c>
      <c r="AC138" s="184">
        <v>0.0</v>
      </c>
      <c r="AD138" s="184">
        <v>0.0</v>
      </c>
      <c r="AE138" s="185">
        <f t="shared" si="269"/>
        <v>0</v>
      </c>
      <c r="AF138" s="184">
        <v>0.0</v>
      </c>
      <c r="AG138" s="184">
        <v>0.0</v>
      </c>
      <c r="AH138" s="184">
        <v>0.0</v>
      </c>
      <c r="AI138" s="184">
        <v>0.0</v>
      </c>
      <c r="AJ138" s="185">
        <f t="shared" si="271"/>
        <v>0</v>
      </c>
      <c r="AK138" s="184">
        <v>0.0</v>
      </c>
      <c r="AL138" s="184">
        <v>0.0</v>
      </c>
      <c r="AM138" s="184">
        <v>0.0</v>
      </c>
      <c r="AN138" s="184">
        <v>0.0</v>
      </c>
      <c r="AO138" s="185">
        <f t="shared" si="273"/>
        <v>0</v>
      </c>
      <c r="AP138" s="238"/>
      <c r="AQ138" s="253"/>
      <c r="AR138" s="238"/>
      <c r="AS138" s="238"/>
      <c r="AT138" s="238"/>
      <c r="AU138" s="238"/>
      <c r="AV138" s="253"/>
      <c r="AW138" s="238"/>
      <c r="AX138" s="238"/>
      <c r="AY138" s="238"/>
      <c r="AZ138" s="238"/>
      <c r="BA138" s="253"/>
      <c r="BB138" s="238"/>
      <c r="BC138" s="238"/>
      <c r="BD138" s="238"/>
      <c r="BE138" s="238"/>
      <c r="BF138" s="253"/>
      <c r="BG138" s="238"/>
    </row>
    <row r="139" ht="10.5" customHeight="1">
      <c r="A139" s="259" t="s">
        <v>269</v>
      </c>
      <c r="B139" s="203">
        <f t="shared" ref="B139:D139" si="276">SUM(B135:B138)</f>
        <v>412.413</v>
      </c>
      <c r="C139" s="203">
        <f t="shared" si="276"/>
        <v>399.035</v>
      </c>
      <c r="D139" s="203">
        <f t="shared" si="276"/>
        <v>386.035</v>
      </c>
      <c r="E139" s="203">
        <f>'Balance Sheet'!B25</f>
        <v>372.507</v>
      </c>
      <c r="F139" s="204">
        <f>SUM(F135:F138)</f>
        <v>372.518</v>
      </c>
      <c r="G139" s="203">
        <f>'Balance Sheet'!D25</f>
        <v>359.75</v>
      </c>
      <c r="H139" s="203">
        <f>'Balance Sheet'!E25</f>
        <v>346.993</v>
      </c>
      <c r="I139" s="203">
        <f>'Balance Sheet'!F25</f>
        <v>334.236</v>
      </c>
      <c r="J139" s="203">
        <f>'Balance Sheet'!G25</f>
        <v>323.318</v>
      </c>
      <c r="K139" s="204">
        <f t="shared" ref="K139:L139" si="277">SUM(K135:K138)</f>
        <v>323.767</v>
      </c>
      <c r="L139" s="203">
        <f t="shared" si="277"/>
        <v>314.58875</v>
      </c>
      <c r="M139" s="203">
        <f>'Balance Sheet'!J25</f>
        <v>304.961</v>
      </c>
      <c r="N139" s="203">
        <f>'Balance Sheet'!K25</f>
        <v>295.587</v>
      </c>
      <c r="O139" s="203">
        <f t="shared" ref="O139:AO139" si="278">SUM(O135:O138)</f>
        <v>286.40875</v>
      </c>
      <c r="P139" s="204">
        <f t="shared" si="278"/>
        <v>286.40875</v>
      </c>
      <c r="Q139" s="203">
        <f t="shared" si="278"/>
        <v>278.389</v>
      </c>
      <c r="R139" s="203">
        <f t="shared" si="278"/>
        <v>270.36925</v>
      </c>
      <c r="S139" s="203">
        <f t="shared" si="278"/>
        <v>262.3495</v>
      </c>
      <c r="T139" s="203">
        <f t="shared" si="278"/>
        <v>254.32975</v>
      </c>
      <c r="U139" s="204">
        <f t="shared" si="278"/>
        <v>254.32975</v>
      </c>
      <c r="V139" s="203">
        <f t="shared" si="278"/>
        <v>247.34075</v>
      </c>
      <c r="W139" s="203">
        <f t="shared" si="278"/>
        <v>240.35175</v>
      </c>
      <c r="X139" s="203">
        <f t="shared" si="278"/>
        <v>233.36275</v>
      </c>
      <c r="Y139" s="203">
        <f t="shared" si="278"/>
        <v>226.37375</v>
      </c>
      <c r="Z139" s="204">
        <f t="shared" si="278"/>
        <v>226.37375</v>
      </c>
      <c r="AA139" s="203">
        <f t="shared" si="278"/>
        <v>219.54875</v>
      </c>
      <c r="AB139" s="203">
        <f t="shared" si="278"/>
        <v>212.72375</v>
      </c>
      <c r="AC139" s="203">
        <f t="shared" si="278"/>
        <v>205.89875</v>
      </c>
      <c r="AD139" s="203">
        <f t="shared" si="278"/>
        <v>199.07375</v>
      </c>
      <c r="AE139" s="204">
        <f t="shared" si="278"/>
        <v>199.07375</v>
      </c>
      <c r="AF139" s="203">
        <f t="shared" si="278"/>
        <v>193.155</v>
      </c>
      <c r="AG139" s="203">
        <f t="shared" si="278"/>
        <v>187.23625</v>
      </c>
      <c r="AH139" s="203">
        <f t="shared" si="278"/>
        <v>181.3175</v>
      </c>
      <c r="AI139" s="203">
        <f t="shared" si="278"/>
        <v>175.39875</v>
      </c>
      <c r="AJ139" s="204">
        <f t="shared" si="278"/>
        <v>175.39875</v>
      </c>
      <c r="AK139" s="203">
        <f t="shared" si="278"/>
        <v>168.15</v>
      </c>
      <c r="AL139" s="203">
        <f t="shared" si="278"/>
        <v>160.90125</v>
      </c>
      <c r="AM139" s="203">
        <f t="shared" si="278"/>
        <v>153.6525</v>
      </c>
      <c r="AN139" s="203">
        <f t="shared" si="278"/>
        <v>146.40375</v>
      </c>
      <c r="AO139" s="204">
        <f t="shared" si="278"/>
        <v>146.40375</v>
      </c>
      <c r="AP139" s="165"/>
      <c r="AQ139" s="187"/>
      <c r="AR139" s="165"/>
      <c r="AS139" s="165"/>
      <c r="AT139" s="165"/>
      <c r="AU139" s="165"/>
      <c r="AV139" s="187"/>
      <c r="AW139" s="165"/>
      <c r="AX139" s="165"/>
      <c r="AY139" s="165"/>
      <c r="AZ139" s="165"/>
      <c r="BA139" s="187"/>
      <c r="BB139" s="165"/>
      <c r="BC139" s="165"/>
      <c r="BD139" s="165"/>
      <c r="BE139" s="165"/>
      <c r="BF139" s="187"/>
      <c r="BG139" s="165"/>
    </row>
    <row r="140" ht="10.5" customHeight="1">
      <c r="A140" s="183"/>
      <c r="B140" s="184"/>
      <c r="C140" s="184"/>
      <c r="D140" s="184"/>
      <c r="E140" s="186"/>
      <c r="F140" s="185"/>
      <c r="G140" s="184"/>
      <c r="H140" s="184"/>
      <c r="I140" s="184"/>
      <c r="J140" s="276"/>
      <c r="K140" s="185"/>
      <c r="L140" s="186"/>
      <c r="M140" s="186"/>
      <c r="N140" s="186"/>
      <c r="O140" s="186"/>
      <c r="P140" s="185"/>
      <c r="Q140" s="186"/>
      <c r="R140" s="186"/>
      <c r="S140" s="186"/>
      <c r="T140" s="186"/>
      <c r="U140" s="185"/>
      <c r="V140" s="186"/>
      <c r="W140" s="186"/>
      <c r="X140" s="186"/>
      <c r="Y140" s="186"/>
      <c r="Z140" s="185"/>
      <c r="AA140" s="186"/>
      <c r="AB140" s="186"/>
      <c r="AC140" s="186"/>
      <c r="AD140" s="186"/>
      <c r="AE140" s="185"/>
      <c r="AF140" s="186"/>
      <c r="AG140" s="186"/>
      <c r="AH140" s="186"/>
      <c r="AI140" s="186"/>
      <c r="AJ140" s="185"/>
      <c r="AK140" s="186"/>
      <c r="AL140" s="186"/>
      <c r="AM140" s="186"/>
      <c r="AN140" s="186"/>
      <c r="AO140" s="185"/>
      <c r="AP140" s="165"/>
      <c r="AQ140" s="187"/>
      <c r="AR140" s="165"/>
      <c r="AS140" s="165"/>
      <c r="AT140" s="165"/>
      <c r="AU140" s="165"/>
      <c r="AV140" s="187"/>
      <c r="AW140" s="165"/>
      <c r="AX140" s="165"/>
      <c r="AY140" s="165"/>
      <c r="AZ140" s="165"/>
      <c r="BA140" s="187"/>
      <c r="BB140" s="165"/>
      <c r="BC140" s="165"/>
      <c r="BD140" s="165"/>
      <c r="BE140" s="165"/>
      <c r="BF140" s="187"/>
      <c r="BG140" s="165"/>
    </row>
    <row r="141" ht="10.5" customHeight="1">
      <c r="A141" s="164" t="s">
        <v>35</v>
      </c>
      <c r="B141" s="186">
        <f t="shared" ref="B141:AO141" si="279">-B137</f>
        <v>12.587</v>
      </c>
      <c r="C141" s="186">
        <f t="shared" si="279"/>
        <v>12.965</v>
      </c>
      <c r="D141" s="186">
        <f t="shared" si="279"/>
        <v>12.965</v>
      </c>
      <c r="E141" s="186">
        <f t="shared" si="279"/>
        <v>12.965</v>
      </c>
      <c r="F141" s="185">
        <f t="shared" si="279"/>
        <v>51.482</v>
      </c>
      <c r="G141" s="186">
        <f t="shared" si="279"/>
        <v>12.768</v>
      </c>
      <c r="H141" s="186">
        <f t="shared" si="279"/>
        <v>12.768</v>
      </c>
      <c r="I141" s="186">
        <f t="shared" si="279"/>
        <v>12.768</v>
      </c>
      <c r="J141" s="186">
        <f t="shared" si="279"/>
        <v>10.929</v>
      </c>
      <c r="K141" s="185">
        <f t="shared" si="279"/>
        <v>49.233</v>
      </c>
      <c r="L141" s="186">
        <f t="shared" si="279"/>
        <v>9.17825</v>
      </c>
      <c r="M141" s="186">
        <f t="shared" si="279"/>
        <v>9.189</v>
      </c>
      <c r="N141" s="186">
        <f t="shared" si="279"/>
        <v>9.19</v>
      </c>
      <c r="O141" s="186">
        <f t="shared" si="279"/>
        <v>9.17825</v>
      </c>
      <c r="P141" s="185">
        <f t="shared" si="279"/>
        <v>36.7355</v>
      </c>
      <c r="Q141" s="186">
        <f t="shared" si="279"/>
        <v>8.01975</v>
      </c>
      <c r="R141" s="186">
        <f t="shared" si="279"/>
        <v>8.01975</v>
      </c>
      <c r="S141" s="186">
        <f t="shared" si="279"/>
        <v>8.01975</v>
      </c>
      <c r="T141" s="186">
        <f t="shared" si="279"/>
        <v>8.01975</v>
      </c>
      <c r="U141" s="185">
        <f t="shared" si="279"/>
        <v>32.079</v>
      </c>
      <c r="V141" s="186">
        <f t="shared" si="279"/>
        <v>6.989</v>
      </c>
      <c r="W141" s="186">
        <f t="shared" si="279"/>
        <v>6.989</v>
      </c>
      <c r="X141" s="186">
        <f t="shared" si="279"/>
        <v>6.989</v>
      </c>
      <c r="Y141" s="186">
        <f t="shared" si="279"/>
        <v>6.989</v>
      </c>
      <c r="Z141" s="185">
        <f t="shared" si="279"/>
        <v>27.956</v>
      </c>
      <c r="AA141" s="186">
        <f t="shared" si="279"/>
        <v>6.825</v>
      </c>
      <c r="AB141" s="186">
        <f t="shared" si="279"/>
        <v>6.825</v>
      </c>
      <c r="AC141" s="186">
        <f t="shared" si="279"/>
        <v>6.825</v>
      </c>
      <c r="AD141" s="186">
        <f t="shared" si="279"/>
        <v>6.825</v>
      </c>
      <c r="AE141" s="185">
        <f t="shared" si="279"/>
        <v>27.3</v>
      </c>
      <c r="AF141" s="186">
        <f t="shared" si="279"/>
        <v>5.91875</v>
      </c>
      <c r="AG141" s="186">
        <f t="shared" si="279"/>
        <v>5.91875</v>
      </c>
      <c r="AH141" s="186">
        <f t="shared" si="279"/>
        <v>5.91875</v>
      </c>
      <c r="AI141" s="186">
        <f t="shared" si="279"/>
        <v>5.91875</v>
      </c>
      <c r="AJ141" s="185">
        <f t="shared" si="279"/>
        <v>23.675</v>
      </c>
      <c r="AK141" s="186">
        <f t="shared" si="279"/>
        <v>7.24875</v>
      </c>
      <c r="AL141" s="186">
        <f t="shared" si="279"/>
        <v>7.24875</v>
      </c>
      <c r="AM141" s="186">
        <f t="shared" si="279"/>
        <v>7.24875</v>
      </c>
      <c r="AN141" s="186">
        <f t="shared" si="279"/>
        <v>7.24875</v>
      </c>
      <c r="AO141" s="185">
        <f t="shared" si="279"/>
        <v>28.995</v>
      </c>
      <c r="AP141" s="238"/>
      <c r="AQ141" s="253"/>
      <c r="AR141" s="238"/>
      <c r="AS141" s="238"/>
      <c r="AT141" s="238"/>
      <c r="AU141" s="238"/>
      <c r="AV141" s="253"/>
      <c r="AW141" s="238"/>
      <c r="AX141" s="238"/>
      <c r="AY141" s="238"/>
      <c r="AZ141" s="238"/>
      <c r="BA141" s="253"/>
      <c r="BB141" s="238"/>
      <c r="BC141" s="238"/>
      <c r="BD141" s="238"/>
      <c r="BE141" s="238"/>
      <c r="BF141" s="253"/>
      <c r="BG141" s="238"/>
    </row>
    <row r="142" ht="10.5" customHeight="1">
      <c r="A142" s="183" t="s">
        <v>270</v>
      </c>
      <c r="B142" s="222">
        <f t="shared" ref="B142:AO142" si="280">B141/(B135+(B136*0.5))</f>
        <v>0.02961647059</v>
      </c>
      <c r="C142" s="222">
        <f t="shared" si="280"/>
        <v>0.0314684466</v>
      </c>
      <c r="D142" s="222">
        <f t="shared" si="280"/>
        <v>0.03249373434</v>
      </c>
      <c r="E142" s="222">
        <f t="shared" si="280"/>
        <v>0.0335880829</v>
      </c>
      <c r="F142" s="261">
        <f t="shared" si="280"/>
        <v>0.1214198113</v>
      </c>
      <c r="G142" s="222">
        <f t="shared" si="280"/>
        <v>0.034230563</v>
      </c>
      <c r="H142" s="222">
        <f t="shared" si="280"/>
        <v>0.03549131341</v>
      </c>
      <c r="I142" s="222">
        <f t="shared" si="280"/>
        <v>0.03679613133</v>
      </c>
      <c r="J142" s="222">
        <f t="shared" si="280"/>
        <v>0.03269845259</v>
      </c>
      <c r="K142" s="261">
        <f t="shared" si="280"/>
        <v>0.1319919571</v>
      </c>
      <c r="L142" s="222">
        <f t="shared" si="280"/>
        <v>0.02834831839</v>
      </c>
      <c r="M142" s="222">
        <f t="shared" si="280"/>
        <v>0.02920956328</v>
      </c>
      <c r="N142" s="222">
        <f t="shared" si="280"/>
        <v>0.03013500087</v>
      </c>
      <c r="O142" s="222">
        <f t="shared" si="280"/>
        <v>0.03105092578</v>
      </c>
      <c r="P142" s="261">
        <f t="shared" si="280"/>
        <v>0.113462768</v>
      </c>
      <c r="Q142" s="222">
        <f t="shared" si="280"/>
        <v>0.02800106491</v>
      </c>
      <c r="R142" s="222">
        <f t="shared" si="280"/>
        <v>0.02880771151</v>
      </c>
      <c r="S142" s="222">
        <f t="shared" si="280"/>
        <v>0.02966221196</v>
      </c>
      <c r="T142" s="222">
        <f t="shared" si="280"/>
        <v>0.03056895477</v>
      </c>
      <c r="U142" s="261">
        <f t="shared" si="280"/>
        <v>0.1120042596</v>
      </c>
      <c r="V142" s="222">
        <f t="shared" si="280"/>
        <v>0.02748007262</v>
      </c>
      <c r="W142" s="222">
        <f t="shared" si="280"/>
        <v>0.02825656508</v>
      </c>
      <c r="X142" s="222">
        <f t="shared" si="280"/>
        <v>0.02907821557</v>
      </c>
      <c r="Y142" s="222">
        <f t="shared" si="280"/>
        <v>0.02994908142</v>
      </c>
      <c r="Z142" s="261">
        <f t="shared" si="280"/>
        <v>0.1099202905</v>
      </c>
      <c r="AA142" s="222">
        <f t="shared" si="280"/>
        <v>0.03014925538</v>
      </c>
      <c r="AB142" s="222">
        <f t="shared" si="280"/>
        <v>0.0310864899</v>
      </c>
      <c r="AC142" s="222">
        <f t="shared" si="280"/>
        <v>0.03208386464</v>
      </c>
      <c r="AD142" s="222">
        <f t="shared" si="280"/>
        <v>0.03314736005</v>
      </c>
      <c r="AE142" s="261">
        <f t="shared" si="280"/>
        <v>0.1205970215</v>
      </c>
      <c r="AF142" s="222">
        <f t="shared" si="280"/>
        <v>0.02973144375</v>
      </c>
      <c r="AG142" s="222">
        <f t="shared" si="280"/>
        <v>0.03064248919</v>
      </c>
      <c r="AH142" s="222">
        <f t="shared" si="280"/>
        <v>0.03161113299</v>
      </c>
      <c r="AI142" s="222">
        <f t="shared" si="280"/>
        <v>0.0326430157</v>
      </c>
      <c r="AJ142" s="261">
        <f t="shared" si="280"/>
        <v>0.118925775</v>
      </c>
      <c r="AK142" s="222">
        <f t="shared" si="280"/>
        <v>0.04132726145</v>
      </c>
      <c r="AL142" s="222">
        <f t="shared" si="280"/>
        <v>0.0431088314</v>
      </c>
      <c r="AM142" s="222">
        <f t="shared" si="280"/>
        <v>0.04505092409</v>
      </c>
      <c r="AN142" s="222">
        <f t="shared" si="280"/>
        <v>0.04717625811</v>
      </c>
      <c r="AO142" s="261">
        <f t="shared" si="280"/>
        <v>0.1653090458</v>
      </c>
      <c r="AP142" s="165"/>
      <c r="AQ142" s="187"/>
      <c r="AR142" s="165"/>
      <c r="AS142" s="165"/>
      <c r="AT142" s="165"/>
      <c r="AU142" s="165"/>
      <c r="AV142" s="187"/>
      <c r="AW142" s="165"/>
      <c r="AX142" s="165"/>
      <c r="AY142" s="165"/>
      <c r="AZ142" s="165"/>
      <c r="BA142" s="187"/>
      <c r="BB142" s="165"/>
      <c r="BC142" s="165"/>
      <c r="BD142" s="165"/>
      <c r="BE142" s="165"/>
      <c r="BF142" s="187"/>
      <c r="BG142" s="165"/>
    </row>
    <row r="143" ht="10.5" customHeight="1">
      <c r="A143" s="181"/>
      <c r="B143" s="238"/>
      <c r="C143" s="238"/>
      <c r="D143" s="238"/>
      <c r="E143" s="238"/>
      <c r="F143" s="256"/>
      <c r="G143" s="238"/>
      <c r="H143" s="238"/>
      <c r="I143" s="238"/>
      <c r="J143" s="238"/>
      <c r="K143" s="256"/>
      <c r="L143" s="238"/>
      <c r="M143" s="238"/>
      <c r="N143" s="238"/>
      <c r="O143" s="238"/>
      <c r="P143" s="256"/>
      <c r="Q143" s="238"/>
      <c r="R143" s="238"/>
      <c r="S143" s="238"/>
      <c r="T143" s="238"/>
      <c r="U143" s="256"/>
      <c r="V143" s="238"/>
      <c r="W143" s="238"/>
      <c r="X143" s="238"/>
      <c r="Y143" s="238"/>
      <c r="Z143" s="256"/>
      <c r="AA143" s="238"/>
      <c r="AB143" s="238"/>
      <c r="AC143" s="238"/>
      <c r="AD143" s="238"/>
      <c r="AE143" s="256"/>
      <c r="AF143" s="238"/>
      <c r="AG143" s="238"/>
      <c r="AH143" s="238"/>
      <c r="AI143" s="238"/>
      <c r="AJ143" s="256"/>
      <c r="AK143" s="238"/>
      <c r="AL143" s="238"/>
      <c r="AM143" s="238"/>
      <c r="AN143" s="238"/>
      <c r="AO143" s="256"/>
      <c r="AP143" s="238"/>
      <c r="AQ143" s="253"/>
      <c r="AR143" s="238"/>
      <c r="AS143" s="238"/>
      <c r="AT143" s="238"/>
      <c r="AU143" s="238"/>
      <c r="AV143" s="253"/>
      <c r="AW143" s="238"/>
      <c r="AX143" s="238"/>
      <c r="AY143" s="238"/>
      <c r="AZ143" s="238"/>
      <c r="BA143" s="253"/>
      <c r="BB143" s="238"/>
      <c r="BC143" s="238"/>
      <c r="BD143" s="238"/>
      <c r="BE143" s="238"/>
      <c r="BF143" s="253"/>
      <c r="BG143" s="238"/>
    </row>
    <row r="144" ht="10.5" customHeight="1">
      <c r="A144" s="198" t="s">
        <v>96</v>
      </c>
      <c r="B144" s="277"/>
      <c r="C144" s="277"/>
      <c r="D144" s="277"/>
      <c r="E144" s="277"/>
      <c r="F144" s="278"/>
      <c r="G144" s="277"/>
      <c r="H144" s="277"/>
      <c r="I144" s="277"/>
      <c r="J144" s="215"/>
      <c r="K144" s="216"/>
      <c r="L144" s="277"/>
      <c r="M144" s="277"/>
      <c r="N144" s="215"/>
      <c r="O144" s="215"/>
      <c r="P144" s="216"/>
      <c r="Q144" s="215"/>
      <c r="R144" s="215"/>
      <c r="S144" s="215"/>
      <c r="T144" s="215"/>
      <c r="U144" s="216"/>
      <c r="V144" s="215"/>
      <c r="W144" s="215"/>
      <c r="X144" s="215"/>
      <c r="Y144" s="215"/>
      <c r="Z144" s="216"/>
      <c r="AA144" s="215"/>
      <c r="AB144" s="215"/>
      <c r="AC144" s="215"/>
      <c r="AD144" s="215"/>
      <c r="AE144" s="216"/>
      <c r="AF144" s="215"/>
      <c r="AG144" s="215"/>
      <c r="AH144" s="215"/>
      <c r="AI144" s="215"/>
      <c r="AJ144" s="216"/>
      <c r="AK144" s="215"/>
      <c r="AL144" s="215"/>
      <c r="AM144" s="215"/>
      <c r="AN144" s="215"/>
      <c r="AO144" s="216"/>
      <c r="AP144" s="165"/>
      <c r="AQ144" s="187"/>
      <c r="AR144" s="165"/>
      <c r="AS144" s="165"/>
      <c r="AT144" s="165"/>
      <c r="AU144" s="165"/>
      <c r="AV144" s="187"/>
      <c r="AW144" s="165"/>
      <c r="AX144" s="165"/>
      <c r="AY144" s="165"/>
      <c r="AZ144" s="165"/>
      <c r="BA144" s="187"/>
      <c r="BB144" s="165"/>
      <c r="BC144" s="165"/>
      <c r="BD144" s="165"/>
      <c r="BE144" s="165"/>
      <c r="BF144" s="187"/>
      <c r="BG144" s="165"/>
    </row>
    <row r="145" ht="10.5" customHeight="1">
      <c r="A145" s="164" t="s">
        <v>271</v>
      </c>
      <c r="B145" s="186"/>
      <c r="C145" s="186"/>
      <c r="D145" s="186"/>
      <c r="E145" s="186" t="str">
        <f>D149</f>
        <v/>
      </c>
      <c r="F145" s="185">
        <v>0.0</v>
      </c>
      <c r="G145" s="186">
        <v>1985.0</v>
      </c>
      <c r="H145" s="186">
        <f t="shared" ref="H145:J145" si="281">G149</f>
        <v>1979.782</v>
      </c>
      <c r="I145" s="186">
        <f t="shared" si="281"/>
        <v>2177.051</v>
      </c>
      <c r="J145" s="186">
        <f t="shared" si="281"/>
        <v>2174.776</v>
      </c>
      <c r="K145" s="185">
        <v>1985.0</v>
      </c>
      <c r="L145" s="186">
        <f t="shared" ref="L145:O145" si="282">K149</f>
        <v>2170.559</v>
      </c>
      <c r="M145" s="186">
        <f t="shared" si="282"/>
        <v>2166.218</v>
      </c>
      <c r="N145" s="186">
        <f t="shared" si="282"/>
        <v>2161.918</v>
      </c>
      <c r="O145" s="186">
        <f t="shared" si="282"/>
        <v>2157.629</v>
      </c>
      <c r="P145" s="185">
        <f>K149</f>
        <v>2170.559</v>
      </c>
      <c r="Q145" s="186">
        <f t="shared" ref="Q145:T145" si="283">P149</f>
        <v>2152.004</v>
      </c>
      <c r="R145" s="186">
        <f t="shared" si="283"/>
        <v>2152.004</v>
      </c>
      <c r="S145" s="186">
        <f t="shared" si="283"/>
        <v>2152.004</v>
      </c>
      <c r="T145" s="186">
        <f t="shared" si="283"/>
        <v>2152.004</v>
      </c>
      <c r="U145" s="185">
        <f>P149</f>
        <v>2152.004</v>
      </c>
      <c r="V145" s="186">
        <f t="shared" ref="V145:Y145" si="284">U149</f>
        <v>2152.004</v>
      </c>
      <c r="W145" s="186">
        <f t="shared" si="284"/>
        <v>2147.4415</v>
      </c>
      <c r="X145" s="186">
        <f t="shared" si="284"/>
        <v>2142.879</v>
      </c>
      <c r="Y145" s="186">
        <f t="shared" si="284"/>
        <v>2138.3165</v>
      </c>
      <c r="Z145" s="185">
        <f>U149</f>
        <v>2152.004</v>
      </c>
      <c r="AA145" s="186">
        <f t="shared" ref="AA145:AD145" si="285">Z149</f>
        <v>2133.754</v>
      </c>
      <c r="AB145" s="186">
        <f t="shared" si="285"/>
        <v>2129.1915</v>
      </c>
      <c r="AC145" s="186">
        <f t="shared" si="285"/>
        <v>2124.629</v>
      </c>
      <c r="AD145" s="186">
        <f t="shared" si="285"/>
        <v>2120.0665</v>
      </c>
      <c r="AE145" s="185">
        <f>Z149</f>
        <v>2133.754</v>
      </c>
      <c r="AF145" s="186">
        <f t="shared" ref="AF145:AI145" si="286">AE149</f>
        <v>2115.504</v>
      </c>
      <c r="AG145" s="186">
        <f t="shared" si="286"/>
        <v>2115.504</v>
      </c>
      <c r="AH145" s="186">
        <f t="shared" si="286"/>
        <v>2115.504</v>
      </c>
      <c r="AI145" s="186">
        <f t="shared" si="286"/>
        <v>2115.504</v>
      </c>
      <c r="AJ145" s="185">
        <f>AE149</f>
        <v>2115.504</v>
      </c>
      <c r="AK145" s="186">
        <f t="shared" ref="AK145:AN145" si="287">AJ149</f>
        <v>2115.504</v>
      </c>
      <c r="AL145" s="186">
        <f t="shared" si="287"/>
        <v>2115.504</v>
      </c>
      <c r="AM145" s="186">
        <f t="shared" si="287"/>
        <v>2115.504</v>
      </c>
      <c r="AN145" s="186">
        <f t="shared" si="287"/>
        <v>2115.504</v>
      </c>
      <c r="AO145" s="185">
        <f>AJ149</f>
        <v>2115.504</v>
      </c>
      <c r="AP145" s="164"/>
      <c r="AQ145" s="187"/>
      <c r="AR145" s="164"/>
      <c r="AS145" s="164"/>
      <c r="AT145" s="164"/>
      <c r="AU145" s="164"/>
      <c r="AV145" s="187"/>
      <c r="AW145" s="164"/>
      <c r="AX145" s="164"/>
      <c r="AY145" s="164"/>
      <c r="AZ145" s="164"/>
      <c r="BA145" s="187"/>
      <c r="BB145" s="164"/>
      <c r="BC145" s="164"/>
      <c r="BD145" s="164"/>
      <c r="BE145" s="164"/>
      <c r="BF145" s="187"/>
      <c r="BG145" s="164"/>
    </row>
    <row r="146" ht="10.5" customHeight="1">
      <c r="A146" s="164" t="s">
        <v>272</v>
      </c>
      <c r="B146" s="186"/>
      <c r="C146" s="186"/>
      <c r="D146" s="186"/>
      <c r="E146" s="186">
        <f>'Cash Flow Statement'!E60+IF('Cash Flow Statement'!E61&gt;0,'Cash Flow Statement'!E61,0)</f>
        <v>0</v>
      </c>
      <c r="F146" s="185">
        <f t="shared" ref="F146:F148" si="288">SUM(B146:E146)</f>
        <v>0</v>
      </c>
      <c r="G146" s="186">
        <f>'Cash Flow Statement'!G60+IF('Cash Flow Statement'!G61&gt;0,'Cash Flow Statement'!G61,0)</f>
        <v>0</v>
      </c>
      <c r="H146" s="186">
        <f>'Cash Flow Statement'!H60+IF('Cash Flow Statement'!H61&gt;0,'Cash Flow Statement'!H61,0)</f>
        <v>800</v>
      </c>
      <c r="I146" s="186">
        <f>'Cash Flow Statement'!I60+IF('Cash Flow Statement'!I61&gt;0,'Cash Flow Statement'!I61,0)</f>
        <v>0</v>
      </c>
      <c r="J146" s="184">
        <v>0.0</v>
      </c>
      <c r="K146" s="185">
        <f t="shared" ref="K146:K148" si="289">SUM(G146:J146)</f>
        <v>800</v>
      </c>
      <c r="L146" s="186">
        <f>'Cash Flow Statement'!L60+IF('Cash Flow Statement'!L61&gt;0,'Cash Flow Statement'!L61,0)</f>
        <v>0</v>
      </c>
      <c r="M146" s="186">
        <f>'Cash Flow Statement'!M60+IF('Cash Flow Statement'!M61&gt;0,'Cash Flow Statement'!M61,0)</f>
        <v>0</v>
      </c>
      <c r="N146" s="186">
        <f>'Cash Flow Statement'!N60+IF('Cash Flow Statement'!N61&gt;0,'Cash Flow Statement'!N61,0)</f>
        <v>0</v>
      </c>
      <c r="O146" s="184">
        <v>0.0</v>
      </c>
      <c r="P146" s="185">
        <f t="shared" ref="P146:P148" si="290">SUM(L146:O146)</f>
        <v>0</v>
      </c>
      <c r="Q146" s="184">
        <v>427.312</v>
      </c>
      <c r="R146" s="184"/>
      <c r="S146" s="184"/>
      <c r="T146" s="184"/>
      <c r="U146" s="185">
        <f t="shared" ref="U146:U148" si="291">SUM(Q146:T146)</f>
        <v>427.312</v>
      </c>
      <c r="V146" s="184">
        <v>0.0</v>
      </c>
      <c r="W146" s="184">
        <v>0.0</v>
      </c>
      <c r="X146" s="184">
        <v>0.0</v>
      </c>
      <c r="Y146" s="184">
        <v>0.0</v>
      </c>
      <c r="Z146" s="185">
        <f t="shared" ref="Z146:Z148" si="293">SUM(V146:Y146)</f>
        <v>0</v>
      </c>
      <c r="AA146" s="184">
        <v>0.0</v>
      </c>
      <c r="AB146" s="184">
        <v>0.0</v>
      </c>
      <c r="AC146" s="184">
        <v>0.0</v>
      </c>
      <c r="AD146" s="184">
        <v>0.0</v>
      </c>
      <c r="AE146" s="185">
        <f t="shared" ref="AE146:AE148" si="295">SUM(AA146:AD146)</f>
        <v>0</v>
      </c>
      <c r="AF146" s="184">
        <f>915.938</f>
        <v>915.938</v>
      </c>
      <c r="AG146" s="184">
        <v>0.0</v>
      </c>
      <c r="AH146" s="184"/>
      <c r="AI146" s="184">
        <v>0.0</v>
      </c>
      <c r="AJ146" s="185">
        <f t="shared" ref="AJ146:AJ148" si="296">SUM(AF146:AI146)</f>
        <v>915.938</v>
      </c>
      <c r="AK146" s="184">
        <f>793.5</f>
        <v>793.5</v>
      </c>
      <c r="AL146" s="184">
        <v>0.0</v>
      </c>
      <c r="AM146" s="184">
        <v>0.0</v>
      </c>
      <c r="AN146" s="184">
        <v>0.0</v>
      </c>
      <c r="AO146" s="185">
        <f t="shared" ref="AO146:AO148" si="297">SUM(AK146:AN146)</f>
        <v>793.5</v>
      </c>
      <c r="AP146" s="164"/>
      <c r="AQ146" s="187"/>
      <c r="AR146" s="164"/>
      <c r="AS146" s="164"/>
      <c r="AT146" s="164"/>
      <c r="AU146" s="164"/>
      <c r="AV146" s="187"/>
      <c r="AW146" s="164"/>
      <c r="AX146" s="164"/>
      <c r="AY146" s="164"/>
      <c r="AZ146" s="164"/>
      <c r="BA146" s="187"/>
      <c r="BB146" s="164"/>
      <c r="BC146" s="164"/>
      <c r="BD146" s="164"/>
      <c r="BE146" s="164"/>
      <c r="BF146" s="187"/>
      <c r="BG146" s="164"/>
    </row>
    <row r="147" ht="10.5" customHeight="1">
      <c r="A147" s="164" t="s">
        <v>273</v>
      </c>
      <c r="B147" s="186"/>
      <c r="C147" s="186"/>
      <c r="D147" s="186"/>
      <c r="E147" s="186">
        <f>'Cash Flow Statement'!E62+IF('Cash Flow Statement'!E61&lt;0,'Cash Flow Statement'!E61,0)</f>
        <v>-5.186</v>
      </c>
      <c r="F147" s="185">
        <f t="shared" si="288"/>
        <v>-5.186</v>
      </c>
      <c r="G147" s="186">
        <f>'Cash Flow Statement'!G62+IF('Cash Flow Statement'!G61&lt;0,'Cash Flow Statement'!G61,0)</f>
        <v>-5.188</v>
      </c>
      <c r="H147" s="186">
        <f>'Cash Flow Statement'!H62+IF('Cash Flow Statement'!H61&lt;0,'Cash Flow Statement'!H61,0)</f>
        <v>-594.249</v>
      </c>
      <c r="I147" s="186">
        <f>'Cash Flow Statement'!I62+IF('Cash Flow Statement'!I61&lt;0,'Cash Flow Statement'!I61,0)</f>
        <v>-3.626</v>
      </c>
      <c r="J147" s="186">
        <f>'Cash Flow Statement'!J62+IF('Cash Flow Statement'!J61&lt;0,'Cash Flow Statement'!J61,0)</f>
        <v>-5.625</v>
      </c>
      <c r="K147" s="185">
        <f t="shared" si="289"/>
        <v>-608.688</v>
      </c>
      <c r="L147" s="186">
        <f>'Cash Flow Statement'!L62+IF('Cash Flow Statement'!L61&lt;0,'Cash Flow Statement'!L61,0)</f>
        <v>-5.625</v>
      </c>
      <c r="M147" s="186">
        <f>'Cash Flow Statement'!M62+IF('Cash Flow Statement'!M61&lt;0,'Cash Flow Statement'!M61,0)</f>
        <v>-5.625</v>
      </c>
      <c r="N147" s="186">
        <f>'Cash Flow Statement'!N62+IF('Cash Flow Statement'!N61&lt;0,'Cash Flow Statement'!N61,0)</f>
        <v>-5.625</v>
      </c>
      <c r="O147" s="184">
        <f>-22.5/4</f>
        <v>-5.625</v>
      </c>
      <c r="P147" s="185">
        <f t="shared" si="290"/>
        <v>-22.5</v>
      </c>
      <c r="Q147" s="184">
        <f>-427.312</f>
        <v>-427.312</v>
      </c>
      <c r="R147" s="184"/>
      <c r="S147" s="184"/>
      <c r="T147" s="184"/>
      <c r="U147" s="185">
        <f t="shared" si="291"/>
        <v>-427.312</v>
      </c>
      <c r="V147" s="184">
        <f t="shared" ref="V147:Y147" si="292">-18.25/4</f>
        <v>-4.5625</v>
      </c>
      <c r="W147" s="184">
        <f t="shared" si="292"/>
        <v>-4.5625</v>
      </c>
      <c r="X147" s="184">
        <f t="shared" si="292"/>
        <v>-4.5625</v>
      </c>
      <c r="Y147" s="184">
        <f t="shared" si="292"/>
        <v>-4.5625</v>
      </c>
      <c r="Z147" s="185">
        <f t="shared" si="293"/>
        <v>-18.25</v>
      </c>
      <c r="AA147" s="184">
        <f t="shared" ref="AA147:AD147" si="294">-18.25/4</f>
        <v>-4.5625</v>
      </c>
      <c r="AB147" s="184">
        <f t="shared" si="294"/>
        <v>-4.5625</v>
      </c>
      <c r="AC147" s="184">
        <f t="shared" si="294"/>
        <v>-4.5625</v>
      </c>
      <c r="AD147" s="184">
        <f t="shared" si="294"/>
        <v>-4.5625</v>
      </c>
      <c r="AE147" s="185">
        <f t="shared" si="295"/>
        <v>-18.25</v>
      </c>
      <c r="AF147" s="184">
        <f>-915.938</f>
        <v>-915.938</v>
      </c>
      <c r="AG147" s="184">
        <v>0.0</v>
      </c>
      <c r="AH147" s="184">
        <v>0.0</v>
      </c>
      <c r="AI147" s="184">
        <v>0.0</v>
      </c>
      <c r="AJ147" s="185">
        <f t="shared" si="296"/>
        <v>-915.938</v>
      </c>
      <c r="AK147" s="184">
        <f>-793.5</f>
        <v>-793.5</v>
      </c>
      <c r="AL147" s="184">
        <v>0.0</v>
      </c>
      <c r="AM147" s="184">
        <v>0.0</v>
      </c>
      <c r="AN147" s="184">
        <v>0.0</v>
      </c>
      <c r="AO147" s="185">
        <f t="shared" si="297"/>
        <v>-793.5</v>
      </c>
      <c r="AP147" s="164"/>
      <c r="AQ147" s="187"/>
      <c r="AR147" s="164"/>
      <c r="AS147" s="164"/>
      <c r="AT147" s="164"/>
      <c r="AU147" s="164"/>
      <c r="AV147" s="187"/>
      <c r="AW147" s="164"/>
      <c r="AX147" s="164"/>
      <c r="AY147" s="164"/>
      <c r="AZ147" s="164"/>
      <c r="BA147" s="187"/>
      <c r="BB147" s="164"/>
      <c r="BC147" s="164"/>
      <c r="BD147" s="164"/>
      <c r="BE147" s="164"/>
      <c r="BF147" s="187"/>
      <c r="BG147" s="164"/>
    </row>
    <row r="148" ht="10.5" customHeight="1">
      <c r="A148" s="164" t="s">
        <v>210</v>
      </c>
      <c r="B148" s="186"/>
      <c r="C148" s="186"/>
      <c r="D148" s="186"/>
      <c r="E148" s="186">
        <f>E149-SUM(E145:E147)</f>
        <v>1988.81</v>
      </c>
      <c r="F148" s="185">
        <f t="shared" si="288"/>
        <v>1988.81</v>
      </c>
      <c r="G148" s="186"/>
      <c r="H148" s="186">
        <f t="shared" ref="H148:J148" si="298">H149-SUM(H145:H147)</f>
        <v>-8.482</v>
      </c>
      <c r="I148" s="186">
        <f t="shared" si="298"/>
        <v>1.351</v>
      </c>
      <c r="J148" s="186">
        <f t="shared" si="298"/>
        <v>1.378</v>
      </c>
      <c r="K148" s="185">
        <f t="shared" si="289"/>
        <v>-5.753</v>
      </c>
      <c r="L148" s="186">
        <f t="shared" ref="L148:N148" si="299">L149-SUM(L145:L147)</f>
        <v>1.284</v>
      </c>
      <c r="M148" s="186">
        <f t="shared" si="299"/>
        <v>1.325</v>
      </c>
      <c r="N148" s="186">
        <f t="shared" si="299"/>
        <v>1.336</v>
      </c>
      <c r="O148" s="184">
        <v>0.0</v>
      </c>
      <c r="P148" s="185">
        <f t="shared" si="290"/>
        <v>3.945</v>
      </c>
      <c r="Q148" s="184">
        <v>0.0</v>
      </c>
      <c r="R148" s="184">
        <v>0.0</v>
      </c>
      <c r="S148" s="184">
        <v>0.0</v>
      </c>
      <c r="T148" s="184">
        <v>0.0</v>
      </c>
      <c r="U148" s="185">
        <f t="shared" si="291"/>
        <v>0</v>
      </c>
      <c r="V148" s="184">
        <v>0.0</v>
      </c>
      <c r="W148" s="184">
        <v>0.0</v>
      </c>
      <c r="X148" s="184">
        <v>0.0</v>
      </c>
      <c r="Y148" s="184">
        <v>0.0</v>
      </c>
      <c r="Z148" s="185">
        <f t="shared" si="293"/>
        <v>0</v>
      </c>
      <c r="AA148" s="184">
        <v>0.0</v>
      </c>
      <c r="AB148" s="184">
        <v>0.0</v>
      </c>
      <c r="AC148" s="184">
        <v>0.0</v>
      </c>
      <c r="AD148" s="184">
        <v>0.0</v>
      </c>
      <c r="AE148" s="185">
        <f t="shared" si="295"/>
        <v>0</v>
      </c>
      <c r="AF148" s="184">
        <v>0.0</v>
      </c>
      <c r="AG148" s="184">
        <v>0.0</v>
      </c>
      <c r="AH148" s="184">
        <v>0.0</v>
      </c>
      <c r="AI148" s="184">
        <v>0.0</v>
      </c>
      <c r="AJ148" s="185">
        <f t="shared" si="296"/>
        <v>0</v>
      </c>
      <c r="AK148" s="184">
        <v>0.0</v>
      </c>
      <c r="AL148" s="184">
        <v>0.0</v>
      </c>
      <c r="AM148" s="184">
        <v>0.0</v>
      </c>
      <c r="AN148" s="184">
        <v>0.0</v>
      </c>
      <c r="AO148" s="185">
        <f t="shared" si="297"/>
        <v>0</v>
      </c>
      <c r="AP148" s="164"/>
      <c r="AQ148" s="187"/>
      <c r="AR148" s="164"/>
      <c r="AS148" s="164"/>
      <c r="AT148" s="164"/>
      <c r="AU148" s="164"/>
      <c r="AV148" s="187"/>
      <c r="AW148" s="164"/>
      <c r="AX148" s="164"/>
      <c r="AY148" s="164"/>
      <c r="AZ148" s="164"/>
      <c r="BA148" s="187"/>
      <c r="BB148" s="164"/>
      <c r="BC148" s="164"/>
      <c r="BD148" s="164"/>
      <c r="BE148" s="164"/>
      <c r="BF148" s="187"/>
      <c r="BG148" s="164"/>
    </row>
    <row r="149" ht="10.5" customHeight="1">
      <c r="A149" s="259" t="s">
        <v>274</v>
      </c>
      <c r="B149" s="203"/>
      <c r="C149" s="203"/>
      <c r="D149" s="203"/>
      <c r="E149" s="203">
        <f>'Balance Sheet'!B33+'Balance Sheet'!B47+'Balance Sheet'!B34</f>
        <v>1983.624</v>
      </c>
      <c r="F149" s="204">
        <f>SUM(F145:F148)</f>
        <v>1983.624</v>
      </c>
      <c r="G149" s="203">
        <f>'Balance Sheet'!D33+'Balance Sheet'!D47+'Balance Sheet'!D34</f>
        <v>1979.782</v>
      </c>
      <c r="H149" s="203">
        <f>'Balance Sheet'!E33+'Balance Sheet'!E47+'Balance Sheet'!E34</f>
        <v>2177.051</v>
      </c>
      <c r="I149" s="203">
        <f>'Balance Sheet'!F33+'Balance Sheet'!F47+'Balance Sheet'!F34</f>
        <v>2174.776</v>
      </c>
      <c r="J149" s="203">
        <f>'Balance Sheet'!G33+'Balance Sheet'!G47+'Balance Sheet'!G34</f>
        <v>2170.529</v>
      </c>
      <c r="K149" s="204">
        <f>SUM(K145:K148)</f>
        <v>2170.559</v>
      </c>
      <c r="L149" s="203">
        <f>'Balance Sheet'!I33+'Balance Sheet'!I47+'Balance Sheet'!I34</f>
        <v>2166.218</v>
      </c>
      <c r="M149" s="203">
        <f>'Balance Sheet'!J33+'Balance Sheet'!J47+'Balance Sheet'!J34</f>
        <v>2161.918</v>
      </c>
      <c r="N149" s="203">
        <f>'Balance Sheet'!K33+'Balance Sheet'!K47+'Balance Sheet'!K34</f>
        <v>2157.629</v>
      </c>
      <c r="O149" s="203">
        <f t="shared" ref="O149:AO149" si="300">SUM(O145:O148)</f>
        <v>2152.004</v>
      </c>
      <c r="P149" s="204">
        <f t="shared" si="300"/>
        <v>2152.004</v>
      </c>
      <c r="Q149" s="203">
        <f t="shared" si="300"/>
        <v>2152.004</v>
      </c>
      <c r="R149" s="203">
        <f t="shared" si="300"/>
        <v>2152.004</v>
      </c>
      <c r="S149" s="203">
        <f t="shared" si="300"/>
        <v>2152.004</v>
      </c>
      <c r="T149" s="203">
        <f t="shared" si="300"/>
        <v>2152.004</v>
      </c>
      <c r="U149" s="204">
        <f t="shared" si="300"/>
        <v>2152.004</v>
      </c>
      <c r="V149" s="203">
        <f t="shared" si="300"/>
        <v>2147.4415</v>
      </c>
      <c r="W149" s="203">
        <f t="shared" si="300"/>
        <v>2142.879</v>
      </c>
      <c r="X149" s="203">
        <f t="shared" si="300"/>
        <v>2138.3165</v>
      </c>
      <c r="Y149" s="203">
        <f t="shared" si="300"/>
        <v>2133.754</v>
      </c>
      <c r="Z149" s="204">
        <f t="shared" si="300"/>
        <v>2133.754</v>
      </c>
      <c r="AA149" s="203">
        <f t="shared" si="300"/>
        <v>2129.1915</v>
      </c>
      <c r="AB149" s="203">
        <f t="shared" si="300"/>
        <v>2124.629</v>
      </c>
      <c r="AC149" s="203">
        <f t="shared" si="300"/>
        <v>2120.0665</v>
      </c>
      <c r="AD149" s="203">
        <f t="shared" si="300"/>
        <v>2115.504</v>
      </c>
      <c r="AE149" s="204">
        <f t="shared" si="300"/>
        <v>2115.504</v>
      </c>
      <c r="AF149" s="203">
        <f t="shared" si="300"/>
        <v>2115.504</v>
      </c>
      <c r="AG149" s="203">
        <f t="shared" si="300"/>
        <v>2115.504</v>
      </c>
      <c r="AH149" s="203">
        <f t="shared" si="300"/>
        <v>2115.504</v>
      </c>
      <c r="AI149" s="203">
        <f t="shared" si="300"/>
        <v>2115.504</v>
      </c>
      <c r="AJ149" s="204">
        <f t="shared" si="300"/>
        <v>2115.504</v>
      </c>
      <c r="AK149" s="203">
        <f t="shared" si="300"/>
        <v>2115.504</v>
      </c>
      <c r="AL149" s="203">
        <f t="shared" si="300"/>
        <v>2115.504</v>
      </c>
      <c r="AM149" s="203">
        <f t="shared" si="300"/>
        <v>2115.504</v>
      </c>
      <c r="AN149" s="203">
        <f t="shared" si="300"/>
        <v>2115.504</v>
      </c>
      <c r="AO149" s="204">
        <f t="shared" si="300"/>
        <v>2115.504</v>
      </c>
      <c r="AP149" s="165"/>
      <c r="AQ149" s="187"/>
      <c r="AR149" s="165"/>
      <c r="AS149" s="165"/>
      <c r="AT149" s="165"/>
      <c r="AU149" s="165"/>
      <c r="AV149" s="187"/>
      <c r="AW149" s="165"/>
      <c r="AX149" s="165"/>
      <c r="AY149" s="165"/>
      <c r="AZ149" s="165"/>
      <c r="BA149" s="187"/>
      <c r="BB149" s="165"/>
      <c r="BC149" s="165"/>
      <c r="BD149" s="165"/>
      <c r="BE149" s="165"/>
      <c r="BF149" s="187"/>
      <c r="BG149" s="165"/>
    </row>
    <row r="150" ht="10.5" customHeight="1">
      <c r="A150" s="164"/>
      <c r="B150" s="210"/>
      <c r="C150" s="210"/>
      <c r="D150" s="210"/>
      <c r="E150" s="210"/>
      <c r="F150" s="207"/>
      <c r="G150" s="210"/>
      <c r="H150" s="210"/>
      <c r="I150" s="210"/>
      <c r="J150" s="165"/>
      <c r="K150" s="207"/>
      <c r="L150" s="165"/>
      <c r="M150" s="187"/>
      <c r="N150" s="165"/>
      <c r="O150" s="165"/>
      <c r="P150" s="207">
        <f>P151-P152</f>
        <v>84.65226619</v>
      </c>
      <c r="Q150" s="165"/>
      <c r="R150" s="165"/>
      <c r="S150" s="165"/>
      <c r="T150" s="165"/>
      <c r="U150" s="207"/>
      <c r="V150" s="165"/>
      <c r="W150" s="165"/>
      <c r="X150" s="165"/>
      <c r="Y150" s="165"/>
      <c r="Z150" s="207"/>
      <c r="AA150" s="165"/>
      <c r="AB150" s="165"/>
      <c r="AC150" s="165"/>
      <c r="AD150" s="165"/>
      <c r="AE150" s="207"/>
      <c r="AF150" s="165"/>
      <c r="AG150" s="165"/>
      <c r="AH150" s="165"/>
      <c r="AI150" s="165"/>
      <c r="AJ150" s="207"/>
      <c r="AK150" s="165"/>
      <c r="AL150" s="165"/>
      <c r="AM150" s="165"/>
      <c r="AN150" s="165"/>
      <c r="AO150" s="207"/>
      <c r="AP150" s="165"/>
      <c r="AQ150" s="187"/>
      <c r="AR150" s="165"/>
      <c r="AS150" s="165"/>
      <c r="AT150" s="165"/>
      <c r="AU150" s="165"/>
      <c r="AV150" s="187"/>
      <c r="AW150" s="165"/>
      <c r="AX150" s="165"/>
      <c r="AY150" s="165"/>
      <c r="AZ150" s="165"/>
      <c r="BA150" s="187"/>
      <c r="BB150" s="165"/>
      <c r="BC150" s="165"/>
      <c r="BD150" s="165"/>
      <c r="BE150" s="165"/>
      <c r="BF150" s="187"/>
      <c r="BG150" s="165"/>
    </row>
    <row r="151" ht="10.5" customHeight="1">
      <c r="A151" s="164" t="s">
        <v>60</v>
      </c>
      <c r="B151" s="186"/>
      <c r="C151" s="186"/>
      <c r="D151" s="186"/>
      <c r="E151" s="186">
        <f>-'Income Statement'!E23</f>
        <v>21.805</v>
      </c>
      <c r="F151" s="185">
        <f>-'Income Statement'!F23</f>
        <v>86.576</v>
      </c>
      <c r="G151" s="186">
        <f>-'Income Statement'!G23</f>
        <v>21.433</v>
      </c>
      <c r="H151" s="186">
        <f>-'Income Statement'!H23</f>
        <v>24.533</v>
      </c>
      <c r="I151" s="186">
        <f>-'Income Statement'!I23</f>
        <v>26.603</v>
      </c>
      <c r="J151" s="186">
        <f>-'Income Statement'!J23</f>
        <v>27.468</v>
      </c>
      <c r="K151" s="185">
        <f t="shared" ref="K151:K152" si="306">SUM(G151:J151)</f>
        <v>100.037</v>
      </c>
      <c r="L151" s="186">
        <f>-'Income Statement'!L23</f>
        <v>26.197</v>
      </c>
      <c r="M151" s="186">
        <f>-'Income Statement'!M23</f>
        <v>26.181</v>
      </c>
      <c r="N151" s="186">
        <f>-'Income Statement'!N23</f>
        <v>26.342</v>
      </c>
      <c r="O151" s="186">
        <f>(O154*(O145+(SUM(O146:O147)/2)))/4</f>
        <v>27.74326244</v>
      </c>
      <c r="P151" s="185">
        <f t="shared" ref="P151:P152" si="307">SUM(L151:O151)</f>
        <v>106.4632624</v>
      </c>
      <c r="Q151" s="186">
        <f t="shared" ref="Q151:T151" si="301">(Q154*(Q145+(SUM(Q146:Q147)/2)))/4</f>
        <v>26.362049</v>
      </c>
      <c r="R151" s="186">
        <f t="shared" si="301"/>
        <v>26.362049</v>
      </c>
      <c r="S151" s="186">
        <f t="shared" si="301"/>
        <v>26.362049</v>
      </c>
      <c r="T151" s="186">
        <f t="shared" si="301"/>
        <v>26.362049</v>
      </c>
      <c r="U151" s="185">
        <f t="shared" ref="U151:U152" si="308">SUM(Q151:T151)</f>
        <v>105.448196</v>
      </c>
      <c r="V151" s="186">
        <f t="shared" ref="V151:Y151" si="302">(V154*(V145+(SUM(V146:V147)/2)))/4</f>
        <v>26.33410369</v>
      </c>
      <c r="W151" s="186">
        <f t="shared" si="302"/>
        <v>26.27821306</v>
      </c>
      <c r="X151" s="186">
        <f t="shared" si="302"/>
        <v>26.22232244</v>
      </c>
      <c r="Y151" s="186">
        <f t="shared" si="302"/>
        <v>26.16643181</v>
      </c>
      <c r="Z151" s="185">
        <f t="shared" ref="Z151:Z152" si="309">SUM(V151:Y151)</f>
        <v>105.001071</v>
      </c>
      <c r="AA151" s="186">
        <f t="shared" ref="AA151:AD151" si="303">(AA154*(AA145+(SUM(AA146:AA147)/2)))/4</f>
        <v>26.11054119</v>
      </c>
      <c r="AB151" s="186">
        <f t="shared" si="303"/>
        <v>26.05465056</v>
      </c>
      <c r="AC151" s="186">
        <f t="shared" si="303"/>
        <v>25.99875994</v>
      </c>
      <c r="AD151" s="186">
        <f t="shared" si="303"/>
        <v>25.94286931</v>
      </c>
      <c r="AE151" s="185">
        <f t="shared" ref="AE151:AE152" si="310">SUM(AA151:AD151)</f>
        <v>104.106821</v>
      </c>
      <c r="AF151" s="186">
        <f t="shared" ref="AF151:AI151" si="304">(AF154*(AF145+(SUM(AF146:AF147)/2)))/4</f>
        <v>25.914924</v>
      </c>
      <c r="AG151" s="186">
        <f t="shared" si="304"/>
        <v>25.914924</v>
      </c>
      <c r="AH151" s="186">
        <f t="shared" si="304"/>
        <v>25.914924</v>
      </c>
      <c r="AI151" s="186">
        <f t="shared" si="304"/>
        <v>25.914924</v>
      </c>
      <c r="AJ151" s="185">
        <f t="shared" ref="AJ151:AJ152" si="311">SUM(AF151:AI151)</f>
        <v>103.659696</v>
      </c>
      <c r="AK151" s="186">
        <f t="shared" ref="AK151:AN151" si="305">(AK154*(AK145+(SUM(AK146:AK147)/2)))/4</f>
        <v>25.914924</v>
      </c>
      <c r="AL151" s="186">
        <f t="shared" si="305"/>
        <v>25.914924</v>
      </c>
      <c r="AM151" s="186">
        <f t="shared" si="305"/>
        <v>25.914924</v>
      </c>
      <c r="AN151" s="186">
        <f t="shared" si="305"/>
        <v>25.914924</v>
      </c>
      <c r="AO151" s="185">
        <f t="shared" ref="AO151:AO152" si="312">SUM(AK151:AN151)</f>
        <v>103.659696</v>
      </c>
      <c r="AP151" s="165"/>
      <c r="AQ151" s="187"/>
      <c r="AR151" s="165"/>
      <c r="AS151" s="165"/>
      <c r="AT151" s="165"/>
      <c r="AU151" s="165"/>
      <c r="AV151" s="187"/>
      <c r="AW151" s="165"/>
      <c r="AX151" s="165"/>
      <c r="AY151" s="165"/>
      <c r="AZ151" s="165"/>
      <c r="BA151" s="187"/>
      <c r="BB151" s="165"/>
      <c r="BC151" s="165"/>
      <c r="BD151" s="165"/>
      <c r="BE151" s="165"/>
      <c r="BF151" s="187"/>
      <c r="BG151" s="165"/>
    </row>
    <row r="152" ht="10.5" customHeight="1">
      <c r="A152" s="164" t="s">
        <v>61</v>
      </c>
      <c r="B152" s="186"/>
      <c r="C152" s="186"/>
      <c r="D152" s="186"/>
      <c r="E152" s="186">
        <f>'Income Statement'!E22</f>
        <v>5.402</v>
      </c>
      <c r="F152" s="185">
        <f>'Income Statement'!F22</f>
        <v>17.741</v>
      </c>
      <c r="G152" s="186">
        <f>'Income Statement'!G22</f>
        <v>5.461</v>
      </c>
      <c r="H152" s="186">
        <f>'Income Statement'!H22</f>
        <v>5.616</v>
      </c>
      <c r="I152" s="186">
        <f>'Income Statement'!I22</f>
        <v>5.61</v>
      </c>
      <c r="J152" s="186">
        <f>'Income Statement'!J22</f>
        <v>6.428</v>
      </c>
      <c r="K152" s="185">
        <f t="shared" si="306"/>
        <v>23.115</v>
      </c>
      <c r="L152" s="186">
        <f>'Income Statement'!L22</f>
        <v>5.812</v>
      </c>
      <c r="M152" s="186">
        <f>'Income Statement'!M22</f>
        <v>5.69</v>
      </c>
      <c r="N152" s="186">
        <f>'Income Statement'!N22</f>
        <v>5.936</v>
      </c>
      <c r="O152" s="186">
        <f>(O155*('Balance Sheet'!K9+'Balance Sheet'!K10+'Balance Sheet'!L11))/4</f>
        <v>4.37299625</v>
      </c>
      <c r="P152" s="185">
        <f t="shared" si="307"/>
        <v>21.81099625</v>
      </c>
      <c r="Q152" s="186">
        <f>(Q155*('Balance Sheet'!M9+'Balance Sheet'!M10+'Balance Sheet'!N11))/4</f>
        <v>4.399789473</v>
      </c>
      <c r="R152" s="186">
        <f>(R155*('Balance Sheet'!N9+'Balance Sheet'!N10+'Balance Sheet'!O11))/4</f>
        <v>5.553146084</v>
      </c>
      <c r="S152" s="186">
        <f>(S155*('Balance Sheet'!O9+'Balance Sheet'!O10+'Balance Sheet'!P11))/4</f>
        <v>6.077896649</v>
      </c>
      <c r="T152" s="186">
        <f>(T155*('Balance Sheet'!P9+'Balance Sheet'!P10+'Balance Sheet'!Q11))/4</f>
        <v>6.395522187</v>
      </c>
      <c r="U152" s="185">
        <f t="shared" si="308"/>
        <v>22.42635439</v>
      </c>
      <c r="V152" s="186">
        <f>(V155*('Balance Sheet'!R9+'Balance Sheet'!R10+'Balance Sheet'!S11))/4</f>
        <v>6.811315848</v>
      </c>
      <c r="W152" s="186">
        <f>(W155*('Balance Sheet'!S9+'Balance Sheet'!S10+'Balance Sheet'!T11))/4</f>
        <v>8.120977522</v>
      </c>
      <c r="X152" s="186">
        <f>(X155*('Balance Sheet'!T9+'Balance Sheet'!T10+'Balance Sheet'!U11))/4</f>
        <v>8.695300149</v>
      </c>
      <c r="Y152" s="186">
        <f>(Y155*('Balance Sheet'!U9+'Balance Sheet'!U10+'Balance Sheet'!V11))/4</f>
        <v>9.192291441</v>
      </c>
      <c r="Z152" s="185">
        <f t="shared" si="309"/>
        <v>32.81988496</v>
      </c>
      <c r="AA152" s="186">
        <f>(AA155*('Balance Sheet'!W9+'Balance Sheet'!W10+'Balance Sheet'!X11))/4</f>
        <v>9.719502078</v>
      </c>
      <c r="AB152" s="186">
        <f>(AB155*('Balance Sheet'!X9+'Balance Sheet'!X10+'Balance Sheet'!Y11))/4</f>
        <v>11.22102407</v>
      </c>
      <c r="AC152" s="186">
        <f>(AC155*('Balance Sheet'!Y9+'Balance Sheet'!Y10+'Balance Sheet'!Z11))/4</f>
        <v>11.88282236</v>
      </c>
      <c r="AD152" s="186">
        <f>(AD155*('Balance Sheet'!Z9+'Balance Sheet'!Z10+'Balance Sheet'!AA11))/4</f>
        <v>12.46863182</v>
      </c>
      <c r="AE152" s="185">
        <f t="shared" si="310"/>
        <v>45.29198033</v>
      </c>
      <c r="AF152" s="186">
        <f>(AF155*('Balance Sheet'!AB9+'Balance Sheet'!AB10+'Balance Sheet'!AC11))/4</f>
        <v>13.06965203</v>
      </c>
      <c r="AG152" s="186">
        <f>(AG155*('Balance Sheet'!AC9+'Balance Sheet'!AC10+'Balance Sheet'!AD11))/4</f>
        <v>14.84682508</v>
      </c>
      <c r="AH152" s="186">
        <f>(AH155*('Balance Sheet'!AD9+'Balance Sheet'!AD10+'Balance Sheet'!AE11))/4</f>
        <v>15.63634138</v>
      </c>
      <c r="AI152" s="186">
        <f>(AI155*('Balance Sheet'!AE9+'Balance Sheet'!AE10+'Balance Sheet'!AF11))/4</f>
        <v>16.31140119</v>
      </c>
      <c r="AJ152" s="185">
        <f t="shared" si="311"/>
        <v>59.86421969</v>
      </c>
      <c r="AK152" s="186">
        <f>(AK155*('Balance Sheet'!AG9+'Balance Sheet'!AG10+'Balance Sheet'!AH11))/4</f>
        <v>17.00914208</v>
      </c>
      <c r="AL152" s="186">
        <f>(AL155*('Balance Sheet'!AH9+'Balance Sheet'!AH10+'Balance Sheet'!AI11))/4</f>
        <v>18.96558845</v>
      </c>
      <c r="AM152" s="186">
        <f>(AM155*('Balance Sheet'!AI9+'Balance Sheet'!AI10+'Balance Sheet'!AJ11))/4</f>
        <v>19.84500899</v>
      </c>
      <c r="AN152" s="186">
        <f>(AN155*('Balance Sheet'!AJ9+'Balance Sheet'!AJ10+'Balance Sheet'!AK11))/4</f>
        <v>20.60315026</v>
      </c>
      <c r="AO152" s="185">
        <f t="shared" si="312"/>
        <v>76.42288979</v>
      </c>
      <c r="AP152" s="165"/>
      <c r="AQ152" s="187"/>
      <c r="AR152" s="165"/>
      <c r="AS152" s="165"/>
      <c r="AT152" s="165"/>
      <c r="AU152" s="165"/>
      <c r="AV152" s="187"/>
      <c r="AW152" s="165"/>
      <c r="AX152" s="165"/>
      <c r="AY152" s="165"/>
      <c r="AZ152" s="165"/>
      <c r="BA152" s="187"/>
      <c r="BB152" s="165"/>
      <c r="BC152" s="165"/>
      <c r="BD152" s="165"/>
      <c r="BE152" s="165"/>
      <c r="BF152" s="187"/>
      <c r="BG152" s="165"/>
    </row>
    <row r="153" ht="10.5" customHeight="1">
      <c r="A153" s="181"/>
      <c r="B153" s="238"/>
      <c r="C153" s="238"/>
      <c r="D153" s="238"/>
      <c r="E153" s="238"/>
      <c r="F153" s="256"/>
      <c r="G153" s="238"/>
      <c r="H153" s="238"/>
      <c r="I153" s="238"/>
      <c r="J153" s="238"/>
      <c r="K153" s="207"/>
      <c r="L153" s="165"/>
      <c r="M153" s="238"/>
      <c r="N153" s="238"/>
      <c r="O153" s="165"/>
      <c r="P153" s="207"/>
      <c r="Q153" s="165"/>
      <c r="R153" s="165"/>
      <c r="S153" s="165"/>
      <c r="T153" s="165"/>
      <c r="U153" s="207"/>
      <c r="V153" s="165"/>
      <c r="W153" s="165"/>
      <c r="X153" s="165"/>
      <c r="Y153" s="165"/>
      <c r="Z153" s="207"/>
      <c r="AA153" s="165"/>
      <c r="AB153" s="165"/>
      <c r="AC153" s="165"/>
      <c r="AD153" s="165"/>
      <c r="AE153" s="207"/>
      <c r="AF153" s="165"/>
      <c r="AG153" s="165"/>
      <c r="AH153" s="165"/>
      <c r="AI153" s="165"/>
      <c r="AJ153" s="207"/>
      <c r="AK153" s="165"/>
      <c r="AL153" s="165"/>
      <c r="AM153" s="165"/>
      <c r="AN153" s="165"/>
      <c r="AO153" s="207"/>
      <c r="AP153" s="165"/>
      <c r="AQ153" s="187"/>
      <c r="AR153" s="165"/>
      <c r="AS153" s="165"/>
      <c r="AT153" s="165"/>
      <c r="AU153" s="165"/>
      <c r="AV153" s="187"/>
      <c r="AW153" s="165"/>
      <c r="AX153" s="165"/>
      <c r="AY153" s="165"/>
      <c r="AZ153" s="165"/>
      <c r="BA153" s="187"/>
      <c r="BB153" s="165"/>
      <c r="BC153" s="165"/>
      <c r="BD153" s="165"/>
      <c r="BE153" s="165"/>
      <c r="BF153" s="187"/>
      <c r="BG153" s="165"/>
    </row>
    <row r="154" ht="10.5" customHeight="1">
      <c r="A154" s="164" t="s">
        <v>275</v>
      </c>
      <c r="B154" s="222"/>
      <c r="C154" s="222"/>
      <c r="D154" s="222"/>
      <c r="E154" s="222">
        <f>(E151/(E145+(SUM(E146:E147)/2))*4)</f>
        <v>-33.63671423</v>
      </c>
      <c r="F154" s="261">
        <f>F151/(F145+(SUM(F146:F147)/2))</f>
        <v>-33.38835326</v>
      </c>
      <c r="G154" s="222">
        <f t="shared" ref="G154:J154" si="313">(G151/(G145+(SUM(G146:G147)/2))*4)</f>
        <v>0.04324643892</v>
      </c>
      <c r="H154" s="222">
        <f t="shared" si="313"/>
        <v>0.04711864529</v>
      </c>
      <c r="I154" s="222">
        <f t="shared" si="313"/>
        <v>0.04891970442</v>
      </c>
      <c r="J154" s="222">
        <f t="shared" si="313"/>
        <v>0.05058648545</v>
      </c>
      <c r="K154" s="261">
        <f>K151/(K145+(SUM(K146:K147)/2))</f>
        <v>0.04807954799</v>
      </c>
      <c r="L154" s="222">
        <f t="shared" ref="L154:N154" si="314">(L151/(L145+(SUM(L146:L147)/2))*4)</f>
        <v>0.04833960059</v>
      </c>
      <c r="M154" s="222">
        <f t="shared" si="314"/>
        <v>0.04840701385</v>
      </c>
      <c r="N154" s="222">
        <f t="shared" si="314"/>
        <v>0.04880169126</v>
      </c>
      <c r="O154" s="258">
        <v>0.0515</v>
      </c>
      <c r="P154" s="261">
        <f t="shared" ref="P154:P155" si="320">AVERAGE(L154:O154)</f>
        <v>0.04926207642</v>
      </c>
      <c r="Q154" s="258">
        <f>O154-0.25%</f>
        <v>0.049</v>
      </c>
      <c r="R154" s="258">
        <f t="shared" ref="R154:T154" si="315">Q154</f>
        <v>0.049</v>
      </c>
      <c r="S154" s="258">
        <f t="shared" si="315"/>
        <v>0.049</v>
      </c>
      <c r="T154" s="258">
        <f t="shared" si="315"/>
        <v>0.049</v>
      </c>
      <c r="U154" s="261">
        <f t="shared" ref="U154:U155" si="322">AVERAGE(Q154:T154)</f>
        <v>0.049</v>
      </c>
      <c r="V154" s="258">
        <f t="shared" ref="V154:V155" si="323">T154</f>
        <v>0.049</v>
      </c>
      <c r="W154" s="258">
        <f t="shared" ref="W154:Y154" si="316">V154</f>
        <v>0.049</v>
      </c>
      <c r="X154" s="258">
        <f t="shared" si="316"/>
        <v>0.049</v>
      </c>
      <c r="Y154" s="258">
        <f t="shared" si="316"/>
        <v>0.049</v>
      </c>
      <c r="Z154" s="261">
        <f t="shared" ref="Z154:Z155" si="325">AVERAGE(V154:Y154)</f>
        <v>0.049</v>
      </c>
      <c r="AA154" s="258">
        <f t="shared" ref="AA154:AA155" si="326">Y154</f>
        <v>0.049</v>
      </c>
      <c r="AB154" s="258">
        <f t="shared" ref="AB154:AD154" si="317">AA154</f>
        <v>0.049</v>
      </c>
      <c r="AC154" s="258">
        <f t="shared" si="317"/>
        <v>0.049</v>
      </c>
      <c r="AD154" s="258">
        <f t="shared" si="317"/>
        <v>0.049</v>
      </c>
      <c r="AE154" s="261">
        <f t="shared" ref="AE154:AE155" si="328">AVERAGE(AA154:AD154)</f>
        <v>0.049</v>
      </c>
      <c r="AF154" s="258">
        <f t="shared" ref="AF154:AF155" si="329">AD154</f>
        <v>0.049</v>
      </c>
      <c r="AG154" s="258">
        <f t="shared" ref="AG154:AI154" si="318">AF154</f>
        <v>0.049</v>
      </c>
      <c r="AH154" s="258">
        <f t="shared" si="318"/>
        <v>0.049</v>
      </c>
      <c r="AI154" s="258">
        <f t="shared" si="318"/>
        <v>0.049</v>
      </c>
      <c r="AJ154" s="261">
        <f t="shared" ref="AJ154:AJ155" si="331">AVERAGE(AF154:AI154)</f>
        <v>0.049</v>
      </c>
      <c r="AK154" s="258">
        <f t="shared" ref="AK154:AK155" si="332">AI154</f>
        <v>0.049</v>
      </c>
      <c r="AL154" s="258">
        <f t="shared" ref="AL154:AN154" si="319">AK154</f>
        <v>0.049</v>
      </c>
      <c r="AM154" s="258">
        <f t="shared" si="319"/>
        <v>0.049</v>
      </c>
      <c r="AN154" s="258">
        <f t="shared" si="319"/>
        <v>0.049</v>
      </c>
      <c r="AO154" s="261">
        <f t="shared" ref="AO154:AO155" si="334">AVERAGE(AK154:AN154)</f>
        <v>0.049</v>
      </c>
      <c r="AP154" s="164"/>
      <c r="AQ154" s="164"/>
      <c r="AR154" s="164"/>
      <c r="AS154" s="164"/>
      <c r="AT154" s="164"/>
      <c r="AU154" s="164"/>
      <c r="AV154" s="164"/>
      <c r="AW154" s="164"/>
      <c r="AX154" s="164"/>
      <c r="AY154" s="164"/>
      <c r="AZ154" s="164"/>
      <c r="BA154" s="164"/>
      <c r="BB154" s="164"/>
      <c r="BC154" s="164"/>
      <c r="BD154" s="164"/>
      <c r="BE154" s="164"/>
      <c r="BF154" s="164"/>
      <c r="BG154" s="164"/>
    </row>
    <row r="155" ht="10.5" customHeight="1">
      <c r="A155" s="164" t="s">
        <v>276</v>
      </c>
      <c r="B155" s="222"/>
      <c r="C155" s="222"/>
      <c r="D155" s="222"/>
      <c r="E155" s="222">
        <f>(E152/('Balance Sheet'!B9+'Balance Sheet'!B10+'Balance Sheet'!B11))*4</f>
        <v>0.05442519558</v>
      </c>
      <c r="F155" s="261">
        <f>(F152/('Balance Sheet'!C9+'Balance Sheet'!C10+'Balance Sheet'!C11))</f>
        <v>0.04468518117</v>
      </c>
      <c r="G155" s="222">
        <f>(G152/('Balance Sheet'!D9+'Balance Sheet'!D10+'Balance Sheet'!D11))*4</f>
        <v>0.04950380615</v>
      </c>
      <c r="H155" s="222">
        <f>(H152/('Balance Sheet'!E9+'Balance Sheet'!E10+'Balance Sheet'!E11))*4</f>
        <v>0.0564481679</v>
      </c>
      <c r="I155" s="222">
        <f>(I152/('Balance Sheet'!F9+'Balance Sheet'!F10+'Balance Sheet'!F11))*4</f>
        <v>0.04722440854</v>
      </c>
      <c r="J155" s="222">
        <f>(J152/('Balance Sheet'!G9+'Balance Sheet'!G10+'Balance Sheet'!G11))*4</f>
        <v>0.05543326643</v>
      </c>
      <c r="K155" s="261">
        <f>(K152/('Balance Sheet'!H9+'Balance Sheet'!H10))</f>
        <v>0.0661044287</v>
      </c>
      <c r="L155" s="222">
        <f>(L152/('Balance Sheet'!I9+'Balance Sheet'!I10+'Balance Sheet'!I11))*4</f>
        <v>0.04556564075</v>
      </c>
      <c r="M155" s="222">
        <f>(M152/('Balance Sheet'!J9+'Balance Sheet'!J10+'Balance Sheet'!J11))*4</f>
        <v>0.04559541482</v>
      </c>
      <c r="N155" s="222">
        <f>(N152/('Balance Sheet'!K9+'Balance Sheet'!K10+'Balance Sheet'!K11))*4</f>
        <v>0.04750975947</v>
      </c>
      <c r="O155" s="258">
        <v>0.035</v>
      </c>
      <c r="P155" s="261">
        <f t="shared" si="320"/>
        <v>0.04341770376</v>
      </c>
      <c r="Q155" s="258">
        <f>O155</f>
        <v>0.035</v>
      </c>
      <c r="R155" s="258">
        <f t="shared" ref="R155:T155" si="321">Q155</f>
        <v>0.035</v>
      </c>
      <c r="S155" s="258">
        <f t="shared" si="321"/>
        <v>0.035</v>
      </c>
      <c r="T155" s="258">
        <f t="shared" si="321"/>
        <v>0.035</v>
      </c>
      <c r="U155" s="261">
        <f t="shared" si="322"/>
        <v>0.035</v>
      </c>
      <c r="V155" s="258">
        <f t="shared" si="323"/>
        <v>0.035</v>
      </c>
      <c r="W155" s="258">
        <f t="shared" ref="W155:Y155" si="324">V155</f>
        <v>0.035</v>
      </c>
      <c r="X155" s="258">
        <f t="shared" si="324"/>
        <v>0.035</v>
      </c>
      <c r="Y155" s="258">
        <f t="shared" si="324"/>
        <v>0.035</v>
      </c>
      <c r="Z155" s="261">
        <f t="shared" si="325"/>
        <v>0.035</v>
      </c>
      <c r="AA155" s="258">
        <f t="shared" si="326"/>
        <v>0.035</v>
      </c>
      <c r="AB155" s="258">
        <f t="shared" ref="AB155:AD155" si="327">AA155</f>
        <v>0.035</v>
      </c>
      <c r="AC155" s="258">
        <f t="shared" si="327"/>
        <v>0.035</v>
      </c>
      <c r="AD155" s="258">
        <f t="shared" si="327"/>
        <v>0.035</v>
      </c>
      <c r="AE155" s="261">
        <f t="shared" si="328"/>
        <v>0.035</v>
      </c>
      <c r="AF155" s="258">
        <f t="shared" si="329"/>
        <v>0.035</v>
      </c>
      <c r="AG155" s="258">
        <f t="shared" ref="AG155:AI155" si="330">AF155</f>
        <v>0.035</v>
      </c>
      <c r="AH155" s="258">
        <f t="shared" si="330"/>
        <v>0.035</v>
      </c>
      <c r="AI155" s="258">
        <f t="shared" si="330"/>
        <v>0.035</v>
      </c>
      <c r="AJ155" s="261">
        <f t="shared" si="331"/>
        <v>0.035</v>
      </c>
      <c r="AK155" s="258">
        <f t="shared" si="332"/>
        <v>0.035</v>
      </c>
      <c r="AL155" s="258">
        <f t="shared" ref="AL155:AN155" si="333">AK155</f>
        <v>0.035</v>
      </c>
      <c r="AM155" s="258">
        <f t="shared" si="333"/>
        <v>0.035</v>
      </c>
      <c r="AN155" s="258">
        <f t="shared" si="333"/>
        <v>0.035</v>
      </c>
      <c r="AO155" s="261">
        <f t="shared" si="334"/>
        <v>0.035</v>
      </c>
      <c r="AP155" s="164"/>
      <c r="AQ155" s="164"/>
      <c r="AR155" s="164"/>
      <c r="AS155" s="164"/>
      <c r="AT155" s="164"/>
      <c r="AU155" s="164"/>
      <c r="AV155" s="164"/>
      <c r="AW155" s="164"/>
      <c r="AX155" s="164"/>
      <c r="AY155" s="164"/>
      <c r="AZ155" s="164"/>
      <c r="BA155" s="164"/>
      <c r="BB155" s="164"/>
      <c r="BC155" s="164"/>
      <c r="BD155" s="164"/>
      <c r="BE155" s="164"/>
      <c r="BF155" s="164"/>
      <c r="BG155" s="164"/>
    </row>
    <row r="156" ht="10.5" customHeight="1">
      <c r="A156" s="181"/>
      <c r="B156" s="165"/>
      <c r="C156" s="165"/>
      <c r="D156" s="165"/>
      <c r="E156" s="165"/>
      <c r="F156" s="207"/>
      <c r="G156" s="165"/>
      <c r="H156" s="165"/>
      <c r="I156" s="165"/>
      <c r="J156" s="165"/>
      <c r="K156" s="207"/>
      <c r="L156" s="165"/>
      <c r="M156" s="165"/>
      <c r="N156" s="165"/>
      <c r="O156" s="165"/>
      <c r="P156" s="207"/>
      <c r="Q156" s="165"/>
      <c r="R156" s="165"/>
      <c r="S156" s="165"/>
      <c r="T156" s="165"/>
      <c r="U156" s="207"/>
      <c r="V156" s="165"/>
      <c r="W156" s="165"/>
      <c r="X156" s="165"/>
      <c r="Y156" s="165"/>
      <c r="Z156" s="207"/>
      <c r="AA156" s="165"/>
      <c r="AB156" s="165"/>
      <c r="AC156" s="165"/>
      <c r="AD156" s="165"/>
      <c r="AE156" s="207"/>
      <c r="AF156" s="165"/>
      <c r="AG156" s="165"/>
      <c r="AH156" s="165"/>
      <c r="AI156" s="165"/>
      <c r="AJ156" s="207"/>
      <c r="AK156" s="165"/>
      <c r="AL156" s="165"/>
      <c r="AM156" s="165"/>
      <c r="AN156" s="165"/>
      <c r="AO156" s="207"/>
      <c r="AP156" s="164"/>
      <c r="AQ156" s="164"/>
      <c r="AR156" s="164"/>
      <c r="AS156" s="164"/>
      <c r="AT156" s="164"/>
      <c r="AU156" s="164"/>
      <c r="AV156" s="164"/>
      <c r="AW156" s="164"/>
      <c r="AX156" s="164"/>
      <c r="AY156" s="164"/>
      <c r="AZ156" s="164"/>
      <c r="BA156" s="164"/>
      <c r="BB156" s="164"/>
      <c r="BC156" s="164"/>
      <c r="BD156" s="164"/>
      <c r="BE156" s="164"/>
      <c r="BF156" s="164"/>
      <c r="BG156" s="164"/>
    </row>
    <row r="157" ht="10.5" customHeight="1">
      <c r="A157" s="181" t="s">
        <v>277</v>
      </c>
      <c r="B157" s="222"/>
      <c r="C157" s="222"/>
      <c r="D157" s="222"/>
      <c r="E157" s="222">
        <f>'Income Statement'!E28/'Income Statement'!E27</f>
        <v>0.4889800995</v>
      </c>
      <c r="F157" s="261">
        <f>'Income Statement'!F28/'Income Statement'!F27</f>
        <v>0.2819284771</v>
      </c>
      <c r="G157" s="222">
        <f>'Income Statement'!G28/'Income Statement'!G27</f>
        <v>0.2836604155</v>
      </c>
      <c r="H157" s="222">
        <f>'Income Statement'!H28/'Income Statement'!H27</f>
        <v>0.2730307172</v>
      </c>
      <c r="I157" s="222">
        <f>'Income Statement'!I28/'Income Statement'!I27</f>
        <v>0.2767671692</v>
      </c>
      <c r="J157" s="222">
        <f>'Income Statement'!J28/'Income Statement'!J27</f>
        <v>0.2777877242</v>
      </c>
      <c r="K157" s="261">
        <f>'Income Statement'!K28/'Income Statement'!K27</f>
        <v>0.2774026458</v>
      </c>
      <c r="L157" s="222">
        <f>'Income Statement'!L28/'Income Statement'!L27</f>
        <v>0.2743824027</v>
      </c>
      <c r="M157" s="222">
        <f>'Income Statement'!M28/'Income Statement'!M27</f>
        <v>0.2973059998</v>
      </c>
      <c r="N157" s="222">
        <f>'Income Statement'!N28/'Income Statement'!N27</f>
        <v>0.3188683332</v>
      </c>
      <c r="O157" s="258">
        <v>0.277</v>
      </c>
      <c r="P157" s="261">
        <f>AVERAGE(L157:O157)</f>
        <v>0.2918891839</v>
      </c>
      <c r="Q157" s="258">
        <v>0.281</v>
      </c>
      <c r="R157" s="258">
        <f t="shared" ref="R157:T157" si="335">Q157</f>
        <v>0.281</v>
      </c>
      <c r="S157" s="258">
        <f t="shared" si="335"/>
        <v>0.281</v>
      </c>
      <c r="T157" s="258">
        <f t="shared" si="335"/>
        <v>0.281</v>
      </c>
      <c r="U157" s="261">
        <f>AVERAGE(Q157:T157)</f>
        <v>0.281</v>
      </c>
      <c r="V157" s="258">
        <f t="shared" ref="V157:Y157" si="336">U157</f>
        <v>0.281</v>
      </c>
      <c r="W157" s="258">
        <f t="shared" si="336"/>
        <v>0.281</v>
      </c>
      <c r="X157" s="258">
        <f t="shared" si="336"/>
        <v>0.281</v>
      </c>
      <c r="Y157" s="258">
        <f t="shared" si="336"/>
        <v>0.281</v>
      </c>
      <c r="Z157" s="261">
        <f>AVERAGE(V157:Y157)</f>
        <v>0.281</v>
      </c>
      <c r="AA157" s="258">
        <f t="shared" ref="AA157:AD157" si="337">Z157</f>
        <v>0.281</v>
      </c>
      <c r="AB157" s="258">
        <f t="shared" si="337"/>
        <v>0.281</v>
      </c>
      <c r="AC157" s="258">
        <f t="shared" si="337"/>
        <v>0.281</v>
      </c>
      <c r="AD157" s="258">
        <f t="shared" si="337"/>
        <v>0.281</v>
      </c>
      <c r="AE157" s="261">
        <f>AVERAGE(AA157:AD157)</f>
        <v>0.281</v>
      </c>
      <c r="AF157" s="258">
        <f t="shared" ref="AF157:AI157" si="338">AE157</f>
        <v>0.281</v>
      </c>
      <c r="AG157" s="258">
        <f t="shared" si="338"/>
        <v>0.281</v>
      </c>
      <c r="AH157" s="258">
        <f t="shared" si="338"/>
        <v>0.281</v>
      </c>
      <c r="AI157" s="258">
        <f t="shared" si="338"/>
        <v>0.281</v>
      </c>
      <c r="AJ157" s="261">
        <f>AVERAGE(AF157:AI157)</f>
        <v>0.281</v>
      </c>
      <c r="AK157" s="258">
        <f t="shared" ref="AK157:AN157" si="339">AJ157</f>
        <v>0.281</v>
      </c>
      <c r="AL157" s="258">
        <f t="shared" si="339"/>
        <v>0.281</v>
      </c>
      <c r="AM157" s="258">
        <f t="shared" si="339"/>
        <v>0.281</v>
      </c>
      <c r="AN157" s="258">
        <f t="shared" si="339"/>
        <v>0.281</v>
      </c>
      <c r="AO157" s="261">
        <f>AVERAGE(AK157:AN157)</f>
        <v>0.281</v>
      </c>
      <c r="AP157" s="164"/>
      <c r="AQ157" s="164"/>
      <c r="AR157" s="164"/>
      <c r="AS157" s="164"/>
      <c r="AT157" s="164"/>
      <c r="AU157" s="164"/>
      <c r="AV157" s="164"/>
      <c r="AW157" s="164"/>
      <c r="AX157" s="164"/>
      <c r="AY157" s="164"/>
      <c r="AZ157" s="164"/>
      <c r="BA157" s="164"/>
      <c r="BB157" s="164"/>
      <c r="BC157" s="164"/>
      <c r="BD157" s="164"/>
      <c r="BE157" s="164"/>
      <c r="BF157" s="164"/>
      <c r="BG157" s="164"/>
    </row>
    <row r="158" ht="10.5" customHeight="1">
      <c r="A158" s="181"/>
      <c r="B158" s="222"/>
      <c r="C158" s="222"/>
      <c r="D158" s="222"/>
      <c r="E158" s="222"/>
      <c r="F158" s="261"/>
      <c r="G158" s="222"/>
      <c r="H158" s="222"/>
      <c r="I158" s="222"/>
      <c r="J158" s="222"/>
      <c r="K158" s="261"/>
      <c r="L158" s="222"/>
      <c r="M158" s="222"/>
      <c r="N158" s="222"/>
      <c r="O158" s="258"/>
      <c r="P158" s="261"/>
      <c r="Q158" s="258"/>
      <c r="R158" s="258"/>
      <c r="S158" s="258"/>
      <c r="T158" s="258"/>
      <c r="U158" s="261"/>
      <c r="V158" s="258"/>
      <c r="W158" s="258"/>
      <c r="X158" s="258"/>
      <c r="Y158" s="258"/>
      <c r="Z158" s="261"/>
      <c r="AA158" s="258"/>
      <c r="AB158" s="258"/>
      <c r="AC158" s="258"/>
      <c r="AD158" s="258"/>
      <c r="AE158" s="261"/>
      <c r="AF158" s="258"/>
      <c r="AG158" s="258"/>
      <c r="AH158" s="258"/>
      <c r="AI158" s="258"/>
      <c r="AJ158" s="261"/>
      <c r="AK158" s="258"/>
      <c r="AL158" s="258"/>
      <c r="AM158" s="258"/>
      <c r="AN158" s="258"/>
      <c r="AO158" s="261"/>
      <c r="AP158" s="164"/>
      <c r="AQ158" s="164"/>
      <c r="AR158" s="164"/>
      <c r="AS158" s="164"/>
      <c r="AT158" s="164"/>
      <c r="AU158" s="164"/>
      <c r="AV158" s="164"/>
      <c r="AW158" s="164"/>
      <c r="AX158" s="164"/>
      <c r="AY158" s="164"/>
      <c r="AZ158" s="164"/>
      <c r="BA158" s="164"/>
      <c r="BB158" s="164"/>
      <c r="BC158" s="164"/>
      <c r="BD158" s="164"/>
      <c r="BE158" s="164"/>
      <c r="BF158" s="164"/>
      <c r="BG158" s="164"/>
    </row>
    <row r="159" ht="10.5" customHeight="1">
      <c r="A159" s="181" t="s">
        <v>278</v>
      </c>
      <c r="B159" s="222"/>
      <c r="C159" s="222"/>
      <c r="D159" s="222"/>
      <c r="E159" s="222">
        <f>'Income Statement'!E104/'Income Statement'!E103</f>
        <v>0.3434270608</v>
      </c>
      <c r="F159" s="261">
        <f>'Income Statement'!F104/'Income Statement'!F103</f>
        <v>0.258999583</v>
      </c>
      <c r="G159" s="222">
        <f>'Income Statement'!G104/'Income Statement'!G103</f>
        <v>0.2580042689</v>
      </c>
      <c r="H159" s="222">
        <f>'Income Statement'!H104/'Income Statement'!H103</f>
        <v>0.2582565742</v>
      </c>
      <c r="I159" s="222">
        <f>'Income Statement'!I104/'Income Statement'!I103</f>
        <v>0.2582585838</v>
      </c>
      <c r="J159" s="222">
        <f>'Income Statement'!J104/'Income Statement'!J103</f>
        <v>0.25888791</v>
      </c>
      <c r="K159" s="261">
        <f>'Income Statement'!K104/'Income Statement'!K103</f>
        <v>0.2588890324</v>
      </c>
      <c r="L159" s="222">
        <f>'Income Statement'!L104/'Income Statement'!L103</f>
        <v>0.2590014367</v>
      </c>
      <c r="M159" s="222">
        <f>'Income Statement'!M104/'Income Statement'!M103</f>
        <v>0.2585038879</v>
      </c>
      <c r="N159" s="222">
        <f>'Income Statement'!N104/'Income Statement'!N103</f>
        <v>0.2589959084</v>
      </c>
      <c r="O159" s="258">
        <f>N159</f>
        <v>0.2589959084</v>
      </c>
      <c r="P159" s="261">
        <f>AVERAGE(L159:O159)</f>
        <v>0.2588742854</v>
      </c>
      <c r="Q159" s="258">
        <v>0.257</v>
      </c>
      <c r="R159" s="258">
        <f t="shared" ref="R159:T159" si="340">Q159</f>
        <v>0.257</v>
      </c>
      <c r="S159" s="258">
        <f t="shared" si="340"/>
        <v>0.257</v>
      </c>
      <c r="T159" s="258">
        <f t="shared" si="340"/>
        <v>0.257</v>
      </c>
      <c r="U159" s="261">
        <f>AVERAGE(Q159:T159)</f>
        <v>0.257</v>
      </c>
      <c r="V159" s="258">
        <v>0.253</v>
      </c>
      <c r="W159" s="258">
        <f t="shared" ref="W159:Y159" si="341">V159</f>
        <v>0.253</v>
      </c>
      <c r="X159" s="258">
        <f t="shared" si="341"/>
        <v>0.253</v>
      </c>
      <c r="Y159" s="258">
        <f t="shared" si="341"/>
        <v>0.253</v>
      </c>
      <c r="Z159" s="261">
        <f>AVERAGE(V159:Y159)</f>
        <v>0.253</v>
      </c>
      <c r="AA159" s="258">
        <f t="shared" ref="AA159:AD159" si="342">Z159</f>
        <v>0.253</v>
      </c>
      <c r="AB159" s="258">
        <f t="shared" si="342"/>
        <v>0.253</v>
      </c>
      <c r="AC159" s="258">
        <f t="shared" si="342"/>
        <v>0.253</v>
      </c>
      <c r="AD159" s="258">
        <f t="shared" si="342"/>
        <v>0.253</v>
      </c>
      <c r="AE159" s="261">
        <f>AVERAGE(AA159:AD159)</f>
        <v>0.253</v>
      </c>
      <c r="AF159" s="258">
        <f t="shared" ref="AF159:AI159" si="343">AE159</f>
        <v>0.253</v>
      </c>
      <c r="AG159" s="258">
        <f t="shared" si="343"/>
        <v>0.253</v>
      </c>
      <c r="AH159" s="258">
        <f t="shared" si="343"/>
        <v>0.253</v>
      </c>
      <c r="AI159" s="258">
        <f t="shared" si="343"/>
        <v>0.253</v>
      </c>
      <c r="AJ159" s="261">
        <f>AVERAGE(AF159:AI159)</f>
        <v>0.253</v>
      </c>
      <c r="AK159" s="258">
        <f t="shared" ref="AK159:AN159" si="344">AJ159</f>
        <v>0.253</v>
      </c>
      <c r="AL159" s="258">
        <f t="shared" si="344"/>
        <v>0.253</v>
      </c>
      <c r="AM159" s="258">
        <f t="shared" si="344"/>
        <v>0.253</v>
      </c>
      <c r="AN159" s="258">
        <f t="shared" si="344"/>
        <v>0.253</v>
      </c>
      <c r="AO159" s="261">
        <f>AVERAGE(AK159:AN159)</f>
        <v>0.253</v>
      </c>
      <c r="AP159" s="164"/>
      <c r="AQ159" s="164"/>
      <c r="AR159" s="164"/>
      <c r="AS159" s="164"/>
      <c r="AT159" s="164"/>
      <c r="AU159" s="164"/>
      <c r="AV159" s="164"/>
      <c r="AW159" s="164"/>
      <c r="AX159" s="164"/>
      <c r="AY159" s="164"/>
      <c r="AZ159" s="164"/>
      <c r="BA159" s="164"/>
      <c r="BB159" s="164"/>
      <c r="BC159" s="164"/>
      <c r="BD159" s="164"/>
      <c r="BE159" s="164"/>
      <c r="BF159" s="164"/>
      <c r="BG159" s="164"/>
    </row>
    <row r="160" ht="10.5" customHeight="1">
      <c r="A160" s="164"/>
      <c r="B160" s="210"/>
      <c r="C160" s="210"/>
      <c r="D160" s="210"/>
      <c r="E160" s="165"/>
      <c r="F160" s="207"/>
      <c r="G160" s="210"/>
      <c r="H160" s="210"/>
      <c r="I160" s="210"/>
      <c r="J160" s="165"/>
      <c r="K160" s="207"/>
      <c r="L160" s="165"/>
      <c r="M160" s="187"/>
      <c r="N160" s="165"/>
      <c r="O160" s="165"/>
      <c r="P160" s="207"/>
      <c r="Q160" s="165"/>
      <c r="R160" s="165"/>
      <c r="S160" s="165"/>
      <c r="T160" s="165"/>
      <c r="U160" s="207"/>
      <c r="V160" s="165"/>
      <c r="W160" s="165"/>
      <c r="X160" s="165"/>
      <c r="Y160" s="165"/>
      <c r="Z160" s="207"/>
      <c r="AA160" s="165"/>
      <c r="AB160" s="165"/>
      <c r="AC160" s="165"/>
      <c r="AD160" s="165"/>
      <c r="AE160" s="207"/>
      <c r="AF160" s="165"/>
      <c r="AG160" s="165"/>
      <c r="AH160" s="165"/>
      <c r="AI160" s="165"/>
      <c r="AJ160" s="207"/>
      <c r="AK160" s="165"/>
      <c r="AL160" s="165"/>
      <c r="AM160" s="165"/>
      <c r="AN160" s="165"/>
      <c r="AO160" s="207"/>
      <c r="AP160" s="164"/>
      <c r="AQ160" s="164"/>
      <c r="AR160" s="164"/>
      <c r="AS160" s="164"/>
      <c r="AT160" s="164"/>
      <c r="AU160" s="164"/>
      <c r="AV160" s="164"/>
      <c r="AW160" s="164"/>
      <c r="AX160" s="164"/>
      <c r="AY160" s="164"/>
      <c r="AZ160" s="164"/>
      <c r="BA160" s="164"/>
      <c r="BB160" s="164"/>
      <c r="BC160" s="164"/>
      <c r="BD160" s="164"/>
      <c r="BE160" s="164"/>
      <c r="BF160" s="164"/>
      <c r="BG160" s="164"/>
    </row>
    <row r="161" ht="10.5" customHeight="1">
      <c r="A161" s="198" t="s">
        <v>279</v>
      </c>
      <c r="B161" s="213"/>
      <c r="C161" s="213"/>
      <c r="D161" s="213"/>
      <c r="E161" s="215"/>
      <c r="F161" s="216"/>
      <c r="G161" s="213"/>
      <c r="H161" s="213"/>
      <c r="I161" s="213"/>
      <c r="J161" s="215"/>
      <c r="K161" s="216"/>
      <c r="L161" s="215"/>
      <c r="M161" s="252"/>
      <c r="N161" s="215"/>
      <c r="O161" s="215"/>
      <c r="P161" s="216"/>
      <c r="Q161" s="215"/>
      <c r="R161" s="215"/>
      <c r="S161" s="215"/>
      <c r="T161" s="215"/>
      <c r="U161" s="216"/>
      <c r="V161" s="215"/>
      <c r="W161" s="215"/>
      <c r="X161" s="215"/>
      <c r="Y161" s="215"/>
      <c r="Z161" s="216"/>
      <c r="AA161" s="215"/>
      <c r="AB161" s="215"/>
      <c r="AC161" s="215"/>
      <c r="AD161" s="215"/>
      <c r="AE161" s="216"/>
      <c r="AF161" s="215"/>
      <c r="AG161" s="215"/>
      <c r="AH161" s="215"/>
      <c r="AI161" s="215"/>
      <c r="AJ161" s="216"/>
      <c r="AK161" s="215"/>
      <c r="AL161" s="215"/>
      <c r="AM161" s="215"/>
      <c r="AN161" s="215"/>
      <c r="AO161" s="216"/>
      <c r="AP161" s="164"/>
      <c r="AQ161" s="164"/>
      <c r="AR161" s="164"/>
      <c r="AS161" s="164"/>
      <c r="AT161" s="164"/>
      <c r="AU161" s="164"/>
      <c r="AV161" s="164"/>
      <c r="AW161" s="164"/>
      <c r="AX161" s="164"/>
      <c r="AY161" s="164"/>
      <c r="AZ161" s="164"/>
      <c r="BA161" s="164"/>
      <c r="BB161" s="164"/>
      <c r="BC161" s="164"/>
      <c r="BD161" s="164"/>
      <c r="BE161" s="164"/>
      <c r="BF161" s="164"/>
      <c r="BG161" s="164"/>
    </row>
    <row r="162" ht="10.5" customHeight="1">
      <c r="A162" s="164" t="s">
        <v>279</v>
      </c>
      <c r="B162" s="186"/>
      <c r="C162" s="186"/>
      <c r="D162" s="186"/>
      <c r="E162" s="186">
        <f>'Balance Sheet'!B12</f>
        <v>41.89</v>
      </c>
      <c r="F162" s="185"/>
      <c r="G162" s="186">
        <f>'Balance Sheet'!D12</f>
        <v>23.837</v>
      </c>
      <c r="H162" s="186">
        <f>'Balance Sheet'!E12</f>
        <v>41.334</v>
      </c>
      <c r="I162" s="186">
        <f>'Balance Sheet'!F12</f>
        <v>48.958</v>
      </c>
      <c r="J162" s="186">
        <f>'Balance Sheet'!G12</f>
        <v>77.145</v>
      </c>
      <c r="K162" s="185"/>
      <c r="L162" s="186">
        <f>'Balance Sheet'!I12</f>
        <v>38.643</v>
      </c>
      <c r="M162" s="186">
        <f>'Balance Sheet'!J12</f>
        <v>72.847</v>
      </c>
      <c r="N162" s="186">
        <f>'Balance Sheet'!K12</f>
        <v>70.425</v>
      </c>
      <c r="O162" s="186">
        <f>('Income Statement'!O11+'Income Statement'!N11+'Income Statement'!M11+'Income Statement'!L11)*O163</f>
        <v>85.45987271</v>
      </c>
      <c r="P162" s="185"/>
      <c r="Q162" s="186">
        <f>('Income Statement'!Q11+'Income Statement'!N11+'Income Statement'!O11+'Income Statement'!M11)*Q163</f>
        <v>43.10297514</v>
      </c>
      <c r="R162" s="186">
        <f>('Income Statement'!R11+'Income Statement'!Q11+'Income Statement'!O11+'Income Statement'!N11)*R163</f>
        <v>81.38158687</v>
      </c>
      <c r="S162" s="186">
        <f>('Income Statement'!S11+'Income Statement'!R11+'Income Statement'!Q11+'Income Statement'!O11)*S163</f>
        <v>46.31556344</v>
      </c>
      <c r="T162" s="186">
        <f>('Income Statement'!T11+'Income Statement'!S11+'Income Statement'!R11+'Income Statement'!P11)*T163</f>
        <v>162.1232921</v>
      </c>
      <c r="U162" s="185"/>
      <c r="V162" s="186">
        <f>('Income Statement'!V11+'Income Statement'!S11+'Income Statement'!T11+'Income Statement'!R11)*V163</f>
        <v>48.7647407</v>
      </c>
      <c r="W162" s="186">
        <f>('Income Statement'!W11+'Income Statement'!V11+'Income Statement'!T11+'Income Statement'!S11)*W163</f>
        <v>91.42260499</v>
      </c>
      <c r="X162" s="186">
        <f>('Income Statement'!X11+'Income Statement'!W11+'Income Statement'!V11+'Income Statement'!T11)*X163</f>
        <v>51.65459704</v>
      </c>
      <c r="Y162" s="186">
        <f>('Income Statement'!Y11+'Income Statement'!X11+'Income Statement'!W11+'Income Statement'!U11)*Y163</f>
        <v>182.1476393</v>
      </c>
      <c r="Z162" s="185"/>
      <c r="AA162" s="186">
        <f>('Income Statement'!AA11+'Income Statement'!X11+'Income Statement'!Y11+'Income Statement'!W11)*AA163</f>
        <v>53.86993363</v>
      </c>
      <c r="AB162" s="186">
        <f>('Income Statement'!AB11+'Income Statement'!AA11+'Income Statement'!Y11+'Income Statement'!X11)*AB163</f>
        <v>100.625698</v>
      </c>
      <c r="AC162" s="186">
        <f>('Income Statement'!AC11+'Income Statement'!AB11+'Income Statement'!AA11+'Income Statement'!Y11)*AC163</f>
        <v>56.68145327</v>
      </c>
      <c r="AD162" s="186">
        <f>('Income Statement'!AD11+'Income Statement'!AC11+'Income Statement'!AB11+'Income Statement'!Z11)*AD163</f>
        <v>200.2415723</v>
      </c>
      <c r="AE162" s="185"/>
      <c r="AF162" s="186">
        <f>('Income Statement'!AF11+'Income Statement'!AC11+'Income Statement'!AD11+'Income Statement'!AB11)*AF163</f>
        <v>58.78295235</v>
      </c>
      <c r="AG162" s="186">
        <f>('Income Statement'!AG11+'Income Statement'!AF11+'Income Statement'!AD11+'Income Statement'!AC11)*AG163</f>
        <v>109.5067662</v>
      </c>
      <c r="AH162" s="186">
        <f>('Income Statement'!AH11+'Income Statement'!AG11+'Income Statement'!AF11+'Income Statement'!AD11)*AH163</f>
        <v>61.50701028</v>
      </c>
      <c r="AI162" s="186">
        <f>('Income Statement'!AI11+'Income Statement'!AH11+'Income Statement'!AG11+'Income Statement'!AE11)*AI163</f>
        <v>217.5225732</v>
      </c>
      <c r="AJ162" s="185"/>
      <c r="AK162" s="186">
        <f>('Income Statement'!AK11+'Income Statement'!AH11+'Income Statement'!AI11+'Income Statement'!AG11)*AK163</f>
        <v>63.36913785</v>
      </c>
      <c r="AL162" s="186">
        <f>('Income Statement'!AL11+'Income Statement'!AK11+'Income Statement'!AI11+'Income Statement'!AH11)*AL163</f>
        <v>117.7220889</v>
      </c>
      <c r="AM162" s="186">
        <f>('Income Statement'!AM11+'Income Statement'!AL11+'Income Statement'!AK11+'Income Statement'!AI11)*AM163</f>
        <v>65.97286248</v>
      </c>
      <c r="AN162" s="186">
        <f>('Income Statement'!AN11+'Income Statement'!AM11+'Income Statement'!AL11+'Income Statement'!AJ11)*AN163</f>
        <v>233.9722178</v>
      </c>
      <c r="AO162" s="185"/>
      <c r="AP162" s="164"/>
      <c r="AQ162" s="164"/>
      <c r="AR162" s="164"/>
      <c r="AS162" s="164"/>
      <c r="AT162" s="164"/>
      <c r="AU162" s="164"/>
      <c r="AV162" s="164"/>
      <c r="AW162" s="164"/>
      <c r="AX162" s="164"/>
      <c r="AY162" s="164"/>
      <c r="AZ162" s="164"/>
      <c r="BA162" s="164"/>
      <c r="BB162" s="164"/>
      <c r="BC162" s="164"/>
      <c r="BD162" s="164"/>
      <c r="BE162" s="164"/>
      <c r="BF162" s="164"/>
      <c r="BG162" s="164"/>
    </row>
    <row r="163" ht="10.5" customHeight="1">
      <c r="A163" s="164" t="s">
        <v>280</v>
      </c>
      <c r="B163" s="222"/>
      <c r="C163" s="222"/>
      <c r="D163" s="222"/>
      <c r="E163" s="222">
        <f>+E162/('Income Statement'!E11+'Income Statement'!D11+'Income Statement'!C11+'Income Statement'!B11)</f>
        <v>0.04183507055</v>
      </c>
      <c r="F163" s="279"/>
      <c r="G163" s="222">
        <f>+G162/('Income Statement'!G11+'Income Statement'!E11+'Income Statement'!D11+'Income Statement'!C11)</f>
        <v>0.02283436583</v>
      </c>
      <c r="H163" s="222">
        <f>+H162/('Income Statement'!H11+'Income Statement'!G11+'Income Statement'!E11+'Income Statement'!D11)</f>
        <v>0.03840082944</v>
      </c>
      <c r="I163" s="222">
        <f>+I162/('Income Statement'!I11+'Income Statement'!H11+'Income Statement'!G11+'Income Statement'!E11)</f>
        <v>0.04415977544</v>
      </c>
      <c r="J163" s="222">
        <f>+J162/('Income Statement'!J11+'Income Statement'!I11+'Income Statement'!H11+'Income Statement'!G11)</f>
        <v>0.06528560814</v>
      </c>
      <c r="K163" s="279"/>
      <c r="L163" s="222">
        <f>+L162/('Income Statement'!L11+'Income Statement'!J11+'Income Statement'!I11+'Income Statement'!H11)</f>
        <v>0.03192847387</v>
      </c>
      <c r="M163" s="222">
        <f>+M162/('Income Statement'!M11+'Income Statement'!L11+'Income Statement'!J11+'Income Statement'!I11)</f>
        <v>0.05826655266</v>
      </c>
      <c r="N163" s="222">
        <f>+N162/('Income Statement'!N11+'Income Statement'!M11+'Income Statement'!K11+'Income Statement'!J11)</f>
        <v>0.03210874069</v>
      </c>
      <c r="O163" s="258">
        <f>J163</f>
        <v>0.06528560814</v>
      </c>
      <c r="P163" s="279"/>
      <c r="Q163" s="258">
        <f t="shared" ref="Q163:T163" si="345">L163</f>
        <v>0.03192847387</v>
      </c>
      <c r="R163" s="258">
        <f t="shared" si="345"/>
        <v>0.05826655266</v>
      </c>
      <c r="S163" s="258">
        <f t="shared" si="345"/>
        <v>0.03210874069</v>
      </c>
      <c r="T163" s="258">
        <f t="shared" si="345"/>
        <v>0.06528560814</v>
      </c>
      <c r="U163" s="279"/>
      <c r="V163" s="258">
        <f t="shared" ref="V163:Y163" si="346">Q163</f>
        <v>0.03192847387</v>
      </c>
      <c r="W163" s="258">
        <f t="shared" si="346"/>
        <v>0.05826655266</v>
      </c>
      <c r="X163" s="258">
        <f t="shared" si="346"/>
        <v>0.03210874069</v>
      </c>
      <c r="Y163" s="258">
        <f t="shared" si="346"/>
        <v>0.06528560814</v>
      </c>
      <c r="Z163" s="279"/>
      <c r="AA163" s="258">
        <f t="shared" ref="AA163:AD163" si="347">V163</f>
        <v>0.03192847387</v>
      </c>
      <c r="AB163" s="258">
        <f t="shared" si="347"/>
        <v>0.05826655266</v>
      </c>
      <c r="AC163" s="258">
        <f t="shared" si="347"/>
        <v>0.03210874069</v>
      </c>
      <c r="AD163" s="258">
        <f t="shared" si="347"/>
        <v>0.06528560814</v>
      </c>
      <c r="AE163" s="279"/>
      <c r="AF163" s="258">
        <f t="shared" ref="AF163:AI163" si="348">AA163</f>
        <v>0.03192847387</v>
      </c>
      <c r="AG163" s="258">
        <f t="shared" si="348"/>
        <v>0.05826655266</v>
      </c>
      <c r="AH163" s="258">
        <f t="shared" si="348"/>
        <v>0.03210874069</v>
      </c>
      <c r="AI163" s="258">
        <f t="shared" si="348"/>
        <v>0.06528560814</v>
      </c>
      <c r="AJ163" s="279"/>
      <c r="AK163" s="258">
        <f t="shared" ref="AK163:AN163" si="349">AF163</f>
        <v>0.03192847387</v>
      </c>
      <c r="AL163" s="258">
        <f t="shared" si="349"/>
        <v>0.05826655266</v>
      </c>
      <c r="AM163" s="258">
        <f t="shared" si="349"/>
        <v>0.03210874069</v>
      </c>
      <c r="AN163" s="258">
        <f t="shared" si="349"/>
        <v>0.06528560814</v>
      </c>
      <c r="AO163" s="279"/>
      <c r="AP163" s="164"/>
      <c r="AQ163" s="164"/>
      <c r="AR163" s="164"/>
      <c r="AS163" s="164"/>
      <c r="AT163" s="164"/>
      <c r="AU163" s="164"/>
      <c r="AV163" s="164"/>
      <c r="AW163" s="164"/>
      <c r="AX163" s="164"/>
      <c r="AY163" s="164"/>
      <c r="AZ163" s="164"/>
      <c r="BA163" s="164"/>
      <c r="BB163" s="164"/>
      <c r="BC163" s="164"/>
      <c r="BD163" s="164"/>
      <c r="BE163" s="164"/>
      <c r="BF163" s="164"/>
      <c r="BG163" s="164"/>
    </row>
    <row r="164" ht="10.5" customHeight="1">
      <c r="A164" s="164" t="s">
        <v>281</v>
      </c>
      <c r="B164" s="186"/>
      <c r="C164" s="186"/>
      <c r="D164" s="186"/>
      <c r="E164" s="186">
        <f>+E162/('Income Statement'!E11+'Income Statement'!D11+'Income Statement'!C11+'Income Statement'!B11)*365</f>
        <v>15.26980075</v>
      </c>
      <c r="F164" s="185"/>
      <c r="G164" s="186">
        <f>+G162/('Income Statement'!G11+'Income Statement'!E11+'Income Statement'!D11+'Income Statement'!C11)*365</f>
        <v>8.334543528</v>
      </c>
      <c r="H164" s="186">
        <f>+H162/('Income Statement'!H11+'Income Statement'!G11+'Income Statement'!E11+'Income Statement'!D11)*365</f>
        <v>14.01630275</v>
      </c>
      <c r="I164" s="186">
        <f>+I162/('Income Statement'!I11+'Income Statement'!H11+'Income Statement'!G11+'Income Statement'!E11)*365</f>
        <v>16.11831804</v>
      </c>
      <c r="J164" s="186">
        <f>+J162/('Income Statement'!J11+'Income Statement'!I11+'Income Statement'!H11+'Income Statement'!G11)*365</f>
        <v>23.82924697</v>
      </c>
      <c r="K164" s="185"/>
      <c r="L164" s="186">
        <f>+L162/('Income Statement'!L11+'Income Statement'!J11+'Income Statement'!I11+'Income Statement'!H11)*365</f>
        <v>11.65389296</v>
      </c>
      <c r="M164" s="186">
        <f>+M162/('Income Statement'!M11+'Income Statement'!L11+'Income Statement'!J11+'Income Statement'!I11)*365</f>
        <v>21.26729172</v>
      </c>
      <c r="N164" s="186">
        <f>+N162/('Income Statement'!N11+'Income Statement'!M11+'Income Statement'!K11+'Income Statement'!J11)*365</f>
        <v>11.71969035</v>
      </c>
      <c r="O164" s="186">
        <f>+O162/('Income Statement'!O11+'Income Statement'!N11+'Income Statement'!M11+'Income Statement'!L11)*365</f>
        <v>23.82924697</v>
      </c>
      <c r="P164" s="185"/>
      <c r="Q164" s="186">
        <f>+Q162/('Income Statement'!Q11+'Income Statement'!P11+'Income Statement'!O11+'Income Statement'!M11)*365</f>
        <v>6.75608003</v>
      </c>
      <c r="R164" s="186">
        <f>+R162/('Income Statement'!R11+'Income Statement'!Q11+'Income Statement'!P11+'Income Statement'!N11)*365</f>
        <v>12.66924249</v>
      </c>
      <c r="S164" s="186">
        <f>+S162/('Income Statement'!S11+'Income Statement'!R11+'Income Statement'!Q11+'Income Statement'!O11)*365</f>
        <v>11.71969035</v>
      </c>
      <c r="T164" s="186">
        <f>+T162/('Income Statement'!T11+'Income Statement'!S11+'Income Statement'!R11+'Income Statement'!P11)*365</f>
        <v>23.82924697</v>
      </c>
      <c r="U164" s="185"/>
      <c r="V164" s="186">
        <f>+V162/('Income Statement'!V11+'Income Statement'!U11+'Income Statement'!T11+'Income Statement'!R11)*365</f>
        <v>6.734114304</v>
      </c>
      <c r="W164" s="186">
        <f>+W162/('Income Statement'!W11+'Income Statement'!V11+'Income Statement'!U11+'Income Statement'!S11)*365</f>
        <v>12.59040706</v>
      </c>
      <c r="X164" s="186">
        <f>+X162/('Income Statement'!X11+'Income Statement'!W11+'Income Statement'!V11+'Income Statement'!T11)*365</f>
        <v>11.71969035</v>
      </c>
      <c r="Y164" s="186">
        <f>+Y162/('Income Statement'!Y11+'Income Statement'!X11+'Income Statement'!W11+'Income Statement'!U11)*365</f>
        <v>23.82924697</v>
      </c>
      <c r="Z164" s="185"/>
      <c r="AA164" s="186">
        <f>+AA162/('Income Statement'!AA11+'Income Statement'!Z11+'Income Statement'!Y11+'Income Statement'!W11)*365</f>
        <v>6.727860413</v>
      </c>
      <c r="AB164" s="186">
        <f>+AB162/('Income Statement'!AB11+'Income Statement'!AA11+'Income Statement'!Z11+'Income Statement'!X11)*365</f>
        <v>12.55607054</v>
      </c>
      <c r="AC164" s="186">
        <f>+AC162/('Income Statement'!AC11+'Income Statement'!AB11+'Income Statement'!AA11+'Income Statement'!Y11)*365</f>
        <v>11.71969035</v>
      </c>
      <c r="AD164" s="186">
        <f>+AD162/('Income Statement'!AD11+'Income Statement'!AC11+'Income Statement'!AB11+'Income Statement'!Z11)*365</f>
        <v>23.82924697</v>
      </c>
      <c r="AE164" s="185"/>
      <c r="AF164" s="186">
        <f>+AF162/('Income Statement'!AF11+'Income Statement'!AE11+'Income Statement'!AD11+'Income Statement'!AB11)*365</f>
        <v>6.721497324</v>
      </c>
      <c r="AG164" s="186">
        <f>+AG162/('Income Statement'!AG11+'Income Statement'!AF11+'Income Statement'!AE11+'Income Statement'!AC11)*365</f>
        <v>12.52297939</v>
      </c>
      <c r="AH164" s="186">
        <f>+AH162/('Income Statement'!AH11+'Income Statement'!AG11+'Income Statement'!AF11+'Income Statement'!AD11)*365</f>
        <v>11.71969035</v>
      </c>
      <c r="AI164" s="186">
        <f>+AI162/('Income Statement'!AI11+'Income Statement'!AH11+'Income Statement'!AG11+'Income Statement'!AE11)*365</f>
        <v>23.82924697</v>
      </c>
      <c r="AJ164" s="185"/>
      <c r="AK164" s="186">
        <f>+AK162/('Income Statement'!AK11+'Income Statement'!AJ11+'Income Statement'!AI11+'Income Statement'!AG11)*365</f>
        <v>6.711590665</v>
      </c>
      <c r="AL164" s="186">
        <f>+AL162/('Income Statement'!AL11+'Income Statement'!AK11+'Income Statement'!AJ11+'Income Statement'!AH11)*365</f>
        <v>12.47932174</v>
      </c>
      <c r="AM164" s="186">
        <f>+AM162/('Income Statement'!AM11+'Income Statement'!AL11+'Income Statement'!AK11+'Income Statement'!AI11)*365</f>
        <v>11.71969035</v>
      </c>
      <c r="AN164" s="186">
        <f>+AN162/('Income Statement'!AN11+'Income Statement'!AM11+'Income Statement'!AL11+'Income Statement'!AJ11)*365</f>
        <v>23.82924697</v>
      </c>
      <c r="AO164" s="185"/>
      <c r="AP164" s="164"/>
      <c r="AQ164" s="164"/>
      <c r="AR164" s="164"/>
      <c r="AS164" s="164"/>
      <c r="AT164" s="164"/>
      <c r="AU164" s="164"/>
      <c r="AV164" s="164"/>
      <c r="AW164" s="164"/>
      <c r="AX164" s="164"/>
      <c r="AY164" s="164"/>
      <c r="AZ164" s="164"/>
      <c r="BA164" s="164"/>
      <c r="BB164" s="164"/>
      <c r="BC164" s="164"/>
      <c r="BD164" s="164"/>
      <c r="BE164" s="164"/>
      <c r="BF164" s="164"/>
      <c r="BG164" s="164"/>
    </row>
    <row r="165" ht="10.5" customHeight="1">
      <c r="A165" s="164"/>
      <c r="B165" s="210"/>
      <c r="C165" s="210"/>
      <c r="D165" s="210"/>
      <c r="E165" s="165"/>
      <c r="F165" s="207"/>
      <c r="G165" s="210"/>
      <c r="H165" s="210"/>
      <c r="I165" s="210"/>
      <c r="J165" s="165"/>
      <c r="K165" s="207"/>
      <c r="L165" s="210"/>
      <c r="M165" s="210"/>
      <c r="N165" s="210"/>
      <c r="O165" s="165"/>
      <c r="P165" s="207"/>
      <c r="Q165" s="165"/>
      <c r="R165" s="165"/>
      <c r="S165" s="165"/>
      <c r="T165" s="165"/>
      <c r="U165" s="207"/>
      <c r="V165" s="165"/>
      <c r="W165" s="165"/>
      <c r="X165" s="165"/>
      <c r="Y165" s="165"/>
      <c r="Z165" s="207"/>
      <c r="AA165" s="165"/>
      <c r="AB165" s="165"/>
      <c r="AC165" s="165"/>
      <c r="AD165" s="165"/>
      <c r="AE165" s="207"/>
      <c r="AF165" s="165"/>
      <c r="AG165" s="165"/>
      <c r="AH165" s="165"/>
      <c r="AI165" s="165"/>
      <c r="AJ165" s="207"/>
      <c r="AK165" s="165"/>
      <c r="AL165" s="165"/>
      <c r="AM165" s="165"/>
      <c r="AN165" s="165"/>
      <c r="AO165" s="207"/>
      <c r="AP165" s="164"/>
      <c r="AQ165" s="164"/>
      <c r="AR165" s="164"/>
      <c r="AS165" s="164"/>
      <c r="AT165" s="164"/>
      <c r="AU165" s="164"/>
      <c r="AV165" s="164"/>
      <c r="AW165" s="164"/>
      <c r="AX165" s="164"/>
      <c r="AY165" s="164"/>
      <c r="AZ165" s="164"/>
      <c r="BA165" s="164"/>
      <c r="BB165" s="164"/>
      <c r="BC165" s="164"/>
      <c r="BD165" s="164"/>
      <c r="BE165" s="164"/>
      <c r="BF165" s="164"/>
      <c r="BG165" s="164"/>
    </row>
    <row r="166" ht="10.5" customHeight="1">
      <c r="A166" s="198" t="s">
        <v>282</v>
      </c>
      <c r="B166" s="213"/>
      <c r="C166" s="213"/>
      <c r="D166" s="213"/>
      <c r="E166" s="215"/>
      <c r="F166" s="216"/>
      <c r="G166" s="213"/>
      <c r="H166" s="213"/>
      <c r="I166" s="213"/>
      <c r="J166" s="215"/>
      <c r="K166" s="216"/>
      <c r="L166" s="213"/>
      <c r="M166" s="213"/>
      <c r="N166" s="213"/>
      <c r="O166" s="215"/>
      <c r="P166" s="216"/>
      <c r="Q166" s="215"/>
      <c r="R166" s="215"/>
      <c r="S166" s="215"/>
      <c r="T166" s="215"/>
      <c r="U166" s="216"/>
      <c r="V166" s="215"/>
      <c r="W166" s="215"/>
      <c r="X166" s="215"/>
      <c r="Y166" s="215"/>
      <c r="Z166" s="216"/>
      <c r="AA166" s="215"/>
      <c r="AB166" s="215"/>
      <c r="AC166" s="215"/>
      <c r="AD166" s="215"/>
      <c r="AE166" s="216"/>
      <c r="AF166" s="215"/>
      <c r="AG166" s="215"/>
      <c r="AH166" s="215"/>
      <c r="AI166" s="215"/>
      <c r="AJ166" s="216"/>
      <c r="AK166" s="215"/>
      <c r="AL166" s="215"/>
      <c r="AM166" s="215"/>
      <c r="AN166" s="215"/>
      <c r="AO166" s="216"/>
      <c r="AP166" s="164"/>
      <c r="AQ166" s="164"/>
      <c r="AR166" s="164"/>
      <c r="AS166" s="164"/>
      <c r="AT166" s="164"/>
      <c r="AU166" s="164"/>
      <c r="AV166" s="164"/>
      <c r="AW166" s="164"/>
      <c r="AX166" s="164"/>
      <c r="AY166" s="164"/>
      <c r="AZ166" s="164"/>
      <c r="BA166" s="164"/>
      <c r="BB166" s="164"/>
      <c r="BC166" s="164"/>
      <c r="BD166" s="164"/>
      <c r="BE166" s="164"/>
      <c r="BF166" s="164"/>
      <c r="BG166" s="164"/>
    </row>
    <row r="167" ht="10.5" customHeight="1">
      <c r="A167" s="164" t="s">
        <v>282</v>
      </c>
      <c r="B167" s="186"/>
      <c r="C167" s="186"/>
      <c r="D167" s="186"/>
      <c r="E167" s="186">
        <f>'Balance Sheet'!B14</f>
        <v>4.677</v>
      </c>
      <c r="F167" s="185"/>
      <c r="G167" s="186">
        <f>'Balance Sheet'!D14</f>
        <v>4.959</v>
      </c>
      <c r="H167" s="186">
        <f>'Balance Sheet'!E14</f>
        <v>5.2</v>
      </c>
      <c r="I167" s="186">
        <f>'Balance Sheet'!F14</f>
        <v>4.858</v>
      </c>
      <c r="J167" s="186">
        <f>'Balance Sheet'!G14</f>
        <v>6.146</v>
      </c>
      <c r="K167" s="185"/>
      <c r="L167" s="186">
        <f>'Balance Sheet'!I14</f>
        <v>1.974</v>
      </c>
      <c r="M167" s="186">
        <f>'Balance Sheet'!J14</f>
        <v>4.347</v>
      </c>
      <c r="N167" s="186">
        <f>'Balance Sheet'!K14</f>
        <v>6.982</v>
      </c>
      <c r="O167" s="186">
        <f>('Income Statement'!O13+'Income Statement'!N13+'Income Statement'!M13+'Income Statement'!L13)*O168</f>
        <v>7.02911495</v>
      </c>
      <c r="P167" s="185"/>
      <c r="Q167" s="186">
        <f>('Income Statement'!Q13+'Income Statement'!N13+'Income Statement'!O13+'Income Statement'!M13)*Q168</f>
        <v>2.232356286</v>
      </c>
      <c r="R167" s="186">
        <f>('Income Statement'!R13+'Income Statement'!Q13+'Income Statement'!O13+'Income Statement'!N13)*R168</f>
        <v>4.860593036</v>
      </c>
      <c r="S167" s="186">
        <f>('Income Statement'!S13+'Income Statement'!R13+'Income Statement'!Q13+'Income Statement'!O13)*S168</f>
        <v>4.213417578</v>
      </c>
      <c r="T167" s="186">
        <f>('Income Statement'!T13+'Income Statement'!S13+'Income Statement'!R13+'Income Statement'!P13)*T168</f>
        <v>14.00709753</v>
      </c>
      <c r="U167" s="185"/>
      <c r="V167" s="186">
        <f>('Income Statement'!V13+'Income Statement'!S13+'Income Statement'!T13+'Income Statement'!R13)*V168</f>
        <v>2.446319456</v>
      </c>
      <c r="W167" s="186">
        <f>('Income Statement'!W13+'Income Statement'!V13+'Income Statement'!T13+'Income Statement'!S13)*W168</f>
        <v>5.295121576</v>
      </c>
      <c r="X167" s="186">
        <f>('Income Statement'!X13+'Income Statement'!W13+'Income Statement'!V13+'Income Statement'!T13)*X168</f>
        <v>4.561048872</v>
      </c>
      <c r="Y167" s="186">
        <f>('Income Statement'!Y13+'Income Statement'!X13+'Income Statement'!W13+'Income Statement'!U13)*Y168</f>
        <v>15.2331278</v>
      </c>
      <c r="Z167" s="185"/>
      <c r="AA167" s="186">
        <f>('Income Statement'!AA13+'Income Statement'!X13+'Income Statement'!Y13+'Income Statement'!W13)*AA168</f>
        <v>2.6390659</v>
      </c>
      <c r="AB167" s="186">
        <f>('Income Statement'!AB13+'Income Statement'!AA13+'Income Statement'!Y13+'Income Statement'!X13)*AB168</f>
        <v>5.738141119</v>
      </c>
      <c r="AC167" s="186">
        <f>('Income Statement'!AC13+'Income Statement'!AB13+'Income Statement'!AA13+'Income Statement'!Y13)*AC168</f>
        <v>4.964913682</v>
      </c>
      <c r="AD167" s="186">
        <f>('Income Statement'!AD13+'Income Statement'!AC13+'Income Statement'!AB13+'Income Statement'!Z13)*AD168</f>
        <v>16.47256879</v>
      </c>
      <c r="AE167" s="185"/>
      <c r="AF167" s="186">
        <f>('Income Statement'!AF13+'Income Statement'!AC13+'Income Statement'!AD13+'Income Statement'!AB13)*AF168</f>
        <v>2.878428029</v>
      </c>
      <c r="AG167" s="186">
        <f>('Income Statement'!AG13+'Income Statement'!AF13+'Income Statement'!AD13+'Income Statement'!AC13)*AG168</f>
        <v>6.241316296</v>
      </c>
      <c r="AH167" s="186">
        <f>('Income Statement'!AH13+'Income Statement'!AG13+'Income Statement'!AF13+'Income Statement'!AD13)*AH168</f>
        <v>5.384269194</v>
      </c>
      <c r="AI167" s="186">
        <f>('Income Statement'!AI13+'Income Statement'!AH13+'Income Statement'!AG13+'Income Statement'!AE13)*AI168</f>
        <v>17.86706289</v>
      </c>
      <c r="AJ167" s="185"/>
      <c r="AK167" s="186">
        <f>('Income Statement'!AK13+'Income Statement'!AH13+'Income Statement'!AI13+'Income Statement'!AG13)*AK168</f>
        <v>3.101851197</v>
      </c>
      <c r="AL167" s="186">
        <f>('Income Statement'!AL13+'Income Statement'!AK13+'Income Statement'!AI13+'Income Statement'!AH13)*AL168</f>
        <v>6.706597072</v>
      </c>
      <c r="AM167" s="186">
        <f>('Income Statement'!AM13+'Income Statement'!AL13+'Income Statement'!AK13+'Income Statement'!AI13)*AM168</f>
        <v>5.772225009</v>
      </c>
      <c r="AN167" s="186">
        <f>('Income Statement'!AN13+'Income Statement'!AM13+'Income Statement'!AL13+'Income Statement'!AJ13)*AN168</f>
        <v>19.18816503</v>
      </c>
      <c r="AO167" s="185"/>
      <c r="AP167" s="164"/>
      <c r="AQ167" s="164"/>
      <c r="AR167" s="164"/>
      <c r="AS167" s="164"/>
      <c r="AT167" s="164"/>
      <c r="AU167" s="164"/>
      <c r="AV167" s="164"/>
      <c r="AW167" s="164"/>
      <c r="AX167" s="164"/>
      <c r="AY167" s="164"/>
      <c r="AZ167" s="164"/>
      <c r="BA167" s="164"/>
      <c r="BB167" s="164"/>
      <c r="BC167" s="164"/>
      <c r="BD167" s="164"/>
      <c r="BE167" s="164"/>
      <c r="BF167" s="164"/>
      <c r="BG167" s="164"/>
    </row>
    <row r="168" ht="10.5" customHeight="1">
      <c r="A168" s="164" t="s">
        <v>283</v>
      </c>
      <c r="B168" s="222"/>
      <c r="C168" s="222"/>
      <c r="D168" s="222"/>
      <c r="E168" s="222">
        <f>+E167/('Income Statement'!E13+'Income Statement'!D13+'Income Statement'!C13+'Income Statement'!B13)</f>
        <v>0.02461229194</v>
      </c>
      <c r="F168" s="279"/>
      <c r="G168" s="222">
        <f>+G167/('Income Statement'!G13+'Income Statement'!E13+'Income Statement'!D13+'Income Statement'!C13)</f>
        <v>0.02614596185</v>
      </c>
      <c r="H168" s="222">
        <f>+H167/('Income Statement'!H13+'Income Statement'!G13+'Income Statement'!E13+'Income Statement'!D13)</f>
        <v>0.02854899722</v>
      </c>
      <c r="I168" s="222">
        <f>+I167/('Income Statement'!I13+'Income Statement'!H13+'Income Statement'!G13+'Income Statement'!E13)</f>
        <v>0.02790462569</v>
      </c>
      <c r="J168" s="222">
        <f>+J167/('Income Statement'!J13+'Income Statement'!I13+'Income Statement'!H13+'Income Statement'!G13)</f>
        <v>0.03117866093</v>
      </c>
      <c r="K168" s="279"/>
      <c r="L168" s="222">
        <f>+L167/('Income Statement'!L13+'Income Statement'!J13+'Income Statement'!I13+'Income Statement'!H13)</f>
        <v>0.009839791839</v>
      </c>
      <c r="M168" s="222">
        <f>+M167/('Income Statement'!M13+'Income Statement'!L13+'Income Statement'!J13+'Income Statement'!I13)</f>
        <v>0.02088869454</v>
      </c>
      <c r="N168" s="222">
        <f>+N167/('Income Statement'!N13+'Income Statement'!M13+'Income Statement'!K13+'Income Statement'!J13)</f>
        <v>0.01766727228</v>
      </c>
      <c r="O168" s="258">
        <f>J168</f>
        <v>0.03117866093</v>
      </c>
      <c r="P168" s="279"/>
      <c r="Q168" s="258">
        <f t="shared" ref="Q168:T168" si="350">L168</f>
        <v>0.009839791839</v>
      </c>
      <c r="R168" s="258">
        <f t="shared" si="350"/>
        <v>0.02088869454</v>
      </c>
      <c r="S168" s="258">
        <f t="shared" si="350"/>
        <v>0.01766727228</v>
      </c>
      <c r="T168" s="258">
        <f t="shared" si="350"/>
        <v>0.03117866093</v>
      </c>
      <c r="U168" s="279"/>
      <c r="V168" s="258">
        <f t="shared" ref="V168:Y168" si="351">Q168</f>
        <v>0.009839791839</v>
      </c>
      <c r="W168" s="258">
        <f t="shared" si="351"/>
        <v>0.02088869454</v>
      </c>
      <c r="X168" s="258">
        <f t="shared" si="351"/>
        <v>0.01766727228</v>
      </c>
      <c r="Y168" s="258">
        <f t="shared" si="351"/>
        <v>0.03117866093</v>
      </c>
      <c r="Z168" s="279"/>
      <c r="AA168" s="258">
        <f t="shared" ref="AA168:AD168" si="352">V168</f>
        <v>0.009839791839</v>
      </c>
      <c r="AB168" s="258">
        <f t="shared" si="352"/>
        <v>0.02088869454</v>
      </c>
      <c r="AC168" s="258">
        <f t="shared" si="352"/>
        <v>0.01766727228</v>
      </c>
      <c r="AD168" s="258">
        <f t="shared" si="352"/>
        <v>0.03117866093</v>
      </c>
      <c r="AE168" s="279"/>
      <c r="AF168" s="258">
        <f t="shared" ref="AF168:AI168" si="353">AA168</f>
        <v>0.009839791839</v>
      </c>
      <c r="AG168" s="258">
        <f t="shared" si="353"/>
        <v>0.02088869454</v>
      </c>
      <c r="AH168" s="258">
        <f t="shared" si="353"/>
        <v>0.01766727228</v>
      </c>
      <c r="AI168" s="258">
        <f t="shared" si="353"/>
        <v>0.03117866093</v>
      </c>
      <c r="AJ168" s="279"/>
      <c r="AK168" s="258">
        <f t="shared" ref="AK168:AN168" si="354">AF168</f>
        <v>0.009839791839</v>
      </c>
      <c r="AL168" s="258">
        <f t="shared" si="354"/>
        <v>0.02088869454</v>
      </c>
      <c r="AM168" s="258">
        <f t="shared" si="354"/>
        <v>0.01766727228</v>
      </c>
      <c r="AN168" s="258">
        <f t="shared" si="354"/>
        <v>0.03117866093</v>
      </c>
      <c r="AO168" s="279"/>
      <c r="AP168" s="164"/>
      <c r="AQ168" s="164"/>
      <c r="AR168" s="164"/>
      <c r="AS168" s="164"/>
      <c r="AT168" s="164"/>
      <c r="AU168" s="164"/>
      <c r="AV168" s="164"/>
      <c r="AW168" s="164"/>
      <c r="AX168" s="164"/>
      <c r="AY168" s="164"/>
      <c r="AZ168" s="164"/>
      <c r="BA168" s="164"/>
      <c r="BB168" s="164"/>
      <c r="BC168" s="164"/>
      <c r="BD168" s="164"/>
      <c r="BE168" s="164"/>
      <c r="BF168" s="164"/>
      <c r="BG168" s="164"/>
    </row>
    <row r="169" ht="10.5" customHeight="1">
      <c r="A169" s="164" t="s">
        <v>284</v>
      </c>
      <c r="B169" s="165"/>
      <c r="C169" s="165"/>
      <c r="D169" s="165"/>
      <c r="E169" s="165">
        <f>+E167/('Income Statement'!E13+'Income Statement'!D13+'Income Statement'!C13+'Income Statement'!B13)*365</f>
        <v>8.983486557</v>
      </c>
      <c r="F169" s="207"/>
      <c r="G169" s="165">
        <f>+G167/('Income Statement'!G13+'Income Statement'!E13+'Income Statement'!D13+'Income Statement'!C13)*365</f>
        <v>9.543276075</v>
      </c>
      <c r="H169" s="165">
        <f>+H167/('Income Statement'!H13+'Income Statement'!G13+'Income Statement'!E13+'Income Statement'!D13)*365</f>
        <v>10.42038398</v>
      </c>
      <c r="I169" s="165">
        <f>+I167/('Income Statement'!I13+'Income Statement'!H13+'Income Statement'!G13+'Income Statement'!E13)*365</f>
        <v>10.18518838</v>
      </c>
      <c r="J169" s="165">
        <f>+J167/('Income Statement'!J13+'Income Statement'!I13+'Income Statement'!H13+'Income Statement'!G13)*365</f>
        <v>11.38021124</v>
      </c>
      <c r="K169" s="207"/>
      <c r="L169" s="165">
        <f>+L167/('Income Statement'!L13+'Income Statement'!J13+'Income Statement'!I13+'Income Statement'!H13)*365</f>
        <v>3.591524021</v>
      </c>
      <c r="M169" s="165">
        <f>+M167/('Income Statement'!M13+'Income Statement'!L13+'Income Statement'!J13+'Income Statement'!I13)*365</f>
        <v>7.624373507</v>
      </c>
      <c r="N169" s="165">
        <f>+N167/('Income Statement'!N13+'Income Statement'!M13+'Income Statement'!K13+'Income Statement'!J13)*365</f>
        <v>6.448554381</v>
      </c>
      <c r="O169" s="165">
        <f>+O167/('Income Statement'!O13+'Income Statement'!N13+'Income Statement'!M13+'Income Statement'!L13)*365</f>
        <v>11.38021124</v>
      </c>
      <c r="P169" s="207"/>
      <c r="Q169" s="165">
        <f>+Q167/('Income Statement'!Q13+'Income Statement'!P13+'Income Statement'!O13+'Income Statement'!M13)*365</f>
        <v>2.067197858</v>
      </c>
      <c r="R169" s="165">
        <f>+R167/('Income Statement'!R13+'Income Statement'!Q13+'Income Statement'!P13+'Income Statement'!N13)*365</f>
        <v>4.75949447</v>
      </c>
      <c r="S169" s="165">
        <f>+S167/('Income Statement'!S13+'Income Statement'!R13+'Income Statement'!Q13+'Income Statement'!O13)*365</f>
        <v>6.448554381</v>
      </c>
      <c r="T169" s="165">
        <f>+T167/('Income Statement'!T13+'Income Statement'!S13+'Income Statement'!R13+'Income Statement'!P13)*365</f>
        <v>11.38021124</v>
      </c>
      <c r="U169" s="207"/>
      <c r="V169" s="165">
        <f>+V167/('Income Statement'!V13+'Income Statement'!U13+'Income Statement'!T13+'Income Statement'!R13)*365</f>
        <v>2.065105381</v>
      </c>
      <c r="W169" s="165">
        <f>+W167/('Income Statement'!W13+'Income Statement'!V13+'Income Statement'!U13+'Income Statement'!S13)*365</f>
        <v>4.753414142</v>
      </c>
      <c r="X169" s="165">
        <f>+X167/('Income Statement'!X13+'Income Statement'!W13+'Income Statement'!V13+'Income Statement'!T13)*365</f>
        <v>6.448554381</v>
      </c>
      <c r="Y169" s="165">
        <f>+Y167/('Income Statement'!Y13+'Income Statement'!X13+'Income Statement'!W13+'Income Statement'!U13)*365</f>
        <v>11.38021124</v>
      </c>
      <c r="Z169" s="207"/>
      <c r="AA169" s="165">
        <f>+AA167/('Income Statement'!AA13+'Income Statement'!Z13+'Income Statement'!Y13+'Income Statement'!W13)*365</f>
        <v>2.070417816</v>
      </c>
      <c r="AB169" s="165">
        <f>+AB167/('Income Statement'!AB13+'Income Statement'!AA13+'Income Statement'!Z13+'Income Statement'!X13)*365</f>
        <v>4.779023197</v>
      </c>
      <c r="AC169" s="165">
        <f>+AC167/('Income Statement'!AC13+'Income Statement'!AB13+'Income Statement'!AA13+'Income Statement'!Y13)*365</f>
        <v>6.448554381</v>
      </c>
      <c r="AD169" s="165">
        <f>+AD167/('Income Statement'!AD13+'Income Statement'!AC13+'Income Statement'!AB13+'Income Statement'!Z13)*365</f>
        <v>11.38021124</v>
      </c>
      <c r="AE169" s="207"/>
      <c r="AF169" s="165">
        <f>+AF167/('Income Statement'!AF13+'Income Statement'!AE13+'Income Statement'!AD13+'Income Statement'!AB13)*365</f>
        <v>2.069847673</v>
      </c>
      <c r="AG169" s="165">
        <f>+AG167/('Income Statement'!AG13+'Income Statement'!AF13+'Income Statement'!AE13+'Income Statement'!AC13)*365</f>
        <v>4.768892331</v>
      </c>
      <c r="AH169" s="165">
        <f>+AH167/('Income Statement'!AH13+'Income Statement'!AG13+'Income Statement'!AF13+'Income Statement'!AD13)*365</f>
        <v>6.448554381</v>
      </c>
      <c r="AI169" s="165">
        <f>+AI167/('Income Statement'!AI13+'Income Statement'!AH13+'Income Statement'!AG13+'Income Statement'!AE13)*365</f>
        <v>11.38021124</v>
      </c>
      <c r="AJ169" s="207"/>
      <c r="AK169" s="165">
        <f>+AK167/('Income Statement'!AK13+'Income Statement'!AJ13+'Income Statement'!AI13+'Income Statement'!AG13)*365</f>
        <v>2.068881934</v>
      </c>
      <c r="AL169" s="165">
        <f>+AL167/('Income Statement'!AL13+'Income Statement'!AK13+'Income Statement'!AJ13+'Income Statement'!AH13)*365</f>
        <v>4.755741433</v>
      </c>
      <c r="AM169" s="165">
        <f>+AM167/('Income Statement'!AM13+'Income Statement'!AL13+'Income Statement'!AK13+'Income Statement'!AI13)*365</f>
        <v>6.448554381</v>
      </c>
      <c r="AN169" s="165">
        <f>+AN167/('Income Statement'!AN13+'Income Statement'!AM13+'Income Statement'!AL13+'Income Statement'!AJ13)*365</f>
        <v>11.38021124</v>
      </c>
      <c r="AO169" s="207"/>
      <c r="AP169" s="164"/>
      <c r="AQ169" s="164"/>
      <c r="AR169" s="164"/>
      <c r="AS169" s="164"/>
      <c r="AT169" s="164"/>
      <c r="AU169" s="164"/>
      <c r="AV169" s="164"/>
      <c r="AW169" s="164"/>
      <c r="AX169" s="164"/>
      <c r="AY169" s="164"/>
      <c r="AZ169" s="164"/>
      <c r="BA169" s="164"/>
      <c r="BB169" s="164"/>
      <c r="BC169" s="164"/>
      <c r="BD169" s="164"/>
      <c r="BE169" s="164"/>
      <c r="BF169" s="164"/>
      <c r="BG169" s="164"/>
    </row>
    <row r="170" ht="10.5" customHeight="1">
      <c r="A170" s="181"/>
      <c r="B170" s="165"/>
      <c r="C170" s="165"/>
      <c r="D170" s="165"/>
      <c r="E170" s="165"/>
      <c r="F170" s="182"/>
      <c r="G170" s="165"/>
      <c r="H170" s="165"/>
      <c r="I170" s="165"/>
      <c r="J170" s="165"/>
      <c r="K170" s="207"/>
      <c r="L170" s="165"/>
      <c r="M170" s="165"/>
      <c r="N170" s="165"/>
      <c r="O170" s="165"/>
      <c r="P170" s="207"/>
      <c r="Q170" s="165"/>
      <c r="R170" s="165"/>
      <c r="S170" s="165"/>
      <c r="T170" s="165"/>
      <c r="U170" s="207"/>
      <c r="V170" s="165"/>
      <c r="W170" s="165"/>
      <c r="X170" s="165"/>
      <c r="Y170" s="165"/>
      <c r="Z170" s="207"/>
      <c r="AA170" s="165"/>
      <c r="AB170" s="165"/>
      <c r="AC170" s="165"/>
      <c r="AD170" s="165"/>
      <c r="AE170" s="207"/>
      <c r="AF170" s="165"/>
      <c r="AG170" s="165"/>
      <c r="AH170" s="165"/>
      <c r="AI170" s="165"/>
      <c r="AJ170" s="207"/>
      <c r="AK170" s="165"/>
      <c r="AL170" s="165"/>
      <c r="AM170" s="165"/>
      <c r="AN170" s="165"/>
      <c r="AO170" s="207"/>
      <c r="AP170" s="164"/>
      <c r="AQ170" s="164"/>
      <c r="AR170" s="164"/>
      <c r="AS170" s="164"/>
      <c r="AT170" s="164"/>
      <c r="AU170" s="164"/>
      <c r="AV170" s="164"/>
      <c r="AW170" s="164"/>
      <c r="AX170" s="164"/>
      <c r="AY170" s="164"/>
      <c r="AZ170" s="164"/>
      <c r="BA170" s="164"/>
      <c r="BB170" s="164"/>
      <c r="BC170" s="164"/>
      <c r="BD170" s="164"/>
      <c r="BE170" s="164"/>
      <c r="BF170" s="164"/>
      <c r="BG170" s="164"/>
    </row>
    <row r="171" ht="10.5" customHeight="1">
      <c r="A171" s="198" t="s">
        <v>285</v>
      </c>
      <c r="B171" s="213"/>
      <c r="C171" s="213"/>
      <c r="D171" s="213"/>
      <c r="E171" s="215"/>
      <c r="F171" s="216"/>
      <c r="G171" s="213"/>
      <c r="H171" s="213"/>
      <c r="I171" s="213"/>
      <c r="J171" s="215"/>
      <c r="K171" s="216"/>
      <c r="L171" s="213"/>
      <c r="M171" s="213"/>
      <c r="N171" s="213"/>
      <c r="O171" s="215"/>
      <c r="P171" s="216"/>
      <c r="Q171" s="215"/>
      <c r="R171" s="215"/>
      <c r="S171" s="215"/>
      <c r="T171" s="215"/>
      <c r="U171" s="216"/>
      <c r="V171" s="215"/>
      <c r="W171" s="215"/>
      <c r="X171" s="215"/>
      <c r="Y171" s="215"/>
      <c r="Z171" s="216"/>
      <c r="AA171" s="215"/>
      <c r="AB171" s="215"/>
      <c r="AC171" s="215"/>
      <c r="AD171" s="215"/>
      <c r="AE171" s="216"/>
      <c r="AF171" s="215"/>
      <c r="AG171" s="215"/>
      <c r="AH171" s="215"/>
      <c r="AI171" s="215"/>
      <c r="AJ171" s="216"/>
      <c r="AK171" s="215"/>
      <c r="AL171" s="215"/>
      <c r="AM171" s="215"/>
      <c r="AN171" s="215"/>
      <c r="AO171" s="216"/>
      <c r="AP171" s="164"/>
      <c r="AQ171" s="164"/>
      <c r="AR171" s="164"/>
      <c r="AS171" s="164"/>
      <c r="AT171" s="164"/>
      <c r="AU171" s="164"/>
      <c r="AV171" s="164"/>
      <c r="AW171" s="164"/>
      <c r="AX171" s="164"/>
      <c r="AY171" s="164"/>
      <c r="AZ171" s="164"/>
      <c r="BA171" s="164"/>
      <c r="BB171" s="164"/>
      <c r="BC171" s="164"/>
      <c r="BD171" s="164"/>
      <c r="BE171" s="164"/>
      <c r="BF171" s="164"/>
      <c r="BG171" s="164"/>
    </row>
    <row r="172" ht="10.5" customHeight="1">
      <c r="A172" s="164" t="s">
        <v>286</v>
      </c>
      <c r="B172" s="186"/>
      <c r="C172" s="186"/>
      <c r="D172" s="186"/>
      <c r="E172" s="186">
        <f>'Balance Sheet'!B35</f>
        <v>23.788</v>
      </c>
      <c r="F172" s="185"/>
      <c r="G172" s="186">
        <f>'Balance Sheet'!D35</f>
        <v>20.56</v>
      </c>
      <c r="H172" s="186">
        <f>'Balance Sheet'!E35</f>
        <v>29.728</v>
      </c>
      <c r="I172" s="186">
        <f>'Balance Sheet'!F35</f>
        <v>31.844</v>
      </c>
      <c r="J172" s="186">
        <f>'Balance Sheet'!G35</f>
        <v>32.887</v>
      </c>
      <c r="K172" s="185"/>
      <c r="L172" s="186">
        <f>'Balance Sheet'!I35</f>
        <v>25.757</v>
      </c>
      <c r="M172" s="186">
        <f>'Balance Sheet'!J35</f>
        <v>49.128</v>
      </c>
      <c r="N172" s="186">
        <f>'Balance Sheet'!K35</f>
        <v>48.013</v>
      </c>
      <c r="O172" s="186">
        <f>('Income Statement'!O13+'Income Statement'!N13+'Income Statement'!M13+'Income Statement'!L13)*O173</f>
        <v>37.61251275</v>
      </c>
      <c r="P172" s="185"/>
      <c r="Q172" s="186">
        <f>('Income Statement'!Q13+'Income Statement'!N13+'Income Statement'!O13+'Income Statement'!M13)*Q173</f>
        <v>29.12806528</v>
      </c>
      <c r="R172" s="186">
        <f>('Income Statement'!R13+'Income Statement'!Q13+'Income Statement'!O13+'Income Statement'!N13)*R173</f>
        <v>54.93241653</v>
      </c>
      <c r="S172" s="186">
        <f>('Income Statement'!S13+'Income Statement'!R13+'Income Statement'!Q13+'Income Statement'!O13)*S173</f>
        <v>28.9743366</v>
      </c>
      <c r="T172" s="186">
        <f>('Income Statement'!T13+'Income Statement'!S13+'Income Statement'!R13+'Income Statement'!P13)*T173</f>
        <v>74.95141824</v>
      </c>
      <c r="U172" s="185"/>
      <c r="V172" s="186">
        <f>('Income Statement'!V13+'Income Statement'!S13+'Income Statement'!T13+'Income Statement'!R13)*V173</f>
        <v>31.9198836</v>
      </c>
      <c r="W172" s="186">
        <f>('Income Statement'!W13+'Income Statement'!V13+'Income Statement'!T13+'Income Statement'!S13)*W173</f>
        <v>59.84327877</v>
      </c>
      <c r="X172" s="186">
        <f>('Income Statement'!X13+'Income Statement'!W13+'Income Statement'!V13+'Income Statement'!T13)*X173</f>
        <v>31.36488678</v>
      </c>
      <c r="Y172" s="186">
        <f>('Income Statement'!Y13+'Income Statement'!X13+'Income Statement'!W13+'Income Statement'!U13)*Y173</f>
        <v>81.51185712</v>
      </c>
      <c r="Z172" s="185"/>
      <c r="AA172" s="186">
        <f>('Income Statement'!AA13+'Income Statement'!X13+'Income Statement'!Y13+'Income Statement'!W13)*AA173</f>
        <v>34.43486342</v>
      </c>
      <c r="AB172" s="186">
        <f>('Income Statement'!AB13+'Income Statement'!AA13+'Income Statement'!Y13+'Income Statement'!X13)*AB173</f>
        <v>64.8501028</v>
      </c>
      <c r="AC172" s="186">
        <f>('Income Statement'!AC13+'Income Statement'!AB13+'Income Statement'!AA13+'Income Statement'!Y13)*AC173</f>
        <v>34.14213701</v>
      </c>
      <c r="AD172" s="186">
        <f>('Income Statement'!AD13+'Income Statement'!AC13+'Income Statement'!AB13+'Income Statement'!Z13)*AD173</f>
        <v>88.14405629</v>
      </c>
      <c r="AE172" s="185"/>
      <c r="AF172" s="186">
        <f>('Income Statement'!AF13+'Income Statement'!AC13+'Income Statement'!AD13+'Income Statement'!AB13)*AF173</f>
        <v>37.55809055</v>
      </c>
      <c r="AG172" s="186">
        <f>('Income Statement'!AG13+'Income Statement'!AF13+'Income Statement'!AD13+'Income Statement'!AC13)*AG173</f>
        <v>70.536781</v>
      </c>
      <c r="AH172" s="186">
        <f>('Income Statement'!AH13+'Income Statement'!AG13+'Income Statement'!AF13+'Income Statement'!AD13)*AH173</f>
        <v>37.02591189</v>
      </c>
      <c r="AI172" s="186">
        <f>('Income Statement'!AI13+'Income Statement'!AH13+'Income Statement'!AG13+'Income Statement'!AE13)*AI173</f>
        <v>95.6059384</v>
      </c>
      <c r="AJ172" s="185"/>
      <c r="AK172" s="186">
        <f>('Income Statement'!AK13+'Income Statement'!AH13+'Income Statement'!AI13+'Income Statement'!AG13)*AK173</f>
        <v>40.47334411</v>
      </c>
      <c r="AL172" s="186">
        <f>('Income Statement'!AL13+'Income Statement'!AK13+'Income Statement'!AI13+'Income Statement'!AH13)*AL173</f>
        <v>75.79519231</v>
      </c>
      <c r="AM172" s="186">
        <f>('Income Statement'!AM13+'Income Statement'!AL13+'Income Statement'!AK13+'Income Statement'!AI13)*AM173</f>
        <v>39.69376101</v>
      </c>
      <c r="AN172" s="186">
        <f>('Income Statement'!AN13+'Income Statement'!AM13+'Income Statement'!AL13+'Income Statement'!AJ13)*AN173</f>
        <v>102.6751031</v>
      </c>
      <c r="AO172" s="185"/>
      <c r="AP172" s="164"/>
      <c r="AQ172" s="164"/>
      <c r="AR172" s="164"/>
      <c r="AS172" s="164"/>
      <c r="AT172" s="164"/>
      <c r="AU172" s="164"/>
      <c r="AV172" s="164"/>
      <c r="AW172" s="164"/>
      <c r="AX172" s="164"/>
      <c r="AY172" s="164"/>
      <c r="AZ172" s="164"/>
      <c r="BA172" s="164"/>
      <c r="BB172" s="164"/>
      <c r="BC172" s="164"/>
      <c r="BD172" s="164"/>
      <c r="BE172" s="164"/>
      <c r="BF172" s="164"/>
      <c r="BG172" s="164"/>
    </row>
    <row r="173" ht="10.5" customHeight="1">
      <c r="A173" s="164" t="s">
        <v>283</v>
      </c>
      <c r="B173" s="222"/>
      <c r="C173" s="222"/>
      <c r="D173" s="222"/>
      <c r="E173" s="222">
        <f>+E172/('Income Statement'!E13+'Income Statement'!D13+'Income Statement'!C13+'Income Statement'!B13)</f>
        <v>0.1251822109</v>
      </c>
      <c r="F173" s="279"/>
      <c r="G173" s="222">
        <f>+G172/('Income Statement'!G13+'Income Statement'!E13+'Income Statement'!D13+'Income Statement'!C13)</f>
        <v>0.108401084</v>
      </c>
      <c r="H173" s="222">
        <f>+H172/('Income Statement'!H13+'Income Statement'!G13+'Income Statement'!E13+'Income Statement'!D13)</f>
        <v>0.163212421</v>
      </c>
      <c r="I173" s="222">
        <f>+I172/('Income Statement'!I13+'Income Statement'!H13+'Income Statement'!G13+'Income Statement'!E13)</f>
        <v>0.18291373</v>
      </c>
      <c r="J173" s="222">
        <f>+J172/('Income Statement'!J13+'Income Statement'!I13+'Income Statement'!H13+'Income Statement'!G13)</f>
        <v>0.1668357667</v>
      </c>
      <c r="K173" s="279"/>
      <c r="L173" s="222">
        <f>+L172/('Income Statement'!L13+'Income Statement'!J13+'Income Statement'!I13+'Income Statement'!H13)</f>
        <v>0.1283908401</v>
      </c>
      <c r="M173" s="222">
        <f>+M172/('Income Statement'!M13+'Income Statement'!L13+'Income Statement'!J13+'Income Statement'!I13)</f>
        <v>0.236075405</v>
      </c>
      <c r="N173" s="222">
        <f>+N172/('Income Statement'!N13+'Income Statement'!M13+'Income Statement'!K13+'Income Statement'!J13)</f>
        <v>0.1214922291</v>
      </c>
      <c r="O173" s="258">
        <f>J173</f>
        <v>0.1668357667</v>
      </c>
      <c r="P173" s="279"/>
      <c r="Q173" s="258">
        <f t="shared" ref="Q173:T173" si="355">L173</f>
        <v>0.1283908401</v>
      </c>
      <c r="R173" s="258">
        <f t="shared" si="355"/>
        <v>0.236075405</v>
      </c>
      <c r="S173" s="258">
        <f t="shared" si="355"/>
        <v>0.1214922291</v>
      </c>
      <c r="T173" s="258">
        <f t="shared" si="355"/>
        <v>0.1668357667</v>
      </c>
      <c r="U173" s="279"/>
      <c r="V173" s="258">
        <f t="shared" ref="V173:Y173" si="356">Q173</f>
        <v>0.1283908401</v>
      </c>
      <c r="W173" s="258">
        <f t="shared" si="356"/>
        <v>0.236075405</v>
      </c>
      <c r="X173" s="258">
        <f t="shared" si="356"/>
        <v>0.1214922291</v>
      </c>
      <c r="Y173" s="258">
        <f t="shared" si="356"/>
        <v>0.1668357667</v>
      </c>
      <c r="Z173" s="279"/>
      <c r="AA173" s="258">
        <f t="shared" ref="AA173:AD173" si="357">V173</f>
        <v>0.1283908401</v>
      </c>
      <c r="AB173" s="258">
        <f t="shared" si="357"/>
        <v>0.236075405</v>
      </c>
      <c r="AC173" s="258">
        <f t="shared" si="357"/>
        <v>0.1214922291</v>
      </c>
      <c r="AD173" s="258">
        <f t="shared" si="357"/>
        <v>0.1668357667</v>
      </c>
      <c r="AE173" s="279"/>
      <c r="AF173" s="258">
        <f t="shared" ref="AF173:AI173" si="358">AA173</f>
        <v>0.1283908401</v>
      </c>
      <c r="AG173" s="258">
        <f t="shared" si="358"/>
        <v>0.236075405</v>
      </c>
      <c r="AH173" s="258">
        <f t="shared" si="358"/>
        <v>0.1214922291</v>
      </c>
      <c r="AI173" s="258">
        <f t="shared" si="358"/>
        <v>0.1668357667</v>
      </c>
      <c r="AJ173" s="279"/>
      <c r="AK173" s="258">
        <f t="shared" ref="AK173:AN173" si="359">AF173</f>
        <v>0.1283908401</v>
      </c>
      <c r="AL173" s="258">
        <f t="shared" si="359"/>
        <v>0.236075405</v>
      </c>
      <c r="AM173" s="258">
        <f t="shared" si="359"/>
        <v>0.1214922291</v>
      </c>
      <c r="AN173" s="258">
        <f t="shared" si="359"/>
        <v>0.1668357667</v>
      </c>
      <c r="AO173" s="279"/>
      <c r="AP173" s="164"/>
      <c r="AQ173" s="164"/>
      <c r="AR173" s="164"/>
      <c r="AS173" s="164"/>
      <c r="AT173" s="164"/>
      <c r="AU173" s="164"/>
      <c r="AV173" s="164"/>
      <c r="AW173" s="164"/>
      <c r="AX173" s="164"/>
      <c r="AY173" s="164"/>
      <c r="AZ173" s="164"/>
      <c r="BA173" s="164"/>
      <c r="BB173" s="164"/>
      <c r="BC173" s="164"/>
      <c r="BD173" s="164"/>
      <c r="BE173" s="164"/>
      <c r="BF173" s="164"/>
      <c r="BG173" s="164"/>
    </row>
    <row r="174" ht="10.5" customHeight="1">
      <c r="A174" s="164" t="s">
        <v>287</v>
      </c>
      <c r="B174" s="165"/>
      <c r="C174" s="165"/>
      <c r="D174" s="165"/>
      <c r="E174" s="165">
        <f>+E172/('Income Statement'!E13+'Income Statement'!D13+'Income Statement'!C13+'Income Statement'!B13)*365</f>
        <v>45.691507</v>
      </c>
      <c r="F174" s="207"/>
      <c r="G174" s="165">
        <f>+G172/('Income Statement'!G13+'Income Statement'!E13+'Income Statement'!D13+'Income Statement'!C13)*365</f>
        <v>39.56639566</v>
      </c>
      <c r="H174" s="165">
        <f>+H172/('Income Statement'!H13+'Income Statement'!G13+'Income Statement'!E13+'Income Statement'!D13)*365</f>
        <v>59.57253367</v>
      </c>
      <c r="I174" s="165">
        <f>+I172/('Income Statement'!I13+'Income Statement'!H13+'Income Statement'!G13+'Income Statement'!E13)*365</f>
        <v>66.76351146</v>
      </c>
      <c r="J174" s="165">
        <f>+J172/('Income Statement'!J13+'Income Statement'!I13+'Income Statement'!H13+'Income Statement'!G13)*365</f>
        <v>60.89505484</v>
      </c>
      <c r="K174" s="207"/>
      <c r="L174" s="165">
        <f>+L172/('Income Statement'!L13+'Income Statement'!J13+'Income Statement'!I13+'Income Statement'!H13)*365</f>
        <v>46.86265664</v>
      </c>
      <c r="M174" s="165">
        <f>+M172/('Income Statement'!M13+'Income Statement'!L13+'Income Statement'!J13+'Income Statement'!I13)*365</f>
        <v>86.16752281</v>
      </c>
      <c r="N174" s="165">
        <f>+N172/('Income Statement'!N13+'Income Statement'!M13+'Income Statement'!K13+'Income Statement'!J13)*365</f>
        <v>44.34466363</v>
      </c>
      <c r="O174" s="165">
        <f>+O172/('Income Statement'!O13+'Income Statement'!N13+'Income Statement'!M13+'Income Statement'!L13)*365</f>
        <v>60.89505484</v>
      </c>
      <c r="P174" s="207"/>
      <c r="Q174" s="165">
        <f>+Q172/('Income Statement'!Q13+'Income Statement'!P13+'Income Statement'!O13+'Income Statement'!M13)*365</f>
        <v>26.97305736</v>
      </c>
      <c r="R174" s="165">
        <f>+R172/('Income Statement'!R13+'Income Statement'!Q13+'Income Statement'!P13+'Income Statement'!N13)*365</f>
        <v>53.78984226</v>
      </c>
      <c r="S174" s="165">
        <f>+S172/('Income Statement'!S13+'Income Statement'!R13+'Income Statement'!Q13+'Income Statement'!O13)*365</f>
        <v>44.34466363</v>
      </c>
      <c r="T174" s="165">
        <f>+T172/('Income Statement'!T13+'Income Statement'!S13+'Income Statement'!R13+'Income Statement'!P13)*365</f>
        <v>60.89505484</v>
      </c>
      <c r="U174" s="207"/>
      <c r="V174" s="165">
        <f>+V172/('Income Statement'!V13+'Income Statement'!U13+'Income Statement'!T13+'Income Statement'!R13)*365</f>
        <v>26.94575446</v>
      </c>
      <c r="W174" s="165">
        <f>+W172/('Income Statement'!W13+'Income Statement'!V13+'Income Statement'!U13+'Income Statement'!S13)*365</f>
        <v>53.72112491</v>
      </c>
      <c r="X174" s="165">
        <f>+X172/('Income Statement'!X13+'Income Statement'!W13+'Income Statement'!V13+'Income Statement'!T13)*365</f>
        <v>44.34466363</v>
      </c>
      <c r="Y174" s="165">
        <f>+Y172/('Income Statement'!Y13+'Income Statement'!X13+'Income Statement'!W13+'Income Statement'!U13)*365</f>
        <v>60.89505484</v>
      </c>
      <c r="Z174" s="207"/>
      <c r="AA174" s="165">
        <f>+AA172/('Income Statement'!AA13+'Income Statement'!Z13+'Income Statement'!Y13+'Income Statement'!W13)*365</f>
        <v>27.01507178</v>
      </c>
      <c r="AB174" s="165">
        <f>+AB172/('Income Statement'!AB13+'Income Statement'!AA13+'Income Statement'!Z13+'Income Statement'!X13)*365</f>
        <v>54.01054788</v>
      </c>
      <c r="AC174" s="165">
        <f>+AC172/('Income Statement'!AC13+'Income Statement'!AB13+'Income Statement'!AA13+'Income Statement'!Y13)*365</f>
        <v>44.34466363</v>
      </c>
      <c r="AD174" s="165">
        <f>+AD172/('Income Statement'!AD13+'Income Statement'!AC13+'Income Statement'!AB13+'Income Statement'!Z13)*365</f>
        <v>60.89505484</v>
      </c>
      <c r="AE174" s="207"/>
      <c r="AF174" s="165">
        <f>+AF172/('Income Statement'!AF13+'Income Statement'!AE13+'Income Statement'!AD13+'Income Statement'!AB13)*365</f>
        <v>27.00763247</v>
      </c>
      <c r="AG174" s="165">
        <f>+AG172/('Income Statement'!AG13+'Income Statement'!AF13+'Income Statement'!AE13+'Income Statement'!AC13)*365</f>
        <v>53.89605301</v>
      </c>
      <c r="AH174" s="165">
        <f>+AH172/('Income Statement'!AH13+'Income Statement'!AG13+'Income Statement'!AF13+'Income Statement'!AD13)*365</f>
        <v>44.34466363</v>
      </c>
      <c r="AI174" s="165">
        <f>+AI172/('Income Statement'!AI13+'Income Statement'!AH13+'Income Statement'!AG13+'Income Statement'!AE13)*365</f>
        <v>60.89505484</v>
      </c>
      <c r="AJ174" s="207"/>
      <c r="AK174" s="165">
        <f>+AK172/('Income Statement'!AK13+'Income Statement'!AJ13+'Income Statement'!AI13+'Income Statement'!AG13)*365</f>
        <v>26.99503139</v>
      </c>
      <c r="AL174" s="165">
        <f>+AL172/('Income Statement'!AL13+'Income Statement'!AK13+'Income Statement'!AJ13+'Income Statement'!AH13)*365</f>
        <v>53.74742699</v>
      </c>
      <c r="AM174" s="165">
        <f>+AM172/('Income Statement'!AM13+'Income Statement'!AL13+'Income Statement'!AK13+'Income Statement'!AI13)*365</f>
        <v>44.34466363</v>
      </c>
      <c r="AN174" s="165">
        <f>+AN172/('Income Statement'!AN13+'Income Statement'!AM13+'Income Statement'!AL13+'Income Statement'!AJ13)*365</f>
        <v>60.89505484</v>
      </c>
      <c r="AO174" s="207"/>
      <c r="AP174" s="164"/>
      <c r="AQ174" s="164"/>
      <c r="AR174" s="164"/>
      <c r="AS174" s="164"/>
      <c r="AT174" s="164"/>
      <c r="AU174" s="164"/>
      <c r="AV174" s="164"/>
      <c r="AW174" s="164"/>
      <c r="AX174" s="164"/>
      <c r="AY174" s="164"/>
      <c r="AZ174" s="164"/>
      <c r="BA174" s="164"/>
      <c r="BB174" s="164"/>
      <c r="BC174" s="164"/>
      <c r="BD174" s="164"/>
      <c r="BE174" s="164"/>
      <c r="BF174" s="164"/>
      <c r="BG174" s="164"/>
    </row>
    <row r="175" ht="10.5" customHeight="1">
      <c r="A175" s="164"/>
      <c r="B175" s="165"/>
      <c r="C175" s="165"/>
      <c r="D175" s="165"/>
      <c r="E175" s="165"/>
      <c r="F175" s="207"/>
      <c r="G175" s="165"/>
      <c r="H175" s="165"/>
      <c r="I175" s="165"/>
      <c r="J175" s="165"/>
      <c r="K175" s="207"/>
      <c r="L175" s="165"/>
      <c r="M175" s="165"/>
      <c r="N175" s="165"/>
      <c r="O175" s="165"/>
      <c r="P175" s="207"/>
      <c r="Q175" s="165"/>
      <c r="R175" s="165"/>
      <c r="S175" s="165"/>
      <c r="T175" s="165"/>
      <c r="U175" s="207"/>
      <c r="V175" s="165"/>
      <c r="W175" s="165"/>
      <c r="X175" s="165"/>
      <c r="Y175" s="165"/>
      <c r="Z175" s="207"/>
      <c r="AA175" s="165"/>
      <c r="AB175" s="165"/>
      <c r="AC175" s="165"/>
      <c r="AD175" s="165"/>
      <c r="AE175" s="207"/>
      <c r="AF175" s="165"/>
      <c r="AG175" s="165"/>
      <c r="AH175" s="165"/>
      <c r="AI175" s="165"/>
      <c r="AJ175" s="207"/>
      <c r="AK175" s="165"/>
      <c r="AL175" s="165"/>
      <c r="AM175" s="165"/>
      <c r="AN175" s="165"/>
      <c r="AO175" s="207"/>
      <c r="AP175" s="164"/>
      <c r="AQ175" s="164"/>
      <c r="AR175" s="164"/>
      <c r="AS175" s="164"/>
      <c r="AT175" s="164"/>
      <c r="AU175" s="164"/>
      <c r="AV175" s="164"/>
      <c r="AW175" s="164"/>
      <c r="AX175" s="164"/>
      <c r="AY175" s="164"/>
      <c r="AZ175" s="164"/>
      <c r="BA175" s="164"/>
      <c r="BB175" s="164"/>
      <c r="BC175" s="164"/>
      <c r="BD175" s="164"/>
      <c r="BE175" s="164"/>
      <c r="BF175" s="164"/>
      <c r="BG175" s="164"/>
    </row>
    <row r="176" ht="10.5" customHeight="1">
      <c r="A176" s="198" t="s">
        <v>288</v>
      </c>
      <c r="B176" s="215"/>
      <c r="C176" s="215"/>
      <c r="D176" s="215"/>
      <c r="E176" s="215"/>
      <c r="F176" s="216"/>
      <c r="G176" s="215"/>
      <c r="H176" s="215"/>
      <c r="I176" s="215"/>
      <c r="J176" s="215"/>
      <c r="K176" s="216"/>
      <c r="L176" s="215"/>
      <c r="M176" s="215"/>
      <c r="N176" s="215"/>
      <c r="O176" s="215"/>
      <c r="P176" s="216"/>
      <c r="Q176" s="215"/>
      <c r="R176" s="215"/>
      <c r="S176" s="215"/>
      <c r="T176" s="215"/>
      <c r="U176" s="216"/>
      <c r="V176" s="215"/>
      <c r="W176" s="215"/>
      <c r="X176" s="215"/>
      <c r="Y176" s="215"/>
      <c r="Z176" s="216"/>
      <c r="AA176" s="215"/>
      <c r="AB176" s="215"/>
      <c r="AC176" s="215"/>
      <c r="AD176" s="215"/>
      <c r="AE176" s="216"/>
      <c r="AF176" s="215"/>
      <c r="AG176" s="215"/>
      <c r="AH176" s="215"/>
      <c r="AI176" s="215"/>
      <c r="AJ176" s="216"/>
      <c r="AK176" s="215"/>
      <c r="AL176" s="215"/>
      <c r="AM176" s="215"/>
      <c r="AN176" s="215"/>
      <c r="AO176" s="216"/>
      <c r="AP176" s="164"/>
      <c r="AQ176" s="164"/>
      <c r="AR176" s="164"/>
      <c r="AS176" s="164"/>
      <c r="AT176" s="164"/>
      <c r="AU176" s="164"/>
      <c r="AV176" s="164"/>
      <c r="AW176" s="164"/>
      <c r="AX176" s="164"/>
      <c r="AY176" s="164"/>
      <c r="AZ176" s="164"/>
      <c r="BA176" s="164"/>
      <c r="BB176" s="164"/>
      <c r="BC176" s="164"/>
      <c r="BD176" s="164"/>
      <c r="BE176" s="164"/>
      <c r="BF176" s="164"/>
      <c r="BG176" s="164"/>
    </row>
    <row r="177" ht="10.5" customHeight="1">
      <c r="A177" s="164" t="s">
        <v>288</v>
      </c>
      <c r="B177" s="186"/>
      <c r="C177" s="186"/>
      <c r="D177" s="186"/>
      <c r="E177" s="186">
        <f>'Balance Sheet'!B17</f>
        <v>13.842</v>
      </c>
      <c r="F177" s="185"/>
      <c r="G177" s="186">
        <f>'Balance Sheet'!D17</f>
        <v>18.945</v>
      </c>
      <c r="H177" s="186">
        <f>'Balance Sheet'!E17</f>
        <v>15.91</v>
      </c>
      <c r="I177" s="186">
        <f>'Balance Sheet'!F17</f>
        <v>14.432</v>
      </c>
      <c r="J177" s="186">
        <f>'Balance Sheet'!G17</f>
        <v>21.499</v>
      </c>
      <c r="K177" s="185"/>
      <c r="L177" s="186">
        <f>'Balance Sheet'!I17</f>
        <v>16.547</v>
      </c>
      <c r="M177" s="186">
        <f>'Balance Sheet'!J17</f>
        <v>19.202</v>
      </c>
      <c r="N177" s="186">
        <f>'Balance Sheet'!K17</f>
        <v>23.176</v>
      </c>
      <c r="O177" s="186">
        <f>('Income Statement'!O11+'Income Statement'!N11+'Income Statement'!M11+'Income Statement'!L11)*O178</f>
        <v>23.81621367</v>
      </c>
      <c r="P177" s="185"/>
      <c r="Q177" s="186">
        <f>('Income Statement'!Q11+'Income Statement'!N11+'Income Statement'!O11+'Income Statement'!M11)*Q178</f>
        <v>18.45676914</v>
      </c>
      <c r="R177" s="186">
        <f>('Income Statement'!R11+'Income Statement'!Q11+'Income Statement'!O11+'Income Statement'!N11)*R178</f>
        <v>21.45166213</v>
      </c>
      <c r="S177" s="186">
        <f>('Income Statement'!S11+'Income Statement'!R11+'Income Statement'!Q11+'Income Statement'!O11)*S178</f>
        <v>15.24188141</v>
      </c>
      <c r="T177" s="186">
        <f>('Income Statement'!T11+'Income Statement'!S11+'Income Statement'!R11+'Income Statement'!P11)*T178</f>
        <v>45.18100533</v>
      </c>
      <c r="U177" s="185"/>
      <c r="V177" s="186">
        <f>('Income Statement'!V11+'Income Statement'!S11+'Income Statement'!T11+'Income Statement'!R11)*V178</f>
        <v>20.88114702</v>
      </c>
      <c r="W177" s="186">
        <f>('Income Statement'!W11+'Income Statement'!V11+'Income Statement'!T11+'Income Statement'!S11)*W178</f>
        <v>24.09840983</v>
      </c>
      <c r="X177" s="186">
        <f>('Income Statement'!X11+'Income Statement'!W11+'Income Statement'!V11+'Income Statement'!T11)*X178</f>
        <v>16.9988916</v>
      </c>
      <c r="Y177" s="186">
        <f>('Income Statement'!Y11+'Income Statement'!X11+'Income Statement'!W11+'Income Statement'!U11)*Y178</f>
        <v>50.76145049</v>
      </c>
      <c r="Z177" s="185"/>
      <c r="AA177" s="186">
        <f>('Income Statement'!AA11+'Income Statement'!X11+'Income Statement'!Y11+'Income Statement'!W11)*AA178</f>
        <v>23.06719954</v>
      </c>
      <c r="AB177" s="186">
        <f>('Income Statement'!AB11+'Income Statement'!AA11+'Income Statement'!Y11+'Income Statement'!X11)*AB178</f>
        <v>26.52428588</v>
      </c>
      <c r="AC177" s="186">
        <f>('Income Statement'!AC11+'Income Statement'!AB11+'Income Statement'!AA11+'Income Statement'!Y11)*AC178</f>
        <v>18.65316807</v>
      </c>
      <c r="AD177" s="186">
        <f>('Income Statement'!AD11+'Income Statement'!AC11+'Income Statement'!AB11+'Income Statement'!Z11)*AD178</f>
        <v>55.80392201</v>
      </c>
      <c r="AE177" s="185"/>
      <c r="AF177" s="186">
        <f>('Income Statement'!AF11+'Income Statement'!AC11+'Income Statement'!AD11+'Income Statement'!AB11)*AF178</f>
        <v>25.17096273</v>
      </c>
      <c r="AG177" s="186">
        <f>('Income Statement'!AG11+'Income Statement'!AF11+'Income Statement'!AD11+'Income Statement'!AC11)*AG178</f>
        <v>28.86527826</v>
      </c>
      <c r="AH177" s="186">
        <f>('Income Statement'!AH11+'Income Statement'!AG11+'Income Statement'!AF11+'Income Statement'!AD11)*AH178</f>
        <v>20.24119943</v>
      </c>
      <c r="AI177" s="186">
        <f>('Income Statement'!AI11+'Income Statement'!AH11+'Income Statement'!AG11+'Income Statement'!AE11)*AI178</f>
        <v>60.61984317</v>
      </c>
      <c r="AJ177" s="185"/>
      <c r="AK177" s="186">
        <f>('Income Statement'!AK11+'Income Statement'!AH11+'Income Statement'!AI11+'Income Statement'!AG11)*AK178</f>
        <v>27.13477535</v>
      </c>
      <c r="AL177" s="186">
        <f>('Income Statement'!AL11+'Income Statement'!AK11+'Income Statement'!AI11+'Income Statement'!AH11)*AL178</f>
        <v>31.03078439</v>
      </c>
      <c r="AM177" s="186">
        <f>('Income Statement'!AM11+'Income Statement'!AL11+'Income Statement'!AK11+'Income Statement'!AI11)*AM178</f>
        <v>21.71085638</v>
      </c>
      <c r="AN177" s="186">
        <f>('Income Statement'!AN11+'Income Statement'!AM11+'Income Statement'!AL11+'Income Statement'!AJ11)*AN178</f>
        <v>65.20407946</v>
      </c>
      <c r="AO177" s="185"/>
      <c r="AP177" s="164"/>
      <c r="AQ177" s="164"/>
      <c r="AR177" s="164"/>
      <c r="AS177" s="164"/>
      <c r="AT177" s="164"/>
      <c r="AU177" s="164"/>
      <c r="AV177" s="164"/>
      <c r="AW177" s="164"/>
      <c r="AX177" s="164"/>
      <c r="AY177" s="164"/>
      <c r="AZ177" s="164"/>
      <c r="BA177" s="164"/>
      <c r="BB177" s="164"/>
      <c r="BC177" s="164"/>
      <c r="BD177" s="164"/>
      <c r="BE177" s="164"/>
      <c r="BF177" s="164"/>
      <c r="BG177" s="164"/>
    </row>
    <row r="178" ht="10.5" customHeight="1">
      <c r="A178" s="164" t="s">
        <v>280</v>
      </c>
      <c r="B178" s="222"/>
      <c r="C178" s="222"/>
      <c r="D178" s="222"/>
      <c r="E178" s="222">
        <f>+E177/('Income Statement'!E11+'Income Statement'!D11+'Income Statement'!C11+'Income Statement'!B11)</f>
        <v>0.01382384929</v>
      </c>
      <c r="F178" s="279"/>
      <c r="G178" s="222">
        <f>+G177/('Income Statement'!G11+'Income Statement'!E11+'Income Statement'!D11+'Income Statement'!C11)</f>
        <v>0.0181481336</v>
      </c>
      <c r="H178" s="222">
        <f>+H177/('Income Statement'!H11+'Income Statement'!G11+'Income Statement'!E11+'Income Statement'!D11)</f>
        <v>0.01478098409</v>
      </c>
      <c r="I178" s="222">
        <f>+I177/('Income Statement'!I11+'Income Statement'!H11+'Income Statement'!G11+'Income Statement'!E11)</f>
        <v>0.01301756361</v>
      </c>
      <c r="J178" s="222">
        <f>+J177/('Income Statement'!J11+'Income Statement'!I11+'Income Statement'!H11+'Income Statement'!G11)</f>
        <v>0.0181939891</v>
      </c>
      <c r="K178" s="279"/>
      <c r="L178" s="222">
        <f>+L177/('Income Statement'!L11+'Income Statement'!J11+'Income Statement'!I11+'Income Statement'!H11)</f>
        <v>0.0136718282</v>
      </c>
      <c r="M178" s="222">
        <f>+M177/('Income Statement'!M11+'Income Statement'!L11+'Income Statement'!J11+'Income Statement'!I11)</f>
        <v>0.01535868799</v>
      </c>
      <c r="N178" s="222">
        <f>+N177/('Income Statement'!N11+'Income Statement'!M11+'Income Statement'!K11+'Income Statement'!J11)</f>
        <v>0.01056659104</v>
      </c>
      <c r="O178" s="258">
        <f>J178</f>
        <v>0.0181939891</v>
      </c>
      <c r="P178" s="279"/>
      <c r="Q178" s="258">
        <f t="shared" ref="Q178:T178" si="360">L178</f>
        <v>0.0136718282</v>
      </c>
      <c r="R178" s="258">
        <f t="shared" si="360"/>
        <v>0.01535868799</v>
      </c>
      <c r="S178" s="258">
        <f t="shared" si="360"/>
        <v>0.01056659104</v>
      </c>
      <c r="T178" s="258">
        <f t="shared" si="360"/>
        <v>0.0181939891</v>
      </c>
      <c r="U178" s="279"/>
      <c r="V178" s="258">
        <f t="shared" ref="V178:Y178" si="361">Q178</f>
        <v>0.0136718282</v>
      </c>
      <c r="W178" s="258">
        <f t="shared" si="361"/>
        <v>0.01535868799</v>
      </c>
      <c r="X178" s="258">
        <f t="shared" si="361"/>
        <v>0.01056659104</v>
      </c>
      <c r="Y178" s="258">
        <f t="shared" si="361"/>
        <v>0.0181939891</v>
      </c>
      <c r="Z178" s="279"/>
      <c r="AA178" s="258">
        <f t="shared" ref="AA178:AD178" si="362">V178</f>
        <v>0.0136718282</v>
      </c>
      <c r="AB178" s="258">
        <f t="shared" si="362"/>
        <v>0.01535868799</v>
      </c>
      <c r="AC178" s="258">
        <f t="shared" si="362"/>
        <v>0.01056659104</v>
      </c>
      <c r="AD178" s="258">
        <f t="shared" si="362"/>
        <v>0.0181939891</v>
      </c>
      <c r="AE178" s="279"/>
      <c r="AF178" s="258">
        <f t="shared" ref="AF178:AI178" si="363">AA178</f>
        <v>0.0136718282</v>
      </c>
      <c r="AG178" s="258">
        <f t="shared" si="363"/>
        <v>0.01535868799</v>
      </c>
      <c r="AH178" s="258">
        <f t="shared" si="363"/>
        <v>0.01056659104</v>
      </c>
      <c r="AI178" s="258">
        <f t="shared" si="363"/>
        <v>0.0181939891</v>
      </c>
      <c r="AJ178" s="279"/>
      <c r="AK178" s="258">
        <f t="shared" ref="AK178:AN178" si="364">AF178</f>
        <v>0.0136718282</v>
      </c>
      <c r="AL178" s="258">
        <f t="shared" si="364"/>
        <v>0.01535868799</v>
      </c>
      <c r="AM178" s="258">
        <f t="shared" si="364"/>
        <v>0.01056659104</v>
      </c>
      <c r="AN178" s="258">
        <f t="shared" si="364"/>
        <v>0.0181939891</v>
      </c>
      <c r="AO178" s="279"/>
      <c r="AP178" s="164"/>
      <c r="AQ178" s="164"/>
      <c r="AR178" s="164"/>
      <c r="AS178" s="164"/>
      <c r="AT178" s="164"/>
      <c r="AU178" s="164"/>
      <c r="AV178" s="164"/>
      <c r="AW178" s="164"/>
      <c r="AX178" s="164"/>
      <c r="AY178" s="164"/>
      <c r="AZ178" s="164"/>
      <c r="BA178" s="164"/>
      <c r="BB178" s="164"/>
      <c r="BC178" s="164"/>
      <c r="BD178" s="164"/>
      <c r="BE178" s="164"/>
      <c r="BF178" s="164"/>
      <c r="BG178" s="164"/>
    </row>
    <row r="179" ht="10.5" customHeight="1">
      <c r="A179" s="164"/>
      <c r="B179" s="165"/>
      <c r="C179" s="165"/>
      <c r="D179" s="165"/>
      <c r="E179" s="165"/>
      <c r="F179" s="207"/>
      <c r="G179" s="165"/>
      <c r="H179" s="165"/>
      <c r="I179" s="165"/>
      <c r="J179" s="165"/>
      <c r="K179" s="207"/>
      <c r="L179" s="165"/>
      <c r="M179" s="165"/>
      <c r="N179" s="165"/>
      <c r="O179" s="165"/>
      <c r="P179" s="207"/>
      <c r="Q179" s="165"/>
      <c r="R179" s="165"/>
      <c r="S179" s="165"/>
      <c r="T179" s="165"/>
      <c r="U179" s="207"/>
      <c r="V179" s="165"/>
      <c r="W179" s="165"/>
      <c r="X179" s="165"/>
      <c r="Y179" s="165"/>
      <c r="Z179" s="207"/>
      <c r="AA179" s="165"/>
      <c r="AB179" s="165"/>
      <c r="AC179" s="165"/>
      <c r="AD179" s="165"/>
      <c r="AE179" s="207"/>
      <c r="AF179" s="165"/>
      <c r="AG179" s="165"/>
      <c r="AH179" s="165"/>
      <c r="AI179" s="165"/>
      <c r="AJ179" s="207"/>
      <c r="AK179" s="165"/>
      <c r="AL179" s="165"/>
      <c r="AM179" s="165"/>
      <c r="AN179" s="165"/>
      <c r="AO179" s="207"/>
      <c r="AP179" s="164"/>
      <c r="AQ179" s="164"/>
      <c r="AR179" s="164"/>
      <c r="AS179" s="164"/>
      <c r="AT179" s="164"/>
      <c r="AU179" s="164"/>
      <c r="AV179" s="164"/>
      <c r="AW179" s="164"/>
      <c r="AX179" s="164"/>
      <c r="AY179" s="164"/>
      <c r="AZ179" s="164"/>
      <c r="BA179" s="164"/>
      <c r="BB179" s="164"/>
      <c r="BC179" s="164"/>
      <c r="BD179" s="164"/>
      <c r="BE179" s="164"/>
      <c r="BF179" s="164"/>
      <c r="BG179" s="164"/>
    </row>
    <row r="180" ht="10.5" customHeight="1">
      <c r="A180" s="198" t="s">
        <v>289</v>
      </c>
      <c r="B180" s="215"/>
      <c r="C180" s="215"/>
      <c r="D180" s="215"/>
      <c r="E180" s="215"/>
      <c r="F180" s="216"/>
      <c r="G180" s="215"/>
      <c r="H180" s="215"/>
      <c r="I180" s="215"/>
      <c r="J180" s="215"/>
      <c r="K180" s="216"/>
      <c r="L180" s="215"/>
      <c r="M180" s="215"/>
      <c r="N180" s="215"/>
      <c r="O180" s="215"/>
      <c r="P180" s="216"/>
      <c r="Q180" s="215"/>
      <c r="R180" s="215"/>
      <c r="S180" s="215"/>
      <c r="T180" s="215"/>
      <c r="U180" s="216"/>
      <c r="V180" s="215"/>
      <c r="W180" s="215"/>
      <c r="X180" s="215"/>
      <c r="Y180" s="215"/>
      <c r="Z180" s="216"/>
      <c r="AA180" s="215"/>
      <c r="AB180" s="215"/>
      <c r="AC180" s="215"/>
      <c r="AD180" s="215"/>
      <c r="AE180" s="216"/>
      <c r="AF180" s="215"/>
      <c r="AG180" s="215"/>
      <c r="AH180" s="215"/>
      <c r="AI180" s="215"/>
      <c r="AJ180" s="216"/>
      <c r="AK180" s="215"/>
      <c r="AL180" s="215"/>
      <c r="AM180" s="215"/>
      <c r="AN180" s="215"/>
      <c r="AO180" s="216"/>
      <c r="AP180" s="164"/>
      <c r="AQ180" s="164"/>
      <c r="AR180" s="164"/>
      <c r="AS180" s="164"/>
      <c r="AT180" s="164"/>
      <c r="AU180" s="164"/>
      <c r="AV180" s="164"/>
      <c r="AW180" s="164"/>
      <c r="AX180" s="164"/>
      <c r="AY180" s="164"/>
      <c r="AZ180" s="164"/>
      <c r="BA180" s="164"/>
      <c r="BB180" s="164"/>
      <c r="BC180" s="164"/>
      <c r="BD180" s="164"/>
      <c r="BE180" s="164"/>
      <c r="BF180" s="164"/>
      <c r="BG180" s="164"/>
    </row>
    <row r="181" ht="10.5" customHeight="1">
      <c r="A181" s="164" t="s">
        <v>289</v>
      </c>
      <c r="B181" s="186"/>
      <c r="C181" s="186"/>
      <c r="D181" s="186"/>
      <c r="E181" s="186">
        <f>'Balance Sheet'!B42</f>
        <v>59.591</v>
      </c>
      <c r="F181" s="185"/>
      <c r="G181" s="186">
        <f>'Balance Sheet'!D42</f>
        <v>77.263</v>
      </c>
      <c r="H181" s="186">
        <f>'Balance Sheet'!E42</f>
        <v>76.052</v>
      </c>
      <c r="I181" s="186">
        <f>'Balance Sheet'!F42</f>
        <v>67.517</v>
      </c>
      <c r="J181" s="186">
        <f>'Balance Sheet'!G42</f>
        <v>62.111</v>
      </c>
      <c r="K181" s="185"/>
      <c r="L181" s="186">
        <f>'Balance Sheet'!I42</f>
        <v>80.755</v>
      </c>
      <c r="M181" s="186">
        <f>'Balance Sheet'!J42</f>
        <v>77.309</v>
      </c>
      <c r="N181" s="186">
        <f>'Balance Sheet'!K42</f>
        <v>65.219</v>
      </c>
      <c r="O181" s="186">
        <f>('Income Statement'!O11+'Income Statement'!N11+'Income Statement'!M11+'Income Statement'!L11)*O182</f>
        <v>68.80547221</v>
      </c>
      <c r="P181" s="185"/>
      <c r="Q181" s="186">
        <f>('Income Statement'!Q11+'Income Statement'!N11+'Income Statement'!O11+'Income Statement'!M11)*Q182</f>
        <v>90.07532432</v>
      </c>
      <c r="R181" s="186">
        <f>('Income Statement'!R11+'Income Statement'!Q11+'Income Statement'!O11+'Income Statement'!N11)*R182</f>
        <v>86.36634452</v>
      </c>
      <c r="S181" s="186">
        <f>('Income Statement'!S11+'Income Statement'!R11+'Income Statement'!Q11+'Income Statement'!O11)*S182</f>
        <v>42.89179598</v>
      </c>
      <c r="T181" s="186">
        <f>('Income Statement'!T11+'Income Statement'!S11+'Income Statement'!R11+'Income Statement'!P11)*T182</f>
        <v>130.5287419</v>
      </c>
      <c r="U181" s="185"/>
      <c r="V181" s="186">
        <f>('Income Statement'!V11+'Income Statement'!S11+'Income Statement'!T11+'Income Statement'!R11)*V182</f>
        <v>101.9071147</v>
      </c>
      <c r="W181" s="186">
        <f>('Income Statement'!W11+'Income Statement'!V11+'Income Statement'!T11+'Income Statement'!S11)*W182</f>
        <v>97.02239172</v>
      </c>
      <c r="X181" s="186">
        <f>('Income Statement'!X11+'Income Statement'!W11+'Income Statement'!V11+'Income Statement'!T11)*X182</f>
        <v>47.83615427</v>
      </c>
      <c r="Y181" s="186">
        <f>('Income Statement'!Y11+'Income Statement'!X11+'Income Statement'!W11+'Income Statement'!U11)*Y182</f>
        <v>146.6507489</v>
      </c>
      <c r="Z181" s="185"/>
      <c r="AA181" s="186">
        <f>('Income Statement'!AA11+'Income Statement'!X11+'Income Statement'!Y11+'Income Statement'!W11)*AA182</f>
        <v>112.5757961</v>
      </c>
      <c r="AB181" s="186">
        <f>('Income Statement'!AB11+'Income Statement'!AA11+'Income Statement'!Y11+'Income Statement'!X11)*AB182</f>
        <v>106.7891895</v>
      </c>
      <c r="AC181" s="186">
        <f>('Income Statement'!AC11+'Income Statement'!AB11+'Income Statement'!AA11+'Income Statement'!Y11)*AC182</f>
        <v>52.49141215</v>
      </c>
      <c r="AD181" s="186">
        <f>('Income Statement'!AD11+'Income Statement'!AC11+'Income Statement'!AB11+'Income Statement'!Z11)*AD182</f>
        <v>161.2185404</v>
      </c>
      <c r="AE181" s="185"/>
      <c r="AF181" s="186">
        <f>('Income Statement'!AF11+'Income Statement'!AC11+'Income Statement'!AD11+'Income Statement'!AB11)*AF182</f>
        <v>122.8428776</v>
      </c>
      <c r="AG181" s="186">
        <f>('Income Statement'!AG11+'Income Statement'!AF11+'Income Statement'!AD11+'Income Statement'!AC11)*AG182</f>
        <v>116.2142379</v>
      </c>
      <c r="AH181" s="186">
        <f>('Income Statement'!AH11+'Income Statement'!AG11+'Income Statement'!AF11+'Income Statement'!AD11)*AH182</f>
        <v>56.96025138</v>
      </c>
      <c r="AI181" s="186">
        <f>('Income Statement'!AI11+'Income Statement'!AH11+'Income Statement'!AG11+'Income Statement'!AE11)*AI182</f>
        <v>175.1318238</v>
      </c>
      <c r="AJ181" s="185"/>
      <c r="AK181" s="186">
        <f>('Income Statement'!AK11+'Income Statement'!AH11+'Income Statement'!AI11+'Income Statement'!AG11)*AK182</f>
        <v>132.4269525</v>
      </c>
      <c r="AL181" s="186">
        <f>('Income Statement'!AL11+'Income Statement'!AK11+'Income Statement'!AI11+'Income Statement'!AH11)*AL182</f>
        <v>124.9327628</v>
      </c>
      <c r="AM181" s="186">
        <f>('Income Statement'!AM11+'Income Statement'!AL11+'Income Statement'!AK11+'Income Statement'!AI11)*AM182</f>
        <v>61.09597612</v>
      </c>
      <c r="AN181" s="186">
        <f>('Income Statement'!AN11+'Income Statement'!AM11+'Income Statement'!AL11+'Income Statement'!AJ11)*AN182</f>
        <v>188.3757653</v>
      </c>
      <c r="AO181" s="185"/>
      <c r="AP181" s="164"/>
      <c r="AQ181" s="164"/>
      <c r="AR181" s="164"/>
      <c r="AS181" s="164"/>
      <c r="AT181" s="164"/>
      <c r="AU181" s="164"/>
      <c r="AV181" s="164"/>
      <c r="AW181" s="164"/>
      <c r="AX181" s="164"/>
      <c r="AY181" s="164"/>
      <c r="AZ181" s="164"/>
      <c r="BA181" s="164"/>
      <c r="BB181" s="164"/>
      <c r="BC181" s="164"/>
      <c r="BD181" s="164"/>
      <c r="BE181" s="164"/>
      <c r="BF181" s="164"/>
      <c r="BG181" s="164"/>
    </row>
    <row r="182" ht="10.5" customHeight="1">
      <c r="A182" s="202" t="s">
        <v>280</v>
      </c>
      <c r="B182" s="280"/>
      <c r="C182" s="280"/>
      <c r="D182" s="280"/>
      <c r="E182" s="280">
        <f>+E181/('Income Statement'!E11+'Income Statement'!D11+'Income Statement'!C11+'Income Statement'!B11)</f>
        <v>0.05951285962</v>
      </c>
      <c r="F182" s="281"/>
      <c r="G182" s="280">
        <f>+G181/('Income Statement'!G11+'Income Statement'!E11+'Income Statement'!D11+'Income Statement'!C11)</f>
        <v>0.07401315632</v>
      </c>
      <c r="H182" s="280">
        <f>+H181/('Income Statement'!H11+'Income Statement'!G11+'Income Statement'!E11+'Income Statement'!D11)</f>
        <v>0.07065514784</v>
      </c>
      <c r="I182" s="280">
        <f>+I181/('Income Statement'!I11+'Income Statement'!H11+'Income Statement'!G11+'Income Statement'!E11)</f>
        <v>0.06089986434</v>
      </c>
      <c r="J182" s="280">
        <f>+J181/('Income Statement'!J11+'Income Statement'!I11+'Income Statement'!H11+'Income Statement'!G11)</f>
        <v>0.05256276372</v>
      </c>
      <c r="K182" s="281"/>
      <c r="L182" s="280">
        <f>+L181/('Income Statement'!L11+'Income Statement'!J11+'Income Statement'!I11+'Income Statement'!H11)</f>
        <v>0.06672318163</v>
      </c>
      <c r="M182" s="280">
        <f>+M181/('Income Statement'!M11+'Income Statement'!L11+'Income Statement'!J11+'Income Statement'!I11)</f>
        <v>0.06183547599</v>
      </c>
      <c r="N182" s="280">
        <f>+N181/('Income Statement'!N11+'Income Statement'!M11+'Income Statement'!K11+'Income Statement'!J11)</f>
        <v>0.02973517869</v>
      </c>
      <c r="O182" s="282">
        <f>J182</f>
        <v>0.05256276372</v>
      </c>
      <c r="P182" s="281"/>
      <c r="Q182" s="282">
        <f t="shared" ref="Q182:T182" si="365">L182</f>
        <v>0.06672318163</v>
      </c>
      <c r="R182" s="282">
        <f t="shared" si="365"/>
        <v>0.06183547599</v>
      </c>
      <c r="S182" s="282">
        <f t="shared" si="365"/>
        <v>0.02973517869</v>
      </c>
      <c r="T182" s="282">
        <f t="shared" si="365"/>
        <v>0.05256276372</v>
      </c>
      <c r="U182" s="281"/>
      <c r="V182" s="282">
        <f t="shared" ref="V182:Y182" si="366">Q182</f>
        <v>0.06672318163</v>
      </c>
      <c r="W182" s="282">
        <f t="shared" si="366"/>
        <v>0.06183547599</v>
      </c>
      <c r="X182" s="282">
        <f t="shared" si="366"/>
        <v>0.02973517869</v>
      </c>
      <c r="Y182" s="282">
        <f t="shared" si="366"/>
        <v>0.05256276372</v>
      </c>
      <c r="Z182" s="281"/>
      <c r="AA182" s="282">
        <f t="shared" ref="AA182:AD182" si="367">V182</f>
        <v>0.06672318163</v>
      </c>
      <c r="AB182" s="282">
        <f t="shared" si="367"/>
        <v>0.06183547599</v>
      </c>
      <c r="AC182" s="282">
        <f t="shared" si="367"/>
        <v>0.02973517869</v>
      </c>
      <c r="AD182" s="282">
        <f t="shared" si="367"/>
        <v>0.05256276372</v>
      </c>
      <c r="AE182" s="281"/>
      <c r="AF182" s="282">
        <f t="shared" ref="AF182:AI182" si="368">AA182</f>
        <v>0.06672318163</v>
      </c>
      <c r="AG182" s="282">
        <f t="shared" si="368"/>
        <v>0.06183547599</v>
      </c>
      <c r="AH182" s="282">
        <f t="shared" si="368"/>
        <v>0.02973517869</v>
      </c>
      <c r="AI182" s="282">
        <f t="shared" si="368"/>
        <v>0.05256276372</v>
      </c>
      <c r="AJ182" s="281"/>
      <c r="AK182" s="282">
        <f t="shared" ref="AK182:AN182" si="369">AF182</f>
        <v>0.06672318163</v>
      </c>
      <c r="AL182" s="282">
        <f t="shared" si="369"/>
        <v>0.06183547599</v>
      </c>
      <c r="AM182" s="282">
        <f t="shared" si="369"/>
        <v>0.02973517869</v>
      </c>
      <c r="AN182" s="282">
        <f t="shared" si="369"/>
        <v>0.05256276372</v>
      </c>
      <c r="AO182" s="281"/>
      <c r="AP182" s="164"/>
      <c r="AQ182" s="164"/>
      <c r="AR182" s="164"/>
      <c r="AS182" s="164"/>
      <c r="AT182" s="164"/>
      <c r="AU182" s="164"/>
      <c r="AV182" s="164"/>
      <c r="AW182" s="164"/>
      <c r="AX182" s="164"/>
      <c r="AY182" s="164"/>
      <c r="AZ182" s="164"/>
      <c r="BA182" s="164"/>
      <c r="BB182" s="164"/>
      <c r="BC182" s="164"/>
      <c r="BD182" s="164"/>
      <c r="BE182" s="164"/>
      <c r="BF182" s="164"/>
      <c r="BG182" s="164"/>
    </row>
    <row r="183" ht="10.5" customHeight="1">
      <c r="A183" s="164"/>
      <c r="B183" s="165"/>
      <c r="C183" s="165"/>
      <c r="D183" s="165"/>
      <c r="E183" s="165"/>
      <c r="F183" s="165"/>
      <c r="G183" s="165"/>
      <c r="H183" s="165"/>
      <c r="I183" s="165"/>
      <c r="J183" s="165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  <c r="AA183" s="165"/>
      <c r="AB183" s="165"/>
      <c r="AC183" s="165"/>
      <c r="AD183" s="165"/>
      <c r="AE183" s="165"/>
      <c r="AF183" s="165"/>
      <c r="AG183" s="165"/>
      <c r="AH183" s="165"/>
      <c r="AI183" s="165"/>
      <c r="AJ183" s="165"/>
      <c r="AK183" s="165"/>
      <c r="AL183" s="165"/>
      <c r="AM183" s="165"/>
      <c r="AN183" s="165"/>
      <c r="AO183" s="165"/>
      <c r="AP183" s="164"/>
      <c r="AQ183" s="164"/>
      <c r="AR183" s="164"/>
      <c r="AS183" s="164"/>
      <c r="AT183" s="164"/>
      <c r="AU183" s="164"/>
      <c r="AV183" s="164"/>
      <c r="AW183" s="164"/>
      <c r="AX183" s="164"/>
      <c r="AY183" s="164"/>
      <c r="AZ183" s="164"/>
      <c r="BA183" s="164"/>
      <c r="BB183" s="164"/>
      <c r="BC183" s="164"/>
      <c r="BD183" s="164"/>
      <c r="BE183" s="164"/>
      <c r="BF183" s="164"/>
      <c r="BG183" s="164"/>
    </row>
    <row r="184" ht="10.5" customHeight="1">
      <c r="A184" s="181" t="s">
        <v>290</v>
      </c>
      <c r="B184" s="165"/>
      <c r="C184" s="165"/>
      <c r="D184" s="165"/>
      <c r="E184" s="165"/>
      <c r="F184" s="165"/>
      <c r="G184" s="165"/>
      <c r="H184" s="165"/>
      <c r="I184" s="165"/>
      <c r="J184" s="165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  <c r="AA184" s="165"/>
      <c r="AB184" s="165"/>
      <c r="AC184" s="165"/>
      <c r="AD184" s="165"/>
      <c r="AE184" s="165"/>
      <c r="AF184" s="165"/>
      <c r="AG184" s="165"/>
      <c r="AH184" s="165"/>
      <c r="AI184" s="165"/>
      <c r="AJ184" s="165"/>
      <c r="AK184" s="165"/>
      <c r="AL184" s="165"/>
      <c r="AM184" s="165"/>
      <c r="AN184" s="165"/>
      <c r="AO184" s="165"/>
      <c r="AP184" s="164"/>
      <c r="AQ184" s="164"/>
      <c r="AR184" s="164"/>
      <c r="AS184" s="164"/>
      <c r="AT184" s="164"/>
      <c r="AU184" s="164"/>
      <c r="AV184" s="164"/>
      <c r="AW184" s="164"/>
      <c r="AX184" s="164"/>
      <c r="AY184" s="164"/>
      <c r="AZ184" s="164"/>
      <c r="BA184" s="164"/>
      <c r="BB184" s="164"/>
      <c r="BC184" s="164"/>
      <c r="BD184" s="164"/>
      <c r="BE184" s="164"/>
      <c r="BF184" s="164"/>
      <c r="BG184" s="164"/>
    </row>
    <row r="185" ht="10.5" customHeight="1">
      <c r="A185" s="283" t="s">
        <v>291</v>
      </c>
      <c r="B185" s="284">
        <f>'Cash Flow Statement'!B45</f>
        <v>97.91</v>
      </c>
      <c r="C185" s="284">
        <f>'Cash Flow Statement'!C45</f>
        <v>59.42</v>
      </c>
      <c r="D185" s="284">
        <f>'Cash Flow Statement'!D45</f>
        <v>109.59</v>
      </c>
      <c r="E185" s="284">
        <f>'Cash Flow Statement'!E45</f>
        <v>63.334</v>
      </c>
      <c r="F185" s="285">
        <f>'Cash Flow Statement'!F45</f>
        <v>330.254</v>
      </c>
      <c r="G185" s="284">
        <f>'Cash Flow Statement'!G45</f>
        <v>89.732</v>
      </c>
      <c r="H185" s="284">
        <f>'Cash Flow Statement'!H45</f>
        <v>78.216</v>
      </c>
      <c r="I185" s="284">
        <f>'Cash Flow Statement'!I45</f>
        <v>126.794</v>
      </c>
      <c r="J185" s="284">
        <f>'Cash Flow Statement'!J45</f>
        <v>49.131</v>
      </c>
      <c r="K185" s="285">
        <f>'Cash Flow Statement'!K45</f>
        <v>343.873</v>
      </c>
      <c r="L185" s="284">
        <f>'Cash Flow Statement'!L45</f>
        <v>133.927</v>
      </c>
      <c r="M185" s="284">
        <f>'Cash Flow Statement'!M45</f>
        <v>43.967</v>
      </c>
      <c r="N185" s="284">
        <f>'Cash Flow Statement'!N45</f>
        <v>131.467</v>
      </c>
      <c r="O185" s="284">
        <f>'Cash Flow Statement'!O45</f>
        <v>78.02394586</v>
      </c>
      <c r="P185" s="285">
        <f>'Cash Flow Statement'!P45</f>
        <v>387.3849459</v>
      </c>
      <c r="Q185" s="284">
        <f>'Cash Flow Statement'!Q45</f>
        <v>160.3990599</v>
      </c>
      <c r="R185" s="284">
        <f>'Cash Flow Statement'!R45</f>
        <v>98.7320372</v>
      </c>
      <c r="S185" s="284">
        <f>'Cash Flow Statement'!S45</f>
        <v>88.95305047</v>
      </c>
      <c r="T185" s="284">
        <f>'Cash Flow Statement'!T45</f>
        <v>96.78878674</v>
      </c>
      <c r="U185" s="285">
        <f>'Cash Flow Statement'!U45</f>
        <v>444.8729343</v>
      </c>
      <c r="V185" s="284">
        <f>'Cash Flow Statement'!V45</f>
        <v>189.5415702</v>
      </c>
      <c r="W185" s="284">
        <f>'Cash Flow Statement'!W45</f>
        <v>113.1328089</v>
      </c>
      <c r="X185" s="284">
        <f>'Cash Flow Statement'!X45</f>
        <v>102.9406338</v>
      </c>
      <c r="Y185" s="284">
        <f>'Cash Flow Statement'!Y45</f>
        <v>110.1128488</v>
      </c>
      <c r="Z185" s="285">
        <f>'Cash Flow Statement'!Z45</f>
        <v>515.7278617</v>
      </c>
      <c r="AA185" s="284">
        <f>'Cash Flow Statement'!AA45</f>
        <v>215.075408</v>
      </c>
      <c r="AB185" s="284">
        <f>'Cash Flow Statement'!AB45</f>
        <v>127.1082659</v>
      </c>
      <c r="AC185" s="284">
        <f>'Cash Flow Statement'!AC45</f>
        <v>116.9220458</v>
      </c>
      <c r="AD185" s="284">
        <f>'Cash Flow Statement'!AD45</f>
        <v>122.5314896</v>
      </c>
      <c r="AE185" s="285">
        <f>'Cash Flow Statement'!AE45</f>
        <v>581.6372093</v>
      </c>
      <c r="AF185" s="284">
        <f>'Cash Flow Statement'!AF45</f>
        <v>245.6112009</v>
      </c>
      <c r="AG185" s="284">
        <f>'Cash Flow Statement'!AG45</f>
        <v>140.9749087</v>
      </c>
      <c r="AH185" s="284">
        <f>'Cash Flow Statement'!AH45</f>
        <v>126.1770061</v>
      </c>
      <c r="AI185" s="284">
        <f>'Cash Flow Statement'!AI45</f>
        <v>132.6432017</v>
      </c>
      <c r="AJ185" s="285">
        <f>'Cash Flow Statement'!AJ45</f>
        <v>645.4063173</v>
      </c>
      <c r="AK185" s="284">
        <f>'Cash Flow Statement'!AK45</f>
        <v>269.3928757</v>
      </c>
      <c r="AL185" s="284">
        <f>'Cash Flow Statement'!AL45</f>
        <v>154.8180941</v>
      </c>
      <c r="AM185" s="284">
        <f>'Cash Flow Statement'!AM45</f>
        <v>139.0984254</v>
      </c>
      <c r="AN185" s="284">
        <f>'Cash Flow Statement'!AN45</f>
        <v>145.380713</v>
      </c>
      <c r="AO185" s="285">
        <f>'Cash Flow Statement'!AO45</f>
        <v>708.6901083</v>
      </c>
      <c r="AP185" s="164"/>
      <c r="AQ185" s="164"/>
      <c r="AR185" s="164"/>
      <c r="AS185" s="164"/>
      <c r="AT185" s="164"/>
      <c r="AU185" s="164"/>
      <c r="AV185" s="164"/>
      <c r="AW185" s="164"/>
      <c r="AX185" s="164"/>
      <c r="AY185" s="164"/>
      <c r="AZ185" s="164"/>
      <c r="BA185" s="164"/>
      <c r="BB185" s="164"/>
      <c r="BC185" s="164"/>
      <c r="BD185" s="164"/>
      <c r="BE185" s="164"/>
      <c r="BF185" s="164"/>
      <c r="BG185" s="164"/>
    </row>
    <row r="186" ht="10.5" customHeight="1">
      <c r="A186" s="164" t="s">
        <v>292</v>
      </c>
      <c r="B186" s="286">
        <f>'Cash Flow Statement'!B47</f>
        <v>-22.997</v>
      </c>
      <c r="C186" s="286">
        <f>'Cash Flow Statement'!C47</f>
        <v>-22.146</v>
      </c>
      <c r="D186" s="286">
        <f>'Cash Flow Statement'!D47</f>
        <v>-39.493</v>
      </c>
      <c r="E186" s="286">
        <f>'Cash Flow Statement'!E47</f>
        <v>-51.35</v>
      </c>
      <c r="F186" s="287">
        <f>'Cash Flow Statement'!F47</f>
        <v>-135.986</v>
      </c>
      <c r="G186" s="286">
        <f>'Cash Flow Statement'!G47</f>
        <v>-26.311</v>
      </c>
      <c r="H186" s="286">
        <f>'Cash Flow Statement'!H47</f>
        <v>-38.034</v>
      </c>
      <c r="I186" s="286">
        <f>'Cash Flow Statement'!I47</f>
        <v>-48.623</v>
      </c>
      <c r="J186" s="286">
        <f>'Cash Flow Statement'!J47</f>
        <v>-42.093</v>
      </c>
      <c r="K186" s="287">
        <f>'Cash Flow Statement'!K47</f>
        <v>-155.061</v>
      </c>
      <c r="L186" s="286">
        <f>'Cash Flow Statement'!L47</f>
        <v>-23.055</v>
      </c>
      <c r="M186" s="286">
        <f>'Cash Flow Statement'!M47</f>
        <v>-35.746</v>
      </c>
      <c r="N186" s="286">
        <f>'Cash Flow Statement'!N47</f>
        <v>-54.776</v>
      </c>
      <c r="O186" s="286">
        <f>'Cash Flow Statement'!O47</f>
        <v>-69.33686319</v>
      </c>
      <c r="P186" s="287">
        <f>'Cash Flow Statement'!P47</f>
        <v>-182.9138632</v>
      </c>
      <c r="Q186" s="286">
        <f>'Cash Flow Statement'!Q47</f>
        <v>-28.5868758</v>
      </c>
      <c r="R186" s="286">
        <f>'Cash Flow Statement'!R47</f>
        <v>-38.76054404</v>
      </c>
      <c r="S186" s="286">
        <f>'Cash Flow Statement'!S47</f>
        <v>-52.65298898</v>
      </c>
      <c r="T186" s="286">
        <f>'Cash Flow Statement'!T47</f>
        <v>-49.26951128</v>
      </c>
      <c r="U186" s="287">
        <f>'Cash Flow Statement'!U47</f>
        <v>-169.2699201</v>
      </c>
      <c r="V186" s="286">
        <f>'Cash Flow Statement'!V47</f>
        <v>-35.3034502</v>
      </c>
      <c r="W186" s="286">
        <f>'Cash Flow Statement'!W47</f>
        <v>-42.9334372</v>
      </c>
      <c r="X186" s="286">
        <f>'Cash Flow Statement'!X47</f>
        <v>-41.57912906</v>
      </c>
      <c r="Y186" s="286">
        <f>'Cash Flow Statement'!Y47</f>
        <v>-45.29770454</v>
      </c>
      <c r="Z186" s="287">
        <f>'Cash Flow Statement'!Z47</f>
        <v>-165.113721</v>
      </c>
      <c r="AA186" s="286">
        <f>'Cash Flow Statement'!AA47</f>
        <v>-38.91039478</v>
      </c>
      <c r="AB186" s="286">
        <f>'Cash Flow Statement'!AB47</f>
        <v>-46.91167593</v>
      </c>
      <c r="AC186" s="286">
        <f>'Cash Flow Statement'!AC47</f>
        <v>-45.40989254</v>
      </c>
      <c r="AD186" s="286">
        <f>'Cash Flow Statement'!AD47</f>
        <v>-49.28096549</v>
      </c>
      <c r="AE186" s="287">
        <f>'Cash Flow Statement'!AE47</f>
        <v>-180.5129287</v>
      </c>
      <c r="AF186" s="286">
        <f>'Cash Flow Statement'!AF47</f>
        <v>-42.50570932</v>
      </c>
      <c r="AG186" s="286">
        <f>'Cash Flow Statement'!AG47</f>
        <v>-50.74447469</v>
      </c>
      <c r="AH186" s="286">
        <f>'Cash Flow Statement'!AH47</f>
        <v>-49.02731388</v>
      </c>
      <c r="AI186" s="286">
        <f>'Cash Flow Statement'!AI47</f>
        <v>-52.90138512</v>
      </c>
      <c r="AJ186" s="287">
        <f>'Cash Flow Statement'!AJ47</f>
        <v>-195.178883</v>
      </c>
      <c r="AK186" s="286">
        <f>'Cash Flow Statement'!AK47</f>
        <v>-45.7990054</v>
      </c>
      <c r="AL186" s="286">
        <f>'Cash Flow Statement'!AL47</f>
        <v>-54.31288922</v>
      </c>
      <c r="AM186" s="286">
        <f>'Cash Flow Statement'!AM47</f>
        <v>-52.45370856</v>
      </c>
      <c r="AN186" s="286">
        <f>'Cash Flow Statement'!AN47</f>
        <v>-56.4370547</v>
      </c>
      <c r="AO186" s="287">
        <f>'Cash Flow Statement'!AO47</f>
        <v>-209.0026579</v>
      </c>
      <c r="AP186" s="164"/>
      <c r="AQ186" s="164"/>
      <c r="AR186" s="164"/>
      <c r="AS186" s="164"/>
      <c r="AT186" s="164"/>
      <c r="AU186" s="164"/>
      <c r="AV186" s="164"/>
      <c r="AW186" s="164"/>
      <c r="AX186" s="164"/>
      <c r="AY186" s="164"/>
      <c r="AZ186" s="164"/>
      <c r="BA186" s="164"/>
      <c r="BB186" s="164"/>
      <c r="BC186" s="164"/>
      <c r="BD186" s="164"/>
      <c r="BE186" s="164"/>
      <c r="BF186" s="164"/>
      <c r="BG186" s="164"/>
    </row>
    <row r="187" ht="10.5" customHeight="1">
      <c r="A187" s="288" t="s">
        <v>293</v>
      </c>
      <c r="B187" s="286">
        <f t="shared" ref="B187:AO187" si="370">SUM(B185:B186)</f>
        <v>74.913</v>
      </c>
      <c r="C187" s="286">
        <f t="shared" si="370"/>
        <v>37.274</v>
      </c>
      <c r="D187" s="286">
        <f t="shared" si="370"/>
        <v>70.097</v>
      </c>
      <c r="E187" s="286">
        <f t="shared" si="370"/>
        <v>11.984</v>
      </c>
      <c r="F187" s="287">
        <f t="shared" si="370"/>
        <v>194.268</v>
      </c>
      <c r="G187" s="286">
        <f t="shared" si="370"/>
        <v>63.421</v>
      </c>
      <c r="H187" s="286">
        <f t="shared" si="370"/>
        <v>40.182</v>
      </c>
      <c r="I187" s="286">
        <f t="shared" si="370"/>
        <v>78.171</v>
      </c>
      <c r="J187" s="286">
        <f t="shared" si="370"/>
        <v>7.038</v>
      </c>
      <c r="K187" s="287">
        <f t="shared" si="370"/>
        <v>188.812</v>
      </c>
      <c r="L187" s="286">
        <f t="shared" si="370"/>
        <v>110.872</v>
      </c>
      <c r="M187" s="286">
        <f t="shared" si="370"/>
        <v>8.221</v>
      </c>
      <c r="N187" s="286">
        <f t="shared" si="370"/>
        <v>76.691</v>
      </c>
      <c r="O187" s="286">
        <f t="shared" si="370"/>
        <v>8.687082666</v>
      </c>
      <c r="P187" s="287">
        <f t="shared" si="370"/>
        <v>204.4710827</v>
      </c>
      <c r="Q187" s="286">
        <f t="shared" si="370"/>
        <v>131.8121841</v>
      </c>
      <c r="R187" s="286">
        <f t="shared" si="370"/>
        <v>59.97149316</v>
      </c>
      <c r="S187" s="286">
        <f t="shared" si="370"/>
        <v>36.30006149</v>
      </c>
      <c r="T187" s="286">
        <f t="shared" si="370"/>
        <v>47.51927545</v>
      </c>
      <c r="U187" s="287">
        <f t="shared" si="370"/>
        <v>275.6030142</v>
      </c>
      <c r="V187" s="286">
        <f t="shared" si="370"/>
        <v>154.23812</v>
      </c>
      <c r="W187" s="286">
        <f t="shared" si="370"/>
        <v>70.19937168</v>
      </c>
      <c r="X187" s="286">
        <f t="shared" si="370"/>
        <v>61.36150474</v>
      </c>
      <c r="Y187" s="286">
        <f t="shared" si="370"/>
        <v>64.81514429</v>
      </c>
      <c r="Z187" s="287">
        <f t="shared" si="370"/>
        <v>350.6141407</v>
      </c>
      <c r="AA187" s="286">
        <f t="shared" si="370"/>
        <v>176.1650132</v>
      </c>
      <c r="AB187" s="286">
        <f t="shared" si="370"/>
        <v>80.19658998</v>
      </c>
      <c r="AC187" s="286">
        <f t="shared" si="370"/>
        <v>71.51215324</v>
      </c>
      <c r="AD187" s="286">
        <f t="shared" si="370"/>
        <v>73.2505241</v>
      </c>
      <c r="AE187" s="287">
        <f t="shared" si="370"/>
        <v>401.1242805</v>
      </c>
      <c r="AF187" s="286">
        <f t="shared" si="370"/>
        <v>203.1054916</v>
      </c>
      <c r="AG187" s="286">
        <f t="shared" si="370"/>
        <v>90.23043396</v>
      </c>
      <c r="AH187" s="286">
        <f t="shared" si="370"/>
        <v>77.14969223</v>
      </c>
      <c r="AI187" s="286">
        <f t="shared" si="370"/>
        <v>79.74181656</v>
      </c>
      <c r="AJ187" s="287">
        <f t="shared" si="370"/>
        <v>450.2274343</v>
      </c>
      <c r="AK187" s="286">
        <f t="shared" si="370"/>
        <v>223.5938703</v>
      </c>
      <c r="AL187" s="286">
        <f t="shared" si="370"/>
        <v>100.5052049</v>
      </c>
      <c r="AM187" s="286">
        <f t="shared" si="370"/>
        <v>86.64471685</v>
      </c>
      <c r="AN187" s="286">
        <f t="shared" si="370"/>
        <v>88.9436583</v>
      </c>
      <c r="AO187" s="287">
        <f t="shared" si="370"/>
        <v>499.6874504</v>
      </c>
      <c r="AP187" s="164"/>
      <c r="AQ187" s="164"/>
      <c r="AR187" s="164"/>
      <c r="AS187" s="164"/>
      <c r="AT187" s="164"/>
      <c r="AU187" s="164"/>
      <c r="AV187" s="164"/>
      <c r="AW187" s="164"/>
      <c r="AX187" s="164"/>
      <c r="AY187" s="164"/>
      <c r="AZ187" s="164"/>
      <c r="BA187" s="164"/>
      <c r="BB187" s="164"/>
      <c r="BC187" s="164"/>
      <c r="BD187" s="164"/>
      <c r="BE187" s="164"/>
      <c r="BF187" s="164"/>
      <c r="BG187" s="164"/>
    </row>
    <row r="188" ht="10.5" customHeight="1">
      <c r="A188" s="164" t="s">
        <v>294</v>
      </c>
      <c r="B188" s="286">
        <f>'Income Statement'!B72</f>
        <v>73.407</v>
      </c>
      <c r="C188" s="286">
        <f>'Income Statement'!C72</f>
        <v>100.943</v>
      </c>
      <c r="D188" s="286">
        <f>'Income Statement'!D72</f>
        <v>94.314</v>
      </c>
      <c r="E188" s="286">
        <f>'Income Statement'!E72</f>
        <v>96.7</v>
      </c>
      <c r="F188" s="287">
        <f>'Income Statement'!F72</f>
        <v>435.376</v>
      </c>
      <c r="G188" s="286">
        <f>'Income Statement'!G72</f>
        <v>106.311</v>
      </c>
      <c r="H188" s="286">
        <f>'Income Statement'!H72</f>
        <v>127.503</v>
      </c>
      <c r="I188" s="286">
        <f>'Income Statement'!I72</f>
        <v>123.071</v>
      </c>
      <c r="J188" s="286">
        <f>'Income Statement'!J72</f>
        <v>130.825</v>
      </c>
      <c r="K188" s="287">
        <f>'Income Statement'!K72</f>
        <v>487.71</v>
      </c>
      <c r="L188" s="286">
        <f>'Income Statement'!L72</f>
        <v>117.005</v>
      </c>
      <c r="M188" s="286">
        <f>'Income Statement'!M72</f>
        <v>147.609</v>
      </c>
      <c r="N188" s="286">
        <f>'Income Statement'!N72</f>
        <v>140.766</v>
      </c>
      <c r="O188" s="286">
        <f>'Income Statement'!O72</f>
        <v>143.425375</v>
      </c>
      <c r="P188" s="287">
        <f>'Income Statement'!P72</f>
        <v>548.805375</v>
      </c>
      <c r="Q188" s="286">
        <f>'Income Statement'!Q72</f>
        <v>136.1026799</v>
      </c>
      <c r="R188" s="286">
        <f>'Income Statement'!R72</f>
        <v>168.8534726</v>
      </c>
      <c r="S188" s="286">
        <f>'Income Statement'!S72</f>
        <v>163.0838218</v>
      </c>
      <c r="T188" s="286">
        <f>'Income Statement'!T72</f>
        <v>165.5441399</v>
      </c>
      <c r="U188" s="287">
        <f>'Income Statement'!U72</f>
        <v>633.5841142</v>
      </c>
      <c r="V188" s="286">
        <f>'Income Statement'!V72</f>
        <v>155.820987</v>
      </c>
      <c r="W188" s="286">
        <f>'Income Statement'!W72</f>
        <v>190.135924</v>
      </c>
      <c r="X188" s="286">
        <f>'Income Statement'!X72</f>
        <v>183.2168685</v>
      </c>
      <c r="Y188" s="286">
        <f>'Income Statement'!Y72</f>
        <v>185.6397964</v>
      </c>
      <c r="Z188" s="287">
        <f>'Income Statement'!Z72</f>
        <v>714.8135759</v>
      </c>
      <c r="AA188" s="286">
        <f>'Income Statement'!AA72</f>
        <v>173.16335</v>
      </c>
      <c r="AB188" s="286">
        <f>'Income Statement'!AB72</f>
        <v>208.9547901</v>
      </c>
      <c r="AC188" s="286">
        <f>'Income Statement'!AC72</f>
        <v>201.206233</v>
      </c>
      <c r="AD188" s="286">
        <f>'Income Statement'!AD72</f>
        <v>202.9029746</v>
      </c>
      <c r="AE188" s="287">
        <f>'Income Statement'!AE72</f>
        <v>786.2273478</v>
      </c>
      <c r="AF188" s="286">
        <f>'Income Statement'!AF72</f>
        <v>198.8742313</v>
      </c>
      <c r="AG188" s="286">
        <f>'Income Statement'!AG72</f>
        <v>227.0425108</v>
      </c>
      <c r="AH188" s="286">
        <f>'Income Statement'!AH72</f>
        <v>212.356771</v>
      </c>
      <c r="AI188" s="286">
        <f>'Income Statement'!AI72</f>
        <v>215.2274879</v>
      </c>
      <c r="AJ188" s="287">
        <f>'Income Statement'!AJ72</f>
        <v>853.501001</v>
      </c>
      <c r="AK188" s="286">
        <f>'Income Statement'!AK72</f>
        <v>215.0892962</v>
      </c>
      <c r="AL188" s="286">
        <f>'Income Statement'!AL72</f>
        <v>243.6159155</v>
      </c>
      <c r="AM188" s="286">
        <f>'Income Statement'!AM72</f>
        <v>227.7517028</v>
      </c>
      <c r="AN188" s="286">
        <f>'Income Statement'!AN72</f>
        <v>230.0462195</v>
      </c>
      <c r="AO188" s="287">
        <f>'Income Statement'!AO72</f>
        <v>916.503134</v>
      </c>
      <c r="AP188" s="164"/>
      <c r="AQ188" s="164"/>
      <c r="AR188" s="164"/>
      <c r="AS188" s="164"/>
      <c r="AT188" s="164"/>
      <c r="AU188" s="164"/>
      <c r="AV188" s="164"/>
      <c r="AW188" s="164"/>
      <c r="AX188" s="164"/>
      <c r="AY188" s="164"/>
      <c r="AZ188" s="164"/>
      <c r="BA188" s="164"/>
      <c r="BB188" s="164"/>
      <c r="BC188" s="164"/>
      <c r="BD188" s="164"/>
      <c r="BE188" s="164"/>
      <c r="BF188" s="164"/>
      <c r="BG188" s="164"/>
    </row>
    <row r="189" ht="10.5" customHeight="1">
      <c r="A189" s="164" t="s">
        <v>295</v>
      </c>
      <c r="B189" s="289">
        <f t="shared" ref="B189:AO189" si="371">IFERROR(B187/B188,"NA")</f>
        <v>1.020515755</v>
      </c>
      <c r="C189" s="289">
        <f t="shared" si="371"/>
        <v>0.369257898</v>
      </c>
      <c r="D189" s="289">
        <f t="shared" si="371"/>
        <v>0.7432300613</v>
      </c>
      <c r="E189" s="289">
        <f t="shared" si="371"/>
        <v>0.1239296794</v>
      </c>
      <c r="F189" s="290">
        <f t="shared" si="371"/>
        <v>0.4462074161</v>
      </c>
      <c r="G189" s="289">
        <f t="shared" si="371"/>
        <v>0.5965610332</v>
      </c>
      <c r="H189" s="289">
        <f t="shared" si="371"/>
        <v>0.315145526</v>
      </c>
      <c r="I189" s="289">
        <f t="shared" si="371"/>
        <v>0.6351699426</v>
      </c>
      <c r="J189" s="289">
        <f t="shared" si="371"/>
        <v>0.05379705714</v>
      </c>
      <c r="K189" s="290">
        <f t="shared" si="371"/>
        <v>0.3871398987</v>
      </c>
      <c r="L189" s="289">
        <f t="shared" si="371"/>
        <v>0.9475834366</v>
      </c>
      <c r="M189" s="289">
        <f t="shared" si="371"/>
        <v>0.05569443598</v>
      </c>
      <c r="N189" s="289">
        <f t="shared" si="371"/>
        <v>0.5448119574</v>
      </c>
      <c r="O189" s="289">
        <f t="shared" si="371"/>
        <v>0.06056865926</v>
      </c>
      <c r="P189" s="290">
        <f t="shared" si="371"/>
        <v>0.3725748544</v>
      </c>
      <c r="Q189" s="289">
        <f t="shared" si="371"/>
        <v>0.9684760373</v>
      </c>
      <c r="R189" s="289">
        <f t="shared" si="371"/>
        <v>0.3551688469</v>
      </c>
      <c r="S189" s="289">
        <f t="shared" si="371"/>
        <v>0.2225853005</v>
      </c>
      <c r="T189" s="289">
        <f t="shared" si="371"/>
        <v>0.2870489737</v>
      </c>
      <c r="U189" s="290">
        <f t="shared" si="371"/>
        <v>0.434990411</v>
      </c>
      <c r="V189" s="289">
        <f t="shared" si="371"/>
        <v>0.9898417595</v>
      </c>
      <c r="W189" s="289">
        <f t="shared" si="371"/>
        <v>0.3692062509</v>
      </c>
      <c r="X189" s="289">
        <f t="shared" si="371"/>
        <v>0.3349118737</v>
      </c>
      <c r="Y189" s="289">
        <f t="shared" si="371"/>
        <v>0.3491446638</v>
      </c>
      <c r="Z189" s="290">
        <f t="shared" si="371"/>
        <v>0.4904973163</v>
      </c>
      <c r="AA189" s="289">
        <f t="shared" si="371"/>
        <v>1.017334287</v>
      </c>
      <c r="AB189" s="289">
        <f t="shared" si="371"/>
        <v>0.3837987631</v>
      </c>
      <c r="AC189" s="289">
        <f t="shared" si="371"/>
        <v>0.3554171864</v>
      </c>
      <c r="AD189" s="289">
        <f t="shared" si="371"/>
        <v>0.361012569</v>
      </c>
      <c r="AE189" s="290">
        <f t="shared" si="371"/>
        <v>0.5101886645</v>
      </c>
      <c r="AF189" s="289">
        <f t="shared" si="371"/>
        <v>1.021276061</v>
      </c>
      <c r="AG189" s="289">
        <f t="shared" si="371"/>
        <v>0.3974164734</v>
      </c>
      <c r="AH189" s="289">
        <f t="shared" si="371"/>
        <v>0.3633022478</v>
      </c>
      <c r="AI189" s="289">
        <f t="shared" si="371"/>
        <v>0.37050015</v>
      </c>
      <c r="AJ189" s="290">
        <f t="shared" si="371"/>
        <v>0.5275066272</v>
      </c>
      <c r="AK189" s="289">
        <f t="shared" si="371"/>
        <v>1.039539737</v>
      </c>
      <c r="AL189" s="289">
        <f t="shared" si="371"/>
        <v>0.4125559887</v>
      </c>
      <c r="AM189" s="289">
        <f t="shared" si="371"/>
        <v>0.3804349903</v>
      </c>
      <c r="AN189" s="289">
        <f t="shared" si="371"/>
        <v>0.3866338621</v>
      </c>
      <c r="AO189" s="290">
        <f t="shared" si="371"/>
        <v>0.5452108474</v>
      </c>
      <c r="AP189" s="164"/>
      <c r="AQ189" s="164"/>
      <c r="AR189" s="164"/>
      <c r="AS189" s="164"/>
      <c r="AT189" s="164"/>
      <c r="AU189" s="164"/>
      <c r="AV189" s="164"/>
      <c r="AW189" s="164"/>
      <c r="AX189" s="164"/>
      <c r="AY189" s="164"/>
      <c r="AZ189" s="164"/>
      <c r="BA189" s="164"/>
      <c r="BB189" s="164"/>
      <c r="BC189" s="164"/>
      <c r="BD189" s="164"/>
      <c r="BE189" s="164"/>
      <c r="BF189" s="164"/>
      <c r="BG189" s="164"/>
    </row>
    <row r="190" ht="10.5" customHeight="1">
      <c r="A190" s="164" t="s">
        <v>296</v>
      </c>
      <c r="B190" s="286">
        <f>'Income Statement'!B39</f>
        <v>84.787</v>
      </c>
      <c r="C190" s="286">
        <f>'Income Statement'!C39</f>
        <v>84.908</v>
      </c>
      <c r="D190" s="286">
        <f>'Income Statement'!D39</f>
        <v>84.886</v>
      </c>
      <c r="E190" s="286">
        <f>'Income Statement'!E39</f>
        <v>86.193</v>
      </c>
      <c r="F190" s="287">
        <f>'Income Statement'!F39</f>
        <v>85.185</v>
      </c>
      <c r="G190" s="286">
        <f>'Income Statement'!G39</f>
        <v>87.222</v>
      </c>
      <c r="H190" s="286">
        <f>'Income Statement'!H39</f>
        <v>86.955</v>
      </c>
      <c r="I190" s="286">
        <f>'Income Statement'!I39</f>
        <v>84.728</v>
      </c>
      <c r="J190" s="286">
        <f>'Income Statement'!J39</f>
        <v>84.442</v>
      </c>
      <c r="K190" s="287">
        <f>'Income Statement'!K39</f>
        <v>85.83675</v>
      </c>
      <c r="L190" s="286">
        <f>'Income Statement'!L39</f>
        <v>84.402</v>
      </c>
      <c r="M190" s="286">
        <f>'Income Statement'!M39</f>
        <v>84.065</v>
      </c>
      <c r="N190" s="286">
        <f>'Income Statement'!N39</f>
        <v>83.717</v>
      </c>
      <c r="O190" s="286">
        <f>'Income Statement'!O39</f>
        <v>83.717</v>
      </c>
      <c r="P190" s="287">
        <f>'Income Statement'!P39</f>
        <v>83.97525</v>
      </c>
      <c r="Q190" s="286">
        <f>'Income Statement'!Q39</f>
        <v>83.717</v>
      </c>
      <c r="R190" s="286">
        <f>'Income Statement'!R39</f>
        <v>83.717</v>
      </c>
      <c r="S190" s="286">
        <f>'Income Statement'!S39</f>
        <v>83.717</v>
      </c>
      <c r="T190" s="286">
        <f>'Income Statement'!T39</f>
        <v>83.717</v>
      </c>
      <c r="U190" s="287">
        <f>'Income Statement'!U39</f>
        <v>83.717</v>
      </c>
      <c r="V190" s="286">
        <f>'Income Statement'!V39</f>
        <v>83.717</v>
      </c>
      <c r="W190" s="286">
        <f>'Income Statement'!W39</f>
        <v>83.717</v>
      </c>
      <c r="X190" s="286">
        <f>'Income Statement'!X39</f>
        <v>83.717</v>
      </c>
      <c r="Y190" s="286">
        <f>'Income Statement'!Y39</f>
        <v>83.717</v>
      </c>
      <c r="Z190" s="287">
        <f>'Income Statement'!Z39</f>
        <v>83.717</v>
      </c>
      <c r="AA190" s="286">
        <f>'Income Statement'!AA39</f>
        <v>83.717</v>
      </c>
      <c r="AB190" s="286">
        <f>'Income Statement'!AB39</f>
        <v>83.717</v>
      </c>
      <c r="AC190" s="286">
        <f>'Income Statement'!AC39</f>
        <v>83.717</v>
      </c>
      <c r="AD190" s="286">
        <f>'Income Statement'!AD39</f>
        <v>83.717</v>
      </c>
      <c r="AE190" s="287">
        <f>'Income Statement'!AE39</f>
        <v>83.717</v>
      </c>
      <c r="AF190" s="286">
        <f>'Income Statement'!AF39</f>
        <v>83.717</v>
      </c>
      <c r="AG190" s="286">
        <f>'Income Statement'!AG39</f>
        <v>83.717</v>
      </c>
      <c r="AH190" s="286">
        <f>'Income Statement'!AH39</f>
        <v>83.717</v>
      </c>
      <c r="AI190" s="286">
        <f>'Income Statement'!AI39</f>
        <v>83.717</v>
      </c>
      <c r="AJ190" s="287">
        <f>'Income Statement'!AJ39</f>
        <v>83.717</v>
      </c>
      <c r="AK190" s="286">
        <f>'Income Statement'!AK39</f>
        <v>83.717</v>
      </c>
      <c r="AL190" s="286">
        <f>'Income Statement'!AL39</f>
        <v>83.717</v>
      </c>
      <c r="AM190" s="286">
        <f>'Income Statement'!AM39</f>
        <v>83.717</v>
      </c>
      <c r="AN190" s="286">
        <f>'Income Statement'!AN39</f>
        <v>83.717</v>
      </c>
      <c r="AO190" s="287">
        <f>'Income Statement'!AO39</f>
        <v>83.717</v>
      </c>
      <c r="AP190" s="164"/>
      <c r="AQ190" s="164"/>
      <c r="AR190" s="164"/>
      <c r="AS190" s="164"/>
      <c r="AT190" s="164"/>
      <c r="AU190" s="164"/>
      <c r="AV190" s="164"/>
      <c r="AW190" s="164"/>
      <c r="AX190" s="164"/>
      <c r="AY190" s="164"/>
      <c r="AZ190" s="164"/>
      <c r="BA190" s="164"/>
      <c r="BB190" s="164"/>
      <c r="BC190" s="164"/>
      <c r="BD190" s="164"/>
      <c r="BE190" s="164"/>
      <c r="BF190" s="164"/>
      <c r="BG190" s="164"/>
    </row>
    <row r="191" ht="10.5" customHeight="1">
      <c r="A191" s="164" t="s">
        <v>297</v>
      </c>
      <c r="B191" s="291">
        <f t="shared" ref="B191:AO191" si="372">IFERROR(B188/B190,"NA")</f>
        <v>0.8657813108</v>
      </c>
      <c r="C191" s="291">
        <f t="shared" si="372"/>
        <v>1.188851463</v>
      </c>
      <c r="D191" s="291">
        <f t="shared" si="372"/>
        <v>1.111066607</v>
      </c>
      <c r="E191" s="291">
        <f t="shared" si="372"/>
        <v>1.12190085</v>
      </c>
      <c r="F191" s="292">
        <f t="shared" si="372"/>
        <v>5.110946763</v>
      </c>
      <c r="G191" s="291">
        <f t="shared" si="372"/>
        <v>1.218855335</v>
      </c>
      <c r="H191" s="291">
        <f t="shared" si="372"/>
        <v>1.46631016</v>
      </c>
      <c r="I191" s="291">
        <f t="shared" si="372"/>
        <v>1.452542253</v>
      </c>
      <c r="J191" s="291">
        <f t="shared" si="372"/>
        <v>1.549288269</v>
      </c>
      <c r="K191" s="292">
        <f t="shared" si="372"/>
        <v>5.681832082</v>
      </c>
      <c r="L191" s="291">
        <f t="shared" si="372"/>
        <v>1.386282316</v>
      </c>
      <c r="M191" s="291">
        <f t="shared" si="372"/>
        <v>1.755891275</v>
      </c>
      <c r="N191" s="291">
        <f t="shared" si="372"/>
        <v>1.681450601</v>
      </c>
      <c r="O191" s="291">
        <f t="shared" si="372"/>
        <v>1.713216849</v>
      </c>
      <c r="P191" s="292">
        <f t="shared" si="372"/>
        <v>6.535322907</v>
      </c>
      <c r="Q191" s="291">
        <f t="shared" si="372"/>
        <v>1.625747219</v>
      </c>
      <c r="R191" s="291">
        <f t="shared" si="372"/>
        <v>2.016955607</v>
      </c>
      <c r="S191" s="291">
        <f t="shared" si="372"/>
        <v>1.948037099</v>
      </c>
      <c r="T191" s="291">
        <f t="shared" si="372"/>
        <v>1.977425611</v>
      </c>
      <c r="U191" s="292">
        <f t="shared" si="372"/>
        <v>7.568165536</v>
      </c>
      <c r="V191" s="291">
        <f t="shared" si="372"/>
        <v>1.8612825</v>
      </c>
      <c r="W191" s="291">
        <f t="shared" si="372"/>
        <v>2.2711746</v>
      </c>
      <c r="X191" s="291">
        <f t="shared" si="372"/>
        <v>2.188526447</v>
      </c>
      <c r="Y191" s="291">
        <f t="shared" si="372"/>
        <v>2.217468332</v>
      </c>
      <c r="Z191" s="292">
        <f t="shared" si="372"/>
        <v>8.538451879</v>
      </c>
      <c r="AA191" s="291">
        <f t="shared" si="372"/>
        <v>2.068437116</v>
      </c>
      <c r="AB191" s="291">
        <f t="shared" si="372"/>
        <v>2.495966054</v>
      </c>
      <c r="AC191" s="291">
        <f t="shared" si="372"/>
        <v>2.403409499</v>
      </c>
      <c r="AD191" s="291">
        <f t="shared" si="372"/>
        <v>2.423677085</v>
      </c>
      <c r="AE191" s="292">
        <f t="shared" si="372"/>
        <v>9.391489754</v>
      </c>
      <c r="AF191" s="291">
        <f t="shared" si="372"/>
        <v>2.375553726</v>
      </c>
      <c r="AG191" s="291">
        <f t="shared" si="372"/>
        <v>2.712023971</v>
      </c>
      <c r="AH191" s="291">
        <f t="shared" si="372"/>
        <v>2.536602733</v>
      </c>
      <c r="AI191" s="291">
        <f t="shared" si="372"/>
        <v>2.570893462</v>
      </c>
      <c r="AJ191" s="292">
        <f t="shared" si="372"/>
        <v>10.19507389</v>
      </c>
      <c r="AK191" s="291">
        <f t="shared" si="372"/>
        <v>2.569242761</v>
      </c>
      <c r="AL191" s="291">
        <f t="shared" si="372"/>
        <v>2.909993377</v>
      </c>
      <c r="AM191" s="291">
        <f t="shared" si="372"/>
        <v>2.720495274</v>
      </c>
      <c r="AN191" s="291">
        <f t="shared" si="372"/>
        <v>2.747903287</v>
      </c>
      <c r="AO191" s="292">
        <f t="shared" si="372"/>
        <v>10.9476347</v>
      </c>
      <c r="AP191" s="164"/>
      <c r="AQ191" s="164"/>
      <c r="AR191" s="164"/>
      <c r="AS191" s="164"/>
      <c r="AT191" s="164"/>
      <c r="AU191" s="164"/>
      <c r="AV191" s="164"/>
      <c r="AW191" s="164"/>
      <c r="AX191" s="164"/>
      <c r="AY191" s="164"/>
      <c r="AZ191" s="164"/>
      <c r="BA191" s="164"/>
      <c r="BB191" s="164"/>
      <c r="BC191" s="164"/>
      <c r="BD191" s="164"/>
      <c r="BE191" s="164"/>
      <c r="BF191" s="164"/>
      <c r="BG191" s="164"/>
    </row>
    <row r="192" ht="10.5" customHeight="1">
      <c r="A192" s="202"/>
      <c r="B192" s="293"/>
      <c r="C192" s="293"/>
      <c r="D192" s="293"/>
      <c r="E192" s="293"/>
      <c r="F192" s="294"/>
      <c r="G192" s="293"/>
      <c r="H192" s="293"/>
      <c r="I192" s="293"/>
      <c r="J192" s="293"/>
      <c r="K192" s="294"/>
      <c r="L192" s="293"/>
      <c r="M192" s="293"/>
      <c r="N192" s="293"/>
      <c r="O192" s="293"/>
      <c r="P192" s="294"/>
      <c r="Q192" s="293"/>
      <c r="R192" s="293"/>
      <c r="S192" s="293"/>
      <c r="T192" s="293"/>
      <c r="U192" s="294"/>
      <c r="V192" s="293"/>
      <c r="W192" s="293"/>
      <c r="X192" s="293"/>
      <c r="Y192" s="293"/>
      <c r="Z192" s="294"/>
      <c r="AA192" s="293"/>
      <c r="AB192" s="293"/>
      <c r="AC192" s="293"/>
      <c r="AD192" s="293"/>
      <c r="AE192" s="294"/>
      <c r="AF192" s="293"/>
      <c r="AG192" s="293"/>
      <c r="AH192" s="293"/>
      <c r="AI192" s="293"/>
      <c r="AJ192" s="294"/>
      <c r="AK192" s="293"/>
      <c r="AL192" s="293"/>
      <c r="AM192" s="293"/>
      <c r="AN192" s="293"/>
      <c r="AO192" s="294"/>
      <c r="AP192" s="164"/>
      <c r="AQ192" s="164"/>
      <c r="AR192" s="164"/>
      <c r="AS192" s="164"/>
      <c r="AT192" s="164"/>
      <c r="AU192" s="164"/>
      <c r="AV192" s="164"/>
      <c r="AW192" s="164"/>
      <c r="AX192" s="164"/>
      <c r="AY192" s="164"/>
      <c r="AZ192" s="164"/>
      <c r="BA192" s="164"/>
      <c r="BB192" s="164"/>
      <c r="BC192" s="164"/>
      <c r="BD192" s="164"/>
      <c r="BE192" s="164"/>
      <c r="BF192" s="164"/>
      <c r="BG192" s="164"/>
    </row>
    <row r="193" ht="10.5" customHeight="1">
      <c r="A193" s="164"/>
      <c r="B193" s="165"/>
      <c r="C193" s="165"/>
      <c r="D193" s="165"/>
      <c r="E193" s="165"/>
      <c r="F193" s="165"/>
      <c r="G193" s="165"/>
      <c r="H193" s="165"/>
      <c r="I193" s="165"/>
      <c r="J193" s="165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  <c r="AA193" s="165"/>
      <c r="AB193" s="165"/>
      <c r="AC193" s="165"/>
      <c r="AD193" s="165"/>
      <c r="AE193" s="165"/>
      <c r="AF193" s="165"/>
      <c r="AG193" s="165"/>
      <c r="AH193" s="165"/>
      <c r="AI193" s="165"/>
      <c r="AJ193" s="165"/>
      <c r="AK193" s="165"/>
      <c r="AL193" s="165"/>
      <c r="AM193" s="165"/>
      <c r="AN193" s="165"/>
      <c r="AO193" s="165"/>
      <c r="AP193" s="164"/>
      <c r="AQ193" s="164"/>
      <c r="AR193" s="164"/>
      <c r="AS193" s="164"/>
      <c r="AT193" s="164"/>
      <c r="AU193" s="164"/>
      <c r="AV193" s="164"/>
      <c r="AW193" s="164"/>
      <c r="AX193" s="164"/>
      <c r="AY193" s="164"/>
      <c r="AZ193" s="164"/>
      <c r="BA193" s="164"/>
      <c r="BB193" s="164"/>
      <c r="BC193" s="164"/>
      <c r="BD193" s="164"/>
      <c r="BE193" s="164"/>
      <c r="BF193" s="164"/>
      <c r="BG193" s="164"/>
    </row>
    <row r="194" ht="10.5" customHeight="1">
      <c r="A194" s="164"/>
      <c r="B194" s="165"/>
      <c r="C194" s="165"/>
      <c r="D194" s="165"/>
      <c r="E194" s="165"/>
      <c r="F194" s="165"/>
      <c r="G194" s="165"/>
      <c r="H194" s="165"/>
      <c r="I194" s="165"/>
      <c r="J194" s="165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  <c r="AA194" s="165"/>
      <c r="AB194" s="165"/>
      <c r="AC194" s="165"/>
      <c r="AD194" s="165"/>
      <c r="AE194" s="165"/>
      <c r="AF194" s="165"/>
      <c r="AG194" s="165"/>
      <c r="AH194" s="165"/>
      <c r="AI194" s="165"/>
      <c r="AJ194" s="165"/>
      <c r="AK194" s="165"/>
      <c r="AL194" s="165"/>
      <c r="AM194" s="165"/>
      <c r="AN194" s="165"/>
      <c r="AO194" s="165"/>
      <c r="AP194" s="164"/>
      <c r="AQ194" s="164"/>
      <c r="AR194" s="164"/>
      <c r="AS194" s="164"/>
      <c r="AT194" s="164"/>
      <c r="AU194" s="164"/>
      <c r="AV194" s="164"/>
      <c r="AW194" s="164"/>
      <c r="AX194" s="164"/>
      <c r="AY194" s="164"/>
      <c r="AZ194" s="164"/>
      <c r="BA194" s="164"/>
      <c r="BB194" s="164"/>
      <c r="BC194" s="164"/>
      <c r="BD194" s="164"/>
      <c r="BE194" s="164"/>
      <c r="BF194" s="164"/>
      <c r="BG194" s="164"/>
    </row>
    <row r="195" ht="10.5" customHeight="1">
      <c r="A195" s="164"/>
      <c r="B195" s="165"/>
      <c r="C195" s="165"/>
      <c r="D195" s="165"/>
      <c r="E195" s="165"/>
      <c r="F195" s="165"/>
      <c r="G195" s="165"/>
      <c r="H195" s="165"/>
      <c r="I195" s="165"/>
      <c r="J195" s="165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  <c r="AA195" s="165"/>
      <c r="AB195" s="165"/>
      <c r="AC195" s="165"/>
      <c r="AD195" s="165"/>
      <c r="AE195" s="165"/>
      <c r="AF195" s="165"/>
      <c r="AG195" s="165"/>
      <c r="AH195" s="165"/>
      <c r="AI195" s="165"/>
      <c r="AJ195" s="165"/>
      <c r="AK195" s="165"/>
      <c r="AL195" s="165"/>
      <c r="AM195" s="165"/>
      <c r="AN195" s="165"/>
      <c r="AO195" s="165"/>
      <c r="AP195" s="164"/>
      <c r="AQ195" s="164"/>
      <c r="AR195" s="164"/>
      <c r="AS195" s="164"/>
      <c r="AT195" s="164"/>
      <c r="AU195" s="164"/>
      <c r="AV195" s="164"/>
      <c r="AW195" s="164"/>
      <c r="AX195" s="164"/>
      <c r="AY195" s="164"/>
      <c r="AZ195" s="164"/>
      <c r="BA195" s="164"/>
      <c r="BB195" s="164"/>
      <c r="BC195" s="164"/>
      <c r="BD195" s="164"/>
      <c r="BE195" s="164"/>
      <c r="BF195" s="164"/>
      <c r="BG195" s="164"/>
    </row>
    <row r="196" ht="10.5" customHeight="1">
      <c r="A196" s="164"/>
      <c r="B196" s="165"/>
      <c r="C196" s="295"/>
      <c r="D196" s="295"/>
      <c r="E196" s="296"/>
      <c r="F196" s="296"/>
      <c r="G196" s="295"/>
      <c r="H196" s="295"/>
      <c r="I196" s="295"/>
      <c r="J196" s="295"/>
      <c r="K196" s="296"/>
      <c r="L196" s="295"/>
      <c r="M196" s="295"/>
      <c r="N196" s="29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  <c r="AA196" s="165"/>
      <c r="AB196" s="165"/>
      <c r="AC196" s="165"/>
      <c r="AD196" s="165"/>
      <c r="AE196" s="165"/>
      <c r="AF196" s="165"/>
      <c r="AG196" s="165"/>
      <c r="AH196" s="165"/>
      <c r="AI196" s="165"/>
      <c r="AJ196" s="165"/>
      <c r="AK196" s="165"/>
      <c r="AL196" s="165"/>
      <c r="AM196" s="165"/>
      <c r="AN196" s="165"/>
      <c r="AO196" s="165"/>
      <c r="AP196" s="164"/>
      <c r="AQ196" s="164"/>
      <c r="AR196" s="164"/>
      <c r="AS196" s="164"/>
      <c r="AT196" s="164"/>
      <c r="AU196" s="164"/>
      <c r="AV196" s="164"/>
      <c r="AW196" s="164"/>
      <c r="AX196" s="164"/>
      <c r="AY196" s="164"/>
      <c r="AZ196" s="164"/>
      <c r="BA196" s="164"/>
      <c r="BB196" s="164"/>
      <c r="BC196" s="164"/>
      <c r="BD196" s="164"/>
      <c r="BE196" s="164"/>
      <c r="BF196" s="164"/>
      <c r="BG196" s="164"/>
    </row>
    <row r="197" ht="10.5" customHeight="1">
      <c r="A197" s="164"/>
      <c r="B197" s="165"/>
      <c r="C197" s="165"/>
      <c r="D197" s="165"/>
      <c r="E197" s="165"/>
      <c r="F197" s="165"/>
      <c r="G197" s="165"/>
      <c r="H197" s="165"/>
      <c r="I197" s="165"/>
      <c r="J197" s="165"/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  <c r="AA197" s="165"/>
      <c r="AB197" s="165"/>
      <c r="AC197" s="165"/>
      <c r="AD197" s="165"/>
      <c r="AE197" s="165"/>
      <c r="AF197" s="165"/>
      <c r="AG197" s="165"/>
      <c r="AH197" s="165"/>
      <c r="AI197" s="165"/>
      <c r="AJ197" s="165"/>
      <c r="AK197" s="165"/>
      <c r="AL197" s="165"/>
      <c r="AM197" s="165"/>
      <c r="AN197" s="165"/>
      <c r="AO197" s="165"/>
      <c r="AP197" s="164"/>
      <c r="AQ197" s="164"/>
      <c r="AR197" s="164"/>
      <c r="AS197" s="164"/>
      <c r="AT197" s="164"/>
      <c r="AU197" s="164"/>
      <c r="AV197" s="164"/>
      <c r="AW197" s="164"/>
      <c r="AX197" s="164"/>
      <c r="AY197" s="164"/>
      <c r="AZ197" s="164"/>
      <c r="BA197" s="164"/>
      <c r="BB197" s="164"/>
      <c r="BC197" s="164"/>
      <c r="BD197" s="164"/>
      <c r="BE197" s="164"/>
      <c r="BF197" s="164"/>
      <c r="BG197" s="164"/>
    </row>
    <row r="198" ht="10.5" customHeight="1">
      <c r="A198" s="164"/>
      <c r="B198" s="165"/>
      <c r="C198" s="165"/>
      <c r="D198" s="165"/>
      <c r="E198" s="165"/>
      <c r="F198" s="165"/>
      <c r="G198" s="165"/>
      <c r="H198" s="165"/>
      <c r="I198" s="165"/>
      <c r="J198" s="165"/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  <c r="AA198" s="165"/>
      <c r="AB198" s="165"/>
      <c r="AC198" s="165"/>
      <c r="AD198" s="165"/>
      <c r="AE198" s="165"/>
      <c r="AF198" s="165"/>
      <c r="AG198" s="165"/>
      <c r="AH198" s="165"/>
      <c r="AI198" s="165"/>
      <c r="AJ198" s="165"/>
      <c r="AK198" s="165"/>
      <c r="AL198" s="165"/>
      <c r="AM198" s="165"/>
      <c r="AN198" s="165"/>
      <c r="AO198" s="165"/>
      <c r="AP198" s="164"/>
      <c r="AQ198" s="164"/>
      <c r="AR198" s="164"/>
      <c r="AS198" s="164"/>
      <c r="AT198" s="164"/>
      <c r="AU198" s="164"/>
      <c r="AV198" s="164"/>
      <c r="AW198" s="164"/>
      <c r="AX198" s="164"/>
      <c r="AY198" s="164"/>
      <c r="AZ198" s="164"/>
      <c r="BA198" s="164"/>
      <c r="BB198" s="164"/>
      <c r="BC198" s="164"/>
      <c r="BD198" s="164"/>
      <c r="BE198" s="164"/>
      <c r="BF198" s="164"/>
      <c r="BG198" s="164"/>
    </row>
    <row r="199" ht="10.5" customHeight="1">
      <c r="A199" s="164"/>
      <c r="B199" s="165"/>
      <c r="C199" s="165"/>
      <c r="D199" s="165"/>
      <c r="E199" s="165"/>
      <c r="F199" s="165"/>
      <c r="G199" s="165"/>
      <c r="H199" s="165"/>
      <c r="I199" s="165"/>
      <c r="J199" s="165"/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  <c r="AA199" s="165"/>
      <c r="AB199" s="165"/>
      <c r="AC199" s="165"/>
      <c r="AD199" s="165"/>
      <c r="AE199" s="165"/>
      <c r="AF199" s="165"/>
      <c r="AG199" s="165"/>
      <c r="AH199" s="165"/>
      <c r="AI199" s="165"/>
      <c r="AJ199" s="165"/>
      <c r="AK199" s="165"/>
      <c r="AL199" s="165"/>
      <c r="AM199" s="165"/>
      <c r="AN199" s="165"/>
      <c r="AO199" s="165"/>
      <c r="AP199" s="164"/>
      <c r="AQ199" s="164"/>
      <c r="AR199" s="164"/>
      <c r="AS199" s="164"/>
      <c r="AT199" s="164"/>
      <c r="AU199" s="164"/>
      <c r="AV199" s="164"/>
      <c r="AW199" s="164"/>
      <c r="AX199" s="164"/>
      <c r="AY199" s="164"/>
      <c r="AZ199" s="164"/>
      <c r="BA199" s="164"/>
      <c r="BB199" s="164"/>
      <c r="BC199" s="164"/>
      <c r="BD199" s="164"/>
      <c r="BE199" s="164"/>
      <c r="BF199" s="164"/>
      <c r="BG199" s="164"/>
    </row>
    <row r="200" ht="10.5" customHeight="1">
      <c r="A200" s="164"/>
      <c r="B200" s="165"/>
      <c r="C200" s="165"/>
      <c r="D200" s="165"/>
      <c r="E200" s="165"/>
      <c r="F200" s="165"/>
      <c r="G200" s="165"/>
      <c r="H200" s="165"/>
      <c r="I200" s="165"/>
      <c r="J200" s="165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  <c r="AA200" s="165"/>
      <c r="AB200" s="165"/>
      <c r="AC200" s="165"/>
      <c r="AD200" s="165"/>
      <c r="AE200" s="165"/>
      <c r="AF200" s="165"/>
      <c r="AG200" s="165"/>
      <c r="AH200" s="165"/>
      <c r="AI200" s="165"/>
      <c r="AJ200" s="165"/>
      <c r="AK200" s="165"/>
      <c r="AL200" s="165"/>
      <c r="AM200" s="165"/>
      <c r="AN200" s="165"/>
      <c r="AO200" s="165"/>
      <c r="AP200" s="164"/>
      <c r="AQ200" s="164"/>
      <c r="AR200" s="164"/>
      <c r="AS200" s="164"/>
      <c r="AT200" s="164"/>
      <c r="AU200" s="164"/>
      <c r="AV200" s="164"/>
      <c r="AW200" s="164"/>
      <c r="AX200" s="164"/>
      <c r="AY200" s="164"/>
      <c r="AZ200" s="164"/>
      <c r="BA200" s="164"/>
      <c r="BB200" s="164"/>
      <c r="BC200" s="164"/>
      <c r="BD200" s="164"/>
      <c r="BE200" s="164"/>
      <c r="BF200" s="164"/>
      <c r="BG200" s="164"/>
    </row>
    <row r="201" ht="10.5" customHeight="1">
      <c r="A201" s="164"/>
      <c r="B201" s="165"/>
      <c r="C201" s="165"/>
      <c r="D201" s="165"/>
      <c r="E201" s="165"/>
      <c r="F201" s="165"/>
      <c r="G201" s="165"/>
      <c r="H201" s="165"/>
      <c r="I201" s="165"/>
      <c r="J201" s="165"/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  <c r="AA201" s="165"/>
      <c r="AB201" s="165"/>
      <c r="AC201" s="165"/>
      <c r="AD201" s="165"/>
      <c r="AE201" s="165"/>
      <c r="AF201" s="165"/>
      <c r="AG201" s="165"/>
      <c r="AH201" s="165"/>
      <c r="AI201" s="165"/>
      <c r="AJ201" s="165"/>
      <c r="AK201" s="165"/>
      <c r="AL201" s="165"/>
      <c r="AM201" s="165"/>
      <c r="AN201" s="165"/>
      <c r="AO201" s="165"/>
      <c r="AP201" s="164"/>
      <c r="AQ201" s="164"/>
      <c r="AR201" s="164"/>
      <c r="AS201" s="164"/>
      <c r="AT201" s="164"/>
      <c r="AU201" s="164"/>
      <c r="AV201" s="164"/>
      <c r="AW201" s="164"/>
      <c r="AX201" s="164"/>
      <c r="AY201" s="164"/>
      <c r="AZ201" s="164"/>
      <c r="BA201" s="164"/>
      <c r="BB201" s="164"/>
      <c r="BC201" s="164"/>
      <c r="BD201" s="164"/>
      <c r="BE201" s="164"/>
      <c r="BF201" s="164"/>
      <c r="BG201" s="164"/>
    </row>
    <row r="202" ht="10.5" customHeight="1">
      <c r="A202" s="164"/>
      <c r="B202" s="165"/>
      <c r="C202" s="165"/>
      <c r="D202" s="165"/>
      <c r="E202" s="165"/>
      <c r="F202" s="165"/>
      <c r="G202" s="165"/>
      <c r="H202" s="165"/>
      <c r="I202" s="165"/>
      <c r="J202" s="165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  <c r="AA202" s="165"/>
      <c r="AB202" s="165"/>
      <c r="AC202" s="165"/>
      <c r="AD202" s="165"/>
      <c r="AE202" s="165"/>
      <c r="AF202" s="165"/>
      <c r="AG202" s="165"/>
      <c r="AH202" s="165"/>
      <c r="AI202" s="165"/>
      <c r="AJ202" s="165"/>
      <c r="AK202" s="165"/>
      <c r="AL202" s="165"/>
      <c r="AM202" s="165"/>
      <c r="AN202" s="165"/>
      <c r="AO202" s="165"/>
      <c r="AP202" s="164"/>
      <c r="AQ202" s="164"/>
      <c r="AR202" s="164"/>
      <c r="AS202" s="164"/>
      <c r="AT202" s="164"/>
      <c r="AU202" s="164"/>
      <c r="AV202" s="164"/>
      <c r="AW202" s="164"/>
      <c r="AX202" s="164"/>
      <c r="AY202" s="164"/>
      <c r="AZ202" s="164"/>
      <c r="BA202" s="164"/>
      <c r="BB202" s="164"/>
      <c r="BC202" s="164"/>
      <c r="BD202" s="164"/>
      <c r="BE202" s="164"/>
      <c r="BF202" s="164"/>
      <c r="BG202" s="164"/>
    </row>
    <row r="203" ht="10.5" customHeight="1">
      <c r="A203" s="164"/>
      <c r="B203" s="165"/>
      <c r="C203" s="165"/>
      <c r="D203" s="165"/>
      <c r="E203" s="165"/>
      <c r="F203" s="165"/>
      <c r="G203" s="165"/>
      <c r="H203" s="165"/>
      <c r="I203" s="165"/>
      <c r="J203" s="165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  <c r="AA203" s="165"/>
      <c r="AB203" s="165"/>
      <c r="AC203" s="165"/>
      <c r="AD203" s="165"/>
      <c r="AE203" s="165"/>
      <c r="AF203" s="165"/>
      <c r="AG203" s="165"/>
      <c r="AH203" s="165"/>
      <c r="AI203" s="165"/>
      <c r="AJ203" s="165"/>
      <c r="AK203" s="165"/>
      <c r="AL203" s="165"/>
      <c r="AM203" s="165"/>
      <c r="AN203" s="165"/>
      <c r="AO203" s="165"/>
      <c r="AP203" s="164"/>
      <c r="AQ203" s="164"/>
      <c r="AR203" s="164"/>
      <c r="AS203" s="164"/>
      <c r="AT203" s="164"/>
      <c r="AU203" s="164"/>
      <c r="AV203" s="164"/>
      <c r="AW203" s="164"/>
      <c r="AX203" s="164"/>
      <c r="AY203" s="164"/>
      <c r="AZ203" s="164"/>
      <c r="BA203" s="164"/>
      <c r="BB203" s="164"/>
      <c r="BC203" s="164"/>
      <c r="BD203" s="164"/>
      <c r="BE203" s="164"/>
      <c r="BF203" s="164"/>
      <c r="BG203" s="164"/>
    </row>
    <row r="204" ht="10.5" customHeight="1">
      <c r="A204" s="164"/>
      <c r="B204" s="165"/>
      <c r="C204" s="165"/>
      <c r="D204" s="165"/>
      <c r="E204" s="165"/>
      <c r="F204" s="165"/>
      <c r="G204" s="165"/>
      <c r="H204" s="165"/>
      <c r="I204" s="165"/>
      <c r="J204" s="165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  <c r="AA204" s="165"/>
      <c r="AB204" s="165"/>
      <c r="AC204" s="165"/>
      <c r="AD204" s="165"/>
      <c r="AE204" s="165"/>
      <c r="AF204" s="165"/>
      <c r="AG204" s="165"/>
      <c r="AH204" s="165"/>
      <c r="AI204" s="165"/>
      <c r="AJ204" s="165"/>
      <c r="AK204" s="165"/>
      <c r="AL204" s="165"/>
      <c r="AM204" s="165"/>
      <c r="AN204" s="165"/>
      <c r="AO204" s="165"/>
      <c r="AP204" s="164"/>
      <c r="AQ204" s="164"/>
      <c r="AR204" s="164"/>
      <c r="AS204" s="164"/>
      <c r="AT204" s="164"/>
      <c r="AU204" s="164"/>
      <c r="AV204" s="164"/>
      <c r="AW204" s="164"/>
      <c r="AX204" s="164"/>
      <c r="AY204" s="164"/>
      <c r="AZ204" s="164"/>
      <c r="BA204" s="164"/>
      <c r="BB204" s="164"/>
      <c r="BC204" s="164"/>
      <c r="BD204" s="164"/>
      <c r="BE204" s="164"/>
      <c r="BF204" s="164"/>
      <c r="BG204" s="164"/>
    </row>
    <row r="205" ht="10.5" customHeight="1">
      <c r="A205" s="164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5"/>
      <c r="AO205" s="165"/>
      <c r="AP205" s="164"/>
      <c r="AQ205" s="164"/>
      <c r="AR205" s="164"/>
      <c r="AS205" s="164"/>
      <c r="AT205" s="164"/>
      <c r="AU205" s="164"/>
      <c r="AV205" s="164"/>
      <c r="AW205" s="164"/>
      <c r="AX205" s="164"/>
      <c r="AY205" s="164"/>
      <c r="AZ205" s="164"/>
      <c r="BA205" s="164"/>
      <c r="BB205" s="164"/>
      <c r="BC205" s="164"/>
      <c r="BD205" s="164"/>
      <c r="BE205" s="164"/>
      <c r="BF205" s="164"/>
      <c r="BG205" s="164"/>
    </row>
    <row r="206" ht="10.5" customHeight="1">
      <c r="A206" s="164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  <c r="AA206" s="165"/>
      <c r="AB206" s="165"/>
      <c r="AC206" s="165"/>
      <c r="AD206" s="165"/>
      <c r="AE206" s="165"/>
      <c r="AF206" s="165"/>
      <c r="AG206" s="165"/>
      <c r="AH206" s="165"/>
      <c r="AI206" s="165"/>
      <c r="AJ206" s="165"/>
      <c r="AK206" s="165"/>
      <c r="AL206" s="165"/>
      <c r="AM206" s="165"/>
      <c r="AN206" s="165"/>
      <c r="AO206" s="165"/>
      <c r="AP206" s="164"/>
      <c r="AQ206" s="164"/>
      <c r="AR206" s="164"/>
      <c r="AS206" s="164"/>
      <c r="AT206" s="164"/>
      <c r="AU206" s="164"/>
      <c r="AV206" s="164"/>
      <c r="AW206" s="164"/>
      <c r="AX206" s="164"/>
      <c r="AY206" s="164"/>
      <c r="AZ206" s="164"/>
      <c r="BA206" s="164"/>
      <c r="BB206" s="164"/>
      <c r="BC206" s="164"/>
      <c r="BD206" s="164"/>
      <c r="BE206" s="164"/>
      <c r="BF206" s="164"/>
      <c r="BG206" s="164"/>
    </row>
    <row r="207" ht="10.5" customHeight="1">
      <c r="A207" s="164"/>
      <c r="B207" s="165"/>
      <c r="C207" s="165"/>
      <c r="D207" s="165"/>
      <c r="E207" s="165"/>
      <c r="F207" s="165"/>
      <c r="G207" s="165"/>
      <c r="H207" s="165"/>
      <c r="I207" s="165"/>
      <c r="J207" s="165"/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  <c r="AA207" s="165"/>
      <c r="AB207" s="165"/>
      <c r="AC207" s="165"/>
      <c r="AD207" s="165"/>
      <c r="AE207" s="165"/>
      <c r="AF207" s="165"/>
      <c r="AG207" s="165"/>
      <c r="AH207" s="165"/>
      <c r="AI207" s="165"/>
      <c r="AJ207" s="165"/>
      <c r="AK207" s="165"/>
      <c r="AL207" s="165"/>
      <c r="AM207" s="165"/>
      <c r="AN207" s="165"/>
      <c r="AO207" s="165"/>
      <c r="AP207" s="164"/>
      <c r="AQ207" s="164"/>
      <c r="AR207" s="164"/>
      <c r="AS207" s="164"/>
      <c r="AT207" s="164"/>
      <c r="AU207" s="164"/>
      <c r="AV207" s="164"/>
      <c r="AW207" s="164"/>
      <c r="AX207" s="164"/>
      <c r="AY207" s="164"/>
      <c r="AZ207" s="164"/>
      <c r="BA207" s="164"/>
      <c r="BB207" s="164"/>
      <c r="BC207" s="164"/>
      <c r="BD207" s="164"/>
      <c r="BE207" s="164"/>
      <c r="BF207" s="164"/>
      <c r="BG207" s="164"/>
    </row>
    <row r="208" ht="10.5" customHeight="1">
      <c r="A208" s="164"/>
      <c r="B208" s="165"/>
      <c r="C208" s="165"/>
      <c r="D208" s="165"/>
      <c r="E208" s="165"/>
      <c r="F208" s="165"/>
      <c r="G208" s="165"/>
      <c r="H208" s="165"/>
      <c r="I208" s="165"/>
      <c r="J208" s="165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  <c r="AA208" s="165"/>
      <c r="AB208" s="165"/>
      <c r="AC208" s="165"/>
      <c r="AD208" s="165"/>
      <c r="AE208" s="165"/>
      <c r="AF208" s="165"/>
      <c r="AG208" s="165"/>
      <c r="AH208" s="165"/>
      <c r="AI208" s="165"/>
      <c r="AJ208" s="165"/>
      <c r="AK208" s="165"/>
      <c r="AL208" s="165"/>
      <c r="AM208" s="165"/>
      <c r="AN208" s="165"/>
      <c r="AO208" s="165"/>
      <c r="AP208" s="164"/>
      <c r="AQ208" s="164"/>
      <c r="AR208" s="164"/>
      <c r="AS208" s="164"/>
      <c r="AT208" s="164"/>
      <c r="AU208" s="164"/>
      <c r="AV208" s="164"/>
      <c r="AW208" s="164"/>
      <c r="AX208" s="164"/>
      <c r="AY208" s="164"/>
      <c r="AZ208" s="164"/>
      <c r="BA208" s="164"/>
      <c r="BB208" s="164"/>
      <c r="BC208" s="164"/>
      <c r="BD208" s="164"/>
      <c r="BE208" s="164"/>
      <c r="BF208" s="164"/>
      <c r="BG208" s="164"/>
    </row>
    <row r="209" ht="10.5" customHeight="1">
      <c r="A209" s="164"/>
      <c r="B209" s="165"/>
      <c r="C209" s="165"/>
      <c r="D209" s="165"/>
      <c r="E209" s="165"/>
      <c r="F209" s="165"/>
      <c r="G209" s="165"/>
      <c r="H209" s="165"/>
      <c r="I209" s="165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  <c r="AA209" s="165"/>
      <c r="AB209" s="165"/>
      <c r="AC209" s="165"/>
      <c r="AD209" s="165"/>
      <c r="AE209" s="165"/>
      <c r="AF209" s="165"/>
      <c r="AG209" s="165"/>
      <c r="AH209" s="165"/>
      <c r="AI209" s="165"/>
      <c r="AJ209" s="165"/>
      <c r="AK209" s="165"/>
      <c r="AL209" s="165"/>
      <c r="AM209" s="165"/>
      <c r="AN209" s="165"/>
      <c r="AO209" s="165"/>
      <c r="AP209" s="164"/>
      <c r="AQ209" s="164"/>
      <c r="AR209" s="164"/>
      <c r="AS209" s="164"/>
      <c r="AT209" s="164"/>
      <c r="AU209" s="164"/>
      <c r="AV209" s="164"/>
      <c r="AW209" s="164"/>
      <c r="AX209" s="164"/>
      <c r="AY209" s="164"/>
      <c r="AZ209" s="164"/>
      <c r="BA209" s="164"/>
      <c r="BB209" s="164"/>
      <c r="BC209" s="164"/>
      <c r="BD209" s="164"/>
      <c r="BE209" s="164"/>
      <c r="BF209" s="164"/>
      <c r="BG209" s="164"/>
    </row>
    <row r="210" ht="10.5" customHeight="1">
      <c r="A210" s="164"/>
      <c r="B210" s="165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5"/>
      <c r="AJ210" s="165"/>
      <c r="AK210" s="165"/>
      <c r="AL210" s="165"/>
      <c r="AM210" s="165"/>
      <c r="AN210" s="165"/>
      <c r="AO210" s="165"/>
      <c r="AP210" s="164"/>
      <c r="AQ210" s="164"/>
      <c r="AR210" s="164"/>
      <c r="AS210" s="164"/>
      <c r="AT210" s="164"/>
      <c r="AU210" s="164"/>
      <c r="AV210" s="164"/>
      <c r="AW210" s="164"/>
      <c r="AX210" s="164"/>
      <c r="AY210" s="164"/>
      <c r="AZ210" s="164"/>
      <c r="BA210" s="164"/>
      <c r="BB210" s="164"/>
      <c r="BC210" s="164"/>
      <c r="BD210" s="164"/>
      <c r="BE210" s="164"/>
      <c r="BF210" s="164"/>
      <c r="BG210" s="164"/>
    </row>
    <row r="211" ht="10.5" customHeight="1">
      <c r="A211" s="164"/>
      <c r="B211" s="165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5"/>
      <c r="AJ211" s="165"/>
      <c r="AK211" s="165"/>
      <c r="AL211" s="165"/>
      <c r="AM211" s="165"/>
      <c r="AN211" s="165"/>
      <c r="AO211" s="165"/>
      <c r="AP211" s="164"/>
      <c r="AQ211" s="164"/>
      <c r="AR211" s="164"/>
      <c r="AS211" s="164"/>
      <c r="AT211" s="164"/>
      <c r="AU211" s="164"/>
      <c r="AV211" s="164"/>
      <c r="AW211" s="164"/>
      <c r="AX211" s="164"/>
      <c r="AY211" s="164"/>
      <c r="AZ211" s="164"/>
      <c r="BA211" s="164"/>
      <c r="BB211" s="164"/>
      <c r="BC211" s="164"/>
      <c r="BD211" s="164"/>
      <c r="BE211" s="164"/>
      <c r="BF211" s="164"/>
      <c r="BG211" s="164"/>
    </row>
    <row r="212" ht="10.5" customHeight="1">
      <c r="A212" s="164"/>
      <c r="B212" s="165"/>
      <c r="C212" s="165"/>
      <c r="D212" s="165"/>
      <c r="E212" s="165"/>
      <c r="F212" s="165"/>
      <c r="G212" s="165"/>
      <c r="H212" s="165"/>
      <c r="I212" s="165"/>
      <c r="J212" s="165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  <c r="AA212" s="165"/>
      <c r="AB212" s="165"/>
      <c r="AC212" s="165"/>
      <c r="AD212" s="165"/>
      <c r="AE212" s="165"/>
      <c r="AF212" s="165"/>
      <c r="AG212" s="165"/>
      <c r="AH212" s="165"/>
      <c r="AI212" s="165"/>
      <c r="AJ212" s="165"/>
      <c r="AK212" s="165"/>
      <c r="AL212" s="165"/>
      <c r="AM212" s="165"/>
      <c r="AN212" s="165"/>
      <c r="AO212" s="165"/>
      <c r="AP212" s="164"/>
      <c r="AQ212" s="164"/>
      <c r="AR212" s="164"/>
      <c r="AS212" s="164"/>
      <c r="AT212" s="164"/>
      <c r="AU212" s="164"/>
      <c r="AV212" s="164"/>
      <c r="AW212" s="164"/>
      <c r="AX212" s="164"/>
      <c r="AY212" s="164"/>
      <c r="AZ212" s="164"/>
      <c r="BA212" s="164"/>
      <c r="BB212" s="164"/>
      <c r="BC212" s="164"/>
      <c r="BD212" s="164"/>
      <c r="BE212" s="164"/>
      <c r="BF212" s="164"/>
      <c r="BG212" s="164"/>
    </row>
    <row r="213" ht="10.5" customHeight="1">
      <c r="A213" s="164"/>
      <c r="B213" s="165"/>
      <c r="C213" s="165"/>
      <c r="D213" s="165"/>
      <c r="E213" s="165"/>
      <c r="F213" s="165"/>
      <c r="G213" s="165"/>
      <c r="H213" s="165"/>
      <c r="I213" s="165"/>
      <c r="J213" s="165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  <c r="AA213" s="165"/>
      <c r="AB213" s="165"/>
      <c r="AC213" s="165"/>
      <c r="AD213" s="165"/>
      <c r="AE213" s="165"/>
      <c r="AF213" s="165"/>
      <c r="AG213" s="165"/>
      <c r="AH213" s="165"/>
      <c r="AI213" s="165"/>
      <c r="AJ213" s="165"/>
      <c r="AK213" s="165"/>
      <c r="AL213" s="165"/>
      <c r="AM213" s="165"/>
      <c r="AN213" s="165"/>
      <c r="AO213" s="165"/>
      <c r="AP213" s="164"/>
      <c r="AQ213" s="164"/>
      <c r="AR213" s="164"/>
      <c r="AS213" s="164"/>
      <c r="AT213" s="164"/>
      <c r="AU213" s="164"/>
      <c r="AV213" s="164"/>
      <c r="AW213" s="164"/>
      <c r="AX213" s="164"/>
      <c r="AY213" s="164"/>
      <c r="AZ213" s="164"/>
      <c r="BA213" s="164"/>
      <c r="BB213" s="164"/>
      <c r="BC213" s="164"/>
      <c r="BD213" s="164"/>
      <c r="BE213" s="164"/>
      <c r="BF213" s="164"/>
      <c r="BG213" s="164"/>
    </row>
    <row r="214" ht="10.5" customHeight="1">
      <c r="A214" s="164"/>
      <c r="B214" s="165"/>
      <c r="C214" s="165"/>
      <c r="D214" s="165"/>
      <c r="E214" s="165"/>
      <c r="F214" s="165"/>
      <c r="G214" s="165"/>
      <c r="H214" s="165"/>
      <c r="I214" s="165"/>
      <c r="J214" s="165"/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  <c r="AA214" s="165"/>
      <c r="AB214" s="165"/>
      <c r="AC214" s="165"/>
      <c r="AD214" s="165"/>
      <c r="AE214" s="165"/>
      <c r="AF214" s="165"/>
      <c r="AG214" s="165"/>
      <c r="AH214" s="165"/>
      <c r="AI214" s="165"/>
      <c r="AJ214" s="165"/>
      <c r="AK214" s="165"/>
      <c r="AL214" s="165"/>
      <c r="AM214" s="165"/>
      <c r="AN214" s="165"/>
      <c r="AO214" s="165"/>
      <c r="AP214" s="164"/>
      <c r="AQ214" s="164"/>
      <c r="AR214" s="164"/>
      <c r="AS214" s="164"/>
      <c r="AT214" s="164"/>
      <c r="AU214" s="164"/>
      <c r="AV214" s="164"/>
      <c r="AW214" s="164"/>
      <c r="AX214" s="164"/>
      <c r="AY214" s="164"/>
      <c r="AZ214" s="164"/>
      <c r="BA214" s="164"/>
      <c r="BB214" s="164"/>
      <c r="BC214" s="164"/>
      <c r="BD214" s="164"/>
      <c r="BE214" s="164"/>
      <c r="BF214" s="164"/>
      <c r="BG214" s="164"/>
    </row>
    <row r="215" ht="10.5" customHeight="1">
      <c r="A215" s="164"/>
      <c r="B215" s="165"/>
      <c r="C215" s="165"/>
      <c r="D215" s="165"/>
      <c r="E215" s="165"/>
      <c r="F215" s="165"/>
      <c r="G215" s="165"/>
      <c r="H215" s="165"/>
      <c r="I215" s="165"/>
      <c r="J215" s="165"/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  <c r="AA215" s="165"/>
      <c r="AB215" s="165"/>
      <c r="AC215" s="165"/>
      <c r="AD215" s="165"/>
      <c r="AE215" s="165"/>
      <c r="AF215" s="165"/>
      <c r="AG215" s="165"/>
      <c r="AH215" s="165"/>
      <c r="AI215" s="165"/>
      <c r="AJ215" s="165"/>
      <c r="AK215" s="165"/>
      <c r="AL215" s="165"/>
      <c r="AM215" s="165"/>
      <c r="AN215" s="165"/>
      <c r="AO215" s="165"/>
      <c r="AP215" s="164"/>
      <c r="AQ215" s="164"/>
      <c r="AR215" s="164"/>
      <c r="AS215" s="164"/>
      <c r="AT215" s="164"/>
      <c r="AU215" s="164"/>
      <c r="AV215" s="164"/>
      <c r="AW215" s="164"/>
      <c r="AX215" s="164"/>
      <c r="AY215" s="164"/>
      <c r="AZ215" s="164"/>
      <c r="BA215" s="164"/>
      <c r="BB215" s="164"/>
      <c r="BC215" s="164"/>
      <c r="BD215" s="164"/>
      <c r="BE215" s="164"/>
      <c r="BF215" s="164"/>
      <c r="BG215" s="164"/>
    </row>
    <row r="216" ht="10.5" customHeight="1">
      <c r="A216" s="164"/>
      <c r="B216" s="165"/>
      <c r="C216" s="165"/>
      <c r="D216" s="165"/>
      <c r="E216" s="165"/>
      <c r="F216" s="165"/>
      <c r="G216" s="165"/>
      <c r="H216" s="165"/>
      <c r="I216" s="165"/>
      <c r="J216" s="165"/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  <c r="AA216" s="165"/>
      <c r="AB216" s="165"/>
      <c r="AC216" s="165"/>
      <c r="AD216" s="165"/>
      <c r="AE216" s="165"/>
      <c r="AF216" s="165"/>
      <c r="AG216" s="165"/>
      <c r="AH216" s="165"/>
      <c r="AI216" s="165"/>
      <c r="AJ216" s="165"/>
      <c r="AK216" s="165"/>
      <c r="AL216" s="165"/>
      <c r="AM216" s="165"/>
      <c r="AN216" s="165"/>
      <c r="AO216" s="165"/>
      <c r="AP216" s="164"/>
      <c r="AQ216" s="164"/>
      <c r="AR216" s="164"/>
      <c r="AS216" s="164"/>
      <c r="AT216" s="164"/>
      <c r="AU216" s="164"/>
      <c r="AV216" s="164"/>
      <c r="AW216" s="164"/>
      <c r="AX216" s="164"/>
      <c r="AY216" s="164"/>
      <c r="AZ216" s="164"/>
      <c r="BA216" s="164"/>
      <c r="BB216" s="164"/>
      <c r="BC216" s="164"/>
      <c r="BD216" s="164"/>
      <c r="BE216" s="164"/>
      <c r="BF216" s="164"/>
      <c r="BG216" s="164"/>
    </row>
    <row r="217" ht="10.5" customHeight="1">
      <c r="A217" s="164"/>
      <c r="B217" s="165"/>
      <c r="C217" s="165"/>
      <c r="D217" s="165"/>
      <c r="E217" s="165"/>
      <c r="F217" s="165"/>
      <c r="G217" s="165"/>
      <c r="H217" s="165"/>
      <c r="I217" s="165"/>
      <c r="J217" s="165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  <c r="AA217" s="165"/>
      <c r="AB217" s="165"/>
      <c r="AC217" s="165"/>
      <c r="AD217" s="165"/>
      <c r="AE217" s="165"/>
      <c r="AF217" s="165"/>
      <c r="AG217" s="165"/>
      <c r="AH217" s="165"/>
      <c r="AI217" s="165"/>
      <c r="AJ217" s="165"/>
      <c r="AK217" s="165"/>
      <c r="AL217" s="165"/>
      <c r="AM217" s="165"/>
      <c r="AN217" s="165"/>
      <c r="AO217" s="165"/>
      <c r="AP217" s="164"/>
      <c r="AQ217" s="164"/>
      <c r="AR217" s="164"/>
      <c r="AS217" s="164"/>
      <c r="AT217" s="164"/>
      <c r="AU217" s="164"/>
      <c r="AV217" s="164"/>
      <c r="AW217" s="164"/>
      <c r="AX217" s="164"/>
      <c r="AY217" s="164"/>
      <c r="AZ217" s="164"/>
      <c r="BA217" s="164"/>
      <c r="BB217" s="164"/>
      <c r="BC217" s="164"/>
      <c r="BD217" s="164"/>
      <c r="BE217" s="164"/>
      <c r="BF217" s="164"/>
      <c r="BG217" s="164"/>
    </row>
    <row r="218" ht="10.5" customHeight="1">
      <c r="A218" s="164"/>
      <c r="B218" s="165"/>
      <c r="C218" s="165"/>
      <c r="D218" s="165"/>
      <c r="E218" s="165"/>
      <c r="F218" s="165"/>
      <c r="G218" s="165"/>
      <c r="H218" s="165"/>
      <c r="I218" s="165"/>
      <c r="J218" s="165"/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  <c r="AA218" s="165"/>
      <c r="AB218" s="165"/>
      <c r="AC218" s="165"/>
      <c r="AD218" s="165"/>
      <c r="AE218" s="165"/>
      <c r="AF218" s="165"/>
      <c r="AG218" s="165"/>
      <c r="AH218" s="165"/>
      <c r="AI218" s="165"/>
      <c r="AJ218" s="165"/>
      <c r="AK218" s="165"/>
      <c r="AL218" s="165"/>
      <c r="AM218" s="165"/>
      <c r="AN218" s="165"/>
      <c r="AO218" s="165"/>
      <c r="AP218" s="164"/>
      <c r="AQ218" s="164"/>
      <c r="AR218" s="164"/>
      <c r="AS218" s="164"/>
      <c r="AT218" s="164"/>
      <c r="AU218" s="164"/>
      <c r="AV218" s="164"/>
      <c r="AW218" s="164"/>
      <c r="AX218" s="164"/>
      <c r="AY218" s="164"/>
      <c r="AZ218" s="164"/>
      <c r="BA218" s="164"/>
      <c r="BB218" s="164"/>
      <c r="BC218" s="164"/>
      <c r="BD218" s="164"/>
      <c r="BE218" s="164"/>
      <c r="BF218" s="164"/>
      <c r="BG218" s="164"/>
    </row>
    <row r="219" ht="10.5" customHeight="1">
      <c r="A219" s="164"/>
      <c r="B219" s="165"/>
      <c r="C219" s="165"/>
      <c r="D219" s="165"/>
      <c r="E219" s="165"/>
      <c r="F219" s="165"/>
      <c r="G219" s="165"/>
      <c r="H219" s="165"/>
      <c r="I219" s="165"/>
      <c r="J219" s="165"/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  <c r="AA219" s="165"/>
      <c r="AB219" s="165"/>
      <c r="AC219" s="165"/>
      <c r="AD219" s="165"/>
      <c r="AE219" s="165"/>
      <c r="AF219" s="165"/>
      <c r="AG219" s="165"/>
      <c r="AH219" s="165"/>
      <c r="AI219" s="165"/>
      <c r="AJ219" s="165"/>
      <c r="AK219" s="165"/>
      <c r="AL219" s="165"/>
      <c r="AM219" s="165"/>
      <c r="AN219" s="165"/>
      <c r="AO219" s="165"/>
      <c r="AP219" s="164"/>
      <c r="AQ219" s="164"/>
      <c r="AR219" s="164"/>
      <c r="AS219" s="164"/>
      <c r="AT219" s="164"/>
      <c r="AU219" s="164"/>
      <c r="AV219" s="164"/>
      <c r="AW219" s="164"/>
      <c r="AX219" s="164"/>
      <c r="AY219" s="164"/>
      <c r="AZ219" s="164"/>
      <c r="BA219" s="164"/>
      <c r="BB219" s="164"/>
      <c r="BC219" s="164"/>
      <c r="BD219" s="164"/>
      <c r="BE219" s="164"/>
      <c r="BF219" s="164"/>
      <c r="BG219" s="164"/>
    </row>
    <row r="220" ht="10.5" customHeight="1">
      <c r="A220" s="164"/>
      <c r="B220" s="165"/>
      <c r="C220" s="165"/>
      <c r="D220" s="165"/>
      <c r="E220" s="165"/>
      <c r="F220" s="165"/>
      <c r="G220" s="165"/>
      <c r="H220" s="165"/>
      <c r="I220" s="165"/>
      <c r="J220" s="165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  <c r="AA220" s="165"/>
      <c r="AB220" s="165"/>
      <c r="AC220" s="165"/>
      <c r="AD220" s="165"/>
      <c r="AE220" s="165"/>
      <c r="AF220" s="165"/>
      <c r="AG220" s="165"/>
      <c r="AH220" s="165"/>
      <c r="AI220" s="165"/>
      <c r="AJ220" s="165"/>
      <c r="AK220" s="165"/>
      <c r="AL220" s="165"/>
      <c r="AM220" s="165"/>
      <c r="AN220" s="165"/>
      <c r="AO220" s="165"/>
      <c r="AP220" s="164"/>
      <c r="AQ220" s="164"/>
      <c r="AR220" s="164"/>
      <c r="AS220" s="164"/>
      <c r="AT220" s="164"/>
      <c r="AU220" s="164"/>
      <c r="AV220" s="164"/>
      <c r="AW220" s="164"/>
      <c r="AX220" s="164"/>
      <c r="AY220" s="164"/>
      <c r="AZ220" s="164"/>
      <c r="BA220" s="164"/>
      <c r="BB220" s="164"/>
      <c r="BC220" s="164"/>
      <c r="BD220" s="164"/>
      <c r="BE220" s="164"/>
      <c r="BF220" s="164"/>
      <c r="BG220" s="164"/>
    </row>
    <row r="221" ht="10.5" customHeight="1">
      <c r="A221" s="164"/>
      <c r="B221" s="165"/>
      <c r="C221" s="165"/>
      <c r="D221" s="165"/>
      <c r="E221" s="165"/>
      <c r="F221" s="165"/>
      <c r="G221" s="165"/>
      <c r="H221" s="165"/>
      <c r="I221" s="165"/>
      <c r="J221" s="165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  <c r="AA221" s="165"/>
      <c r="AB221" s="165"/>
      <c r="AC221" s="165"/>
      <c r="AD221" s="165"/>
      <c r="AE221" s="165"/>
      <c r="AF221" s="165"/>
      <c r="AG221" s="165"/>
      <c r="AH221" s="165"/>
      <c r="AI221" s="165"/>
      <c r="AJ221" s="165"/>
      <c r="AK221" s="165"/>
      <c r="AL221" s="165"/>
      <c r="AM221" s="165"/>
      <c r="AN221" s="165"/>
      <c r="AO221" s="165"/>
      <c r="AP221" s="164"/>
      <c r="AQ221" s="164"/>
      <c r="AR221" s="164"/>
      <c r="AS221" s="164"/>
      <c r="AT221" s="164"/>
      <c r="AU221" s="164"/>
      <c r="AV221" s="164"/>
      <c r="AW221" s="164"/>
      <c r="AX221" s="164"/>
      <c r="AY221" s="164"/>
      <c r="AZ221" s="164"/>
      <c r="BA221" s="164"/>
      <c r="BB221" s="164"/>
      <c r="BC221" s="164"/>
      <c r="BD221" s="164"/>
      <c r="BE221" s="164"/>
      <c r="BF221" s="164"/>
      <c r="BG221" s="164"/>
    </row>
    <row r="222" ht="10.5" customHeight="1">
      <c r="A222" s="164"/>
      <c r="B222" s="165"/>
      <c r="C222" s="165"/>
      <c r="D222" s="165"/>
      <c r="E222" s="165"/>
      <c r="F222" s="165"/>
      <c r="G222" s="165"/>
      <c r="H222" s="165"/>
      <c r="I222" s="165"/>
      <c r="J222" s="165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  <c r="AA222" s="165"/>
      <c r="AB222" s="165"/>
      <c r="AC222" s="165"/>
      <c r="AD222" s="165"/>
      <c r="AE222" s="165"/>
      <c r="AF222" s="165"/>
      <c r="AG222" s="165"/>
      <c r="AH222" s="165"/>
      <c r="AI222" s="165"/>
      <c r="AJ222" s="165"/>
      <c r="AK222" s="165"/>
      <c r="AL222" s="165"/>
      <c r="AM222" s="165"/>
      <c r="AN222" s="165"/>
      <c r="AO222" s="165"/>
      <c r="AP222" s="164"/>
      <c r="AQ222" s="164"/>
      <c r="AR222" s="164"/>
      <c r="AS222" s="164"/>
      <c r="AT222" s="164"/>
      <c r="AU222" s="164"/>
      <c r="AV222" s="164"/>
      <c r="AW222" s="164"/>
      <c r="AX222" s="164"/>
      <c r="AY222" s="164"/>
      <c r="AZ222" s="164"/>
      <c r="BA222" s="164"/>
      <c r="BB222" s="164"/>
      <c r="BC222" s="164"/>
      <c r="BD222" s="164"/>
      <c r="BE222" s="164"/>
      <c r="BF222" s="164"/>
      <c r="BG222" s="164"/>
    </row>
    <row r="223" ht="10.5" customHeight="1">
      <c r="A223" s="164"/>
      <c r="B223" s="165"/>
      <c r="C223" s="165"/>
      <c r="D223" s="165"/>
      <c r="E223" s="165"/>
      <c r="F223" s="165"/>
      <c r="G223" s="165"/>
      <c r="H223" s="165"/>
      <c r="I223" s="165"/>
      <c r="J223" s="165"/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  <c r="AA223" s="165"/>
      <c r="AB223" s="165"/>
      <c r="AC223" s="165"/>
      <c r="AD223" s="165"/>
      <c r="AE223" s="165"/>
      <c r="AF223" s="165"/>
      <c r="AG223" s="165"/>
      <c r="AH223" s="165"/>
      <c r="AI223" s="165"/>
      <c r="AJ223" s="165"/>
      <c r="AK223" s="165"/>
      <c r="AL223" s="165"/>
      <c r="AM223" s="165"/>
      <c r="AN223" s="165"/>
      <c r="AO223" s="165"/>
      <c r="AP223" s="164"/>
      <c r="AQ223" s="164"/>
      <c r="AR223" s="164"/>
      <c r="AS223" s="164"/>
      <c r="AT223" s="164"/>
      <c r="AU223" s="164"/>
      <c r="AV223" s="164"/>
      <c r="AW223" s="164"/>
      <c r="AX223" s="164"/>
      <c r="AY223" s="164"/>
      <c r="AZ223" s="164"/>
      <c r="BA223" s="164"/>
      <c r="BB223" s="164"/>
      <c r="BC223" s="164"/>
      <c r="BD223" s="164"/>
      <c r="BE223" s="164"/>
      <c r="BF223" s="164"/>
      <c r="BG223" s="164"/>
    </row>
    <row r="224" ht="10.5" customHeight="1">
      <c r="A224" s="164"/>
      <c r="B224" s="165"/>
      <c r="C224" s="165"/>
      <c r="D224" s="165"/>
      <c r="E224" s="165"/>
      <c r="F224" s="165"/>
      <c r="G224" s="165"/>
      <c r="H224" s="165"/>
      <c r="I224" s="165"/>
      <c r="J224" s="165"/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  <c r="AA224" s="165"/>
      <c r="AB224" s="165"/>
      <c r="AC224" s="165"/>
      <c r="AD224" s="165"/>
      <c r="AE224" s="165"/>
      <c r="AF224" s="165"/>
      <c r="AG224" s="165"/>
      <c r="AH224" s="165"/>
      <c r="AI224" s="165"/>
      <c r="AJ224" s="165"/>
      <c r="AK224" s="165"/>
      <c r="AL224" s="165"/>
      <c r="AM224" s="165"/>
      <c r="AN224" s="165"/>
      <c r="AO224" s="165"/>
      <c r="AP224" s="164"/>
      <c r="AQ224" s="164"/>
      <c r="AR224" s="164"/>
      <c r="AS224" s="164"/>
      <c r="AT224" s="164"/>
      <c r="AU224" s="164"/>
      <c r="AV224" s="164"/>
      <c r="AW224" s="164"/>
      <c r="AX224" s="164"/>
      <c r="AY224" s="164"/>
      <c r="AZ224" s="164"/>
      <c r="BA224" s="164"/>
      <c r="BB224" s="164"/>
      <c r="BC224" s="164"/>
      <c r="BD224" s="164"/>
      <c r="BE224" s="164"/>
      <c r="BF224" s="164"/>
      <c r="BG224" s="164"/>
    </row>
    <row r="225" ht="10.5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5"/>
      <c r="AH225" s="165"/>
      <c r="AI225" s="165"/>
      <c r="AJ225" s="165"/>
      <c r="AK225" s="165"/>
      <c r="AL225" s="165"/>
      <c r="AM225" s="165"/>
      <c r="AN225" s="165"/>
      <c r="AO225" s="165"/>
      <c r="AP225" s="164"/>
      <c r="AQ225" s="164"/>
      <c r="AR225" s="164"/>
      <c r="AS225" s="164"/>
      <c r="AT225" s="164"/>
      <c r="AU225" s="164"/>
      <c r="AV225" s="164"/>
      <c r="AW225" s="164"/>
      <c r="AX225" s="164"/>
      <c r="AY225" s="164"/>
      <c r="AZ225" s="164"/>
      <c r="BA225" s="164"/>
      <c r="BB225" s="164"/>
      <c r="BC225" s="164"/>
      <c r="BD225" s="164"/>
      <c r="BE225" s="164"/>
      <c r="BF225" s="164"/>
      <c r="BG225" s="164"/>
    </row>
    <row r="226" ht="10.5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5"/>
      <c r="AH226" s="165"/>
      <c r="AI226" s="165"/>
      <c r="AJ226" s="165"/>
      <c r="AK226" s="165"/>
      <c r="AL226" s="165"/>
      <c r="AM226" s="165"/>
      <c r="AN226" s="165"/>
      <c r="AO226" s="165"/>
      <c r="AP226" s="164"/>
      <c r="AQ226" s="164"/>
      <c r="AR226" s="164"/>
      <c r="AS226" s="164"/>
      <c r="AT226" s="164"/>
      <c r="AU226" s="164"/>
      <c r="AV226" s="164"/>
      <c r="AW226" s="164"/>
      <c r="AX226" s="164"/>
      <c r="AY226" s="164"/>
      <c r="AZ226" s="164"/>
      <c r="BA226" s="164"/>
      <c r="BB226" s="164"/>
      <c r="BC226" s="164"/>
      <c r="BD226" s="164"/>
      <c r="BE226" s="164"/>
      <c r="BF226" s="164"/>
      <c r="BG226" s="164"/>
    </row>
    <row r="227" ht="10.5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5"/>
      <c r="AH227" s="165"/>
      <c r="AI227" s="165"/>
      <c r="AJ227" s="165"/>
      <c r="AK227" s="165"/>
      <c r="AL227" s="165"/>
      <c r="AM227" s="165"/>
      <c r="AN227" s="165"/>
      <c r="AO227" s="165"/>
      <c r="AP227" s="164"/>
      <c r="AQ227" s="164"/>
      <c r="AR227" s="164"/>
      <c r="AS227" s="164"/>
      <c r="AT227" s="164"/>
      <c r="AU227" s="164"/>
      <c r="AV227" s="164"/>
      <c r="AW227" s="164"/>
      <c r="AX227" s="164"/>
      <c r="AY227" s="164"/>
      <c r="AZ227" s="164"/>
      <c r="BA227" s="164"/>
      <c r="BB227" s="164"/>
      <c r="BC227" s="164"/>
      <c r="BD227" s="164"/>
      <c r="BE227" s="164"/>
      <c r="BF227" s="164"/>
      <c r="BG227" s="164"/>
    </row>
    <row r="228" ht="10.5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5"/>
      <c r="AH228" s="165"/>
      <c r="AI228" s="165"/>
      <c r="AJ228" s="165"/>
      <c r="AK228" s="165"/>
      <c r="AL228" s="165"/>
      <c r="AM228" s="165"/>
      <c r="AN228" s="165"/>
      <c r="AO228" s="165"/>
      <c r="AP228" s="164"/>
      <c r="AQ228" s="164"/>
      <c r="AR228" s="164"/>
      <c r="AS228" s="164"/>
      <c r="AT228" s="164"/>
      <c r="AU228" s="164"/>
      <c r="AV228" s="164"/>
      <c r="AW228" s="164"/>
      <c r="AX228" s="164"/>
      <c r="AY228" s="164"/>
      <c r="AZ228" s="164"/>
      <c r="BA228" s="164"/>
      <c r="BB228" s="164"/>
      <c r="BC228" s="164"/>
      <c r="BD228" s="164"/>
      <c r="BE228" s="164"/>
      <c r="BF228" s="164"/>
      <c r="BG228" s="164"/>
    </row>
    <row r="229" ht="10.5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65"/>
      <c r="K229" s="165"/>
      <c r="L229" s="165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5"/>
      <c r="AH229" s="165"/>
      <c r="AI229" s="165"/>
      <c r="AJ229" s="165"/>
      <c r="AK229" s="165"/>
      <c r="AL229" s="165"/>
      <c r="AM229" s="165"/>
      <c r="AN229" s="165"/>
      <c r="AO229" s="165"/>
      <c r="AP229" s="164"/>
      <c r="AQ229" s="164"/>
      <c r="AR229" s="164"/>
      <c r="AS229" s="164"/>
      <c r="AT229" s="164"/>
      <c r="AU229" s="164"/>
      <c r="AV229" s="164"/>
      <c r="AW229" s="164"/>
      <c r="AX229" s="164"/>
      <c r="AY229" s="164"/>
      <c r="AZ229" s="164"/>
      <c r="BA229" s="164"/>
      <c r="BB229" s="164"/>
      <c r="BC229" s="164"/>
      <c r="BD229" s="164"/>
      <c r="BE229" s="164"/>
      <c r="BF229" s="164"/>
      <c r="BG229" s="164"/>
    </row>
    <row r="230" ht="10.5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65"/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5"/>
      <c r="AH230" s="165"/>
      <c r="AI230" s="165"/>
      <c r="AJ230" s="165"/>
      <c r="AK230" s="165"/>
      <c r="AL230" s="165"/>
      <c r="AM230" s="165"/>
      <c r="AN230" s="165"/>
      <c r="AO230" s="165"/>
      <c r="AP230" s="164"/>
      <c r="AQ230" s="164"/>
      <c r="AR230" s="164"/>
      <c r="AS230" s="164"/>
      <c r="AT230" s="164"/>
      <c r="AU230" s="164"/>
      <c r="AV230" s="164"/>
      <c r="AW230" s="164"/>
      <c r="AX230" s="164"/>
      <c r="AY230" s="164"/>
      <c r="AZ230" s="164"/>
      <c r="BA230" s="164"/>
      <c r="BB230" s="164"/>
      <c r="BC230" s="164"/>
      <c r="BD230" s="164"/>
      <c r="BE230" s="164"/>
      <c r="BF230" s="164"/>
      <c r="BG230" s="164"/>
    </row>
    <row r="231" ht="10.5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5"/>
      <c r="AH231" s="165"/>
      <c r="AI231" s="165"/>
      <c r="AJ231" s="165"/>
      <c r="AK231" s="165"/>
      <c r="AL231" s="165"/>
      <c r="AM231" s="165"/>
      <c r="AN231" s="165"/>
      <c r="AO231" s="165"/>
      <c r="AP231" s="164"/>
      <c r="AQ231" s="164"/>
      <c r="AR231" s="164"/>
      <c r="AS231" s="164"/>
      <c r="AT231" s="164"/>
      <c r="AU231" s="164"/>
      <c r="AV231" s="164"/>
      <c r="AW231" s="164"/>
      <c r="AX231" s="164"/>
      <c r="AY231" s="164"/>
      <c r="AZ231" s="164"/>
      <c r="BA231" s="164"/>
      <c r="BB231" s="164"/>
      <c r="BC231" s="164"/>
      <c r="BD231" s="164"/>
      <c r="BE231" s="164"/>
      <c r="BF231" s="164"/>
      <c r="BG231" s="164"/>
    </row>
    <row r="232" ht="10.5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5"/>
      <c r="AH232" s="165"/>
      <c r="AI232" s="165"/>
      <c r="AJ232" s="165"/>
      <c r="AK232" s="165"/>
      <c r="AL232" s="165"/>
      <c r="AM232" s="165"/>
      <c r="AN232" s="165"/>
      <c r="AO232" s="165"/>
      <c r="AP232" s="164"/>
      <c r="AQ232" s="164"/>
      <c r="AR232" s="164"/>
      <c r="AS232" s="164"/>
      <c r="AT232" s="164"/>
      <c r="AU232" s="164"/>
      <c r="AV232" s="164"/>
      <c r="AW232" s="164"/>
      <c r="AX232" s="164"/>
      <c r="AY232" s="164"/>
      <c r="AZ232" s="164"/>
      <c r="BA232" s="164"/>
      <c r="BB232" s="164"/>
      <c r="BC232" s="164"/>
      <c r="BD232" s="164"/>
      <c r="BE232" s="164"/>
      <c r="BF232" s="164"/>
      <c r="BG232" s="164"/>
    </row>
    <row r="233" ht="10.5" customHeight="1">
      <c r="A233" s="164"/>
      <c r="B233" s="165"/>
      <c r="C233" s="165"/>
      <c r="D233" s="165"/>
      <c r="E233" s="165"/>
      <c r="F233" s="165"/>
      <c r="G233" s="165"/>
      <c r="H233" s="165"/>
      <c r="I233" s="165"/>
      <c r="J233" s="165"/>
      <c r="K233" s="165"/>
      <c r="L233" s="165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  <c r="AA233" s="165"/>
      <c r="AB233" s="165"/>
      <c r="AC233" s="165"/>
      <c r="AD233" s="165"/>
      <c r="AE233" s="165"/>
      <c r="AF233" s="165"/>
      <c r="AG233" s="165"/>
      <c r="AH233" s="165"/>
      <c r="AI233" s="165"/>
      <c r="AJ233" s="165"/>
      <c r="AK233" s="165"/>
      <c r="AL233" s="165"/>
      <c r="AM233" s="165"/>
      <c r="AN233" s="165"/>
      <c r="AO233" s="165"/>
      <c r="AP233" s="164"/>
      <c r="AQ233" s="164"/>
      <c r="AR233" s="164"/>
      <c r="AS233" s="164"/>
      <c r="AT233" s="164"/>
      <c r="AU233" s="164"/>
      <c r="AV233" s="164"/>
      <c r="AW233" s="164"/>
      <c r="AX233" s="164"/>
      <c r="AY233" s="164"/>
      <c r="AZ233" s="164"/>
      <c r="BA233" s="164"/>
      <c r="BB233" s="164"/>
      <c r="BC233" s="164"/>
      <c r="BD233" s="164"/>
      <c r="BE233" s="164"/>
      <c r="BF233" s="164"/>
      <c r="BG233" s="164"/>
    </row>
    <row r="234" ht="10.5" customHeight="1">
      <c r="A234" s="164"/>
      <c r="B234" s="165"/>
      <c r="C234" s="165"/>
      <c r="D234" s="165"/>
      <c r="E234" s="165"/>
      <c r="F234" s="165"/>
      <c r="G234" s="165"/>
      <c r="H234" s="165"/>
      <c r="I234" s="165"/>
      <c r="J234" s="165"/>
      <c r="K234" s="165"/>
      <c r="L234" s="165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  <c r="AA234" s="165"/>
      <c r="AB234" s="165"/>
      <c r="AC234" s="165"/>
      <c r="AD234" s="165"/>
      <c r="AE234" s="165"/>
      <c r="AF234" s="165"/>
      <c r="AG234" s="165"/>
      <c r="AH234" s="165"/>
      <c r="AI234" s="165"/>
      <c r="AJ234" s="165"/>
      <c r="AK234" s="165"/>
      <c r="AL234" s="165"/>
      <c r="AM234" s="165"/>
      <c r="AN234" s="165"/>
      <c r="AO234" s="165"/>
      <c r="AP234" s="164"/>
      <c r="AQ234" s="164"/>
      <c r="AR234" s="164"/>
      <c r="AS234" s="164"/>
      <c r="AT234" s="164"/>
      <c r="AU234" s="164"/>
      <c r="AV234" s="164"/>
      <c r="AW234" s="164"/>
      <c r="AX234" s="164"/>
      <c r="AY234" s="164"/>
      <c r="AZ234" s="164"/>
      <c r="BA234" s="164"/>
      <c r="BB234" s="164"/>
      <c r="BC234" s="164"/>
      <c r="BD234" s="164"/>
      <c r="BE234" s="164"/>
      <c r="BF234" s="164"/>
      <c r="BG234" s="164"/>
    </row>
    <row r="235" ht="10.5" customHeight="1">
      <c r="A235" s="164"/>
      <c r="B235" s="165"/>
      <c r="C235" s="165"/>
      <c r="D235" s="165"/>
      <c r="E235" s="165"/>
      <c r="F235" s="165"/>
      <c r="G235" s="165"/>
      <c r="H235" s="165"/>
      <c r="I235" s="165"/>
      <c r="J235" s="165"/>
      <c r="K235" s="165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  <c r="AA235" s="165"/>
      <c r="AB235" s="165"/>
      <c r="AC235" s="165"/>
      <c r="AD235" s="165"/>
      <c r="AE235" s="165"/>
      <c r="AF235" s="165"/>
      <c r="AG235" s="165"/>
      <c r="AH235" s="165"/>
      <c r="AI235" s="165"/>
      <c r="AJ235" s="165"/>
      <c r="AK235" s="165"/>
      <c r="AL235" s="165"/>
      <c r="AM235" s="165"/>
      <c r="AN235" s="165"/>
      <c r="AO235" s="165"/>
      <c r="AP235" s="164"/>
      <c r="AQ235" s="164"/>
      <c r="AR235" s="164"/>
      <c r="AS235" s="164"/>
      <c r="AT235" s="164"/>
      <c r="AU235" s="164"/>
      <c r="AV235" s="164"/>
      <c r="AW235" s="164"/>
      <c r="AX235" s="164"/>
      <c r="AY235" s="164"/>
      <c r="AZ235" s="164"/>
      <c r="BA235" s="164"/>
      <c r="BB235" s="164"/>
      <c r="BC235" s="164"/>
      <c r="BD235" s="164"/>
      <c r="BE235" s="164"/>
      <c r="BF235" s="164"/>
      <c r="BG235" s="164"/>
    </row>
    <row r="236" ht="10.5" customHeight="1">
      <c r="A236" s="164"/>
      <c r="B236" s="165"/>
      <c r="C236" s="165"/>
      <c r="D236" s="165"/>
      <c r="E236" s="165"/>
      <c r="F236" s="165"/>
      <c r="G236" s="165"/>
      <c r="H236" s="165"/>
      <c r="I236" s="165"/>
      <c r="J236" s="165"/>
      <c r="K236" s="165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  <c r="AA236" s="165"/>
      <c r="AB236" s="165"/>
      <c r="AC236" s="165"/>
      <c r="AD236" s="165"/>
      <c r="AE236" s="165"/>
      <c r="AF236" s="165"/>
      <c r="AG236" s="165"/>
      <c r="AH236" s="165"/>
      <c r="AI236" s="165"/>
      <c r="AJ236" s="165"/>
      <c r="AK236" s="165"/>
      <c r="AL236" s="165"/>
      <c r="AM236" s="165"/>
      <c r="AN236" s="165"/>
      <c r="AO236" s="165"/>
      <c r="AP236" s="164"/>
      <c r="AQ236" s="164"/>
      <c r="AR236" s="164"/>
      <c r="AS236" s="164"/>
      <c r="AT236" s="164"/>
      <c r="AU236" s="164"/>
      <c r="AV236" s="164"/>
      <c r="AW236" s="164"/>
      <c r="AX236" s="164"/>
      <c r="AY236" s="164"/>
      <c r="AZ236" s="164"/>
      <c r="BA236" s="164"/>
      <c r="BB236" s="164"/>
      <c r="BC236" s="164"/>
      <c r="BD236" s="164"/>
      <c r="BE236" s="164"/>
      <c r="BF236" s="164"/>
      <c r="BG236" s="164"/>
    </row>
    <row r="237" ht="10.5" customHeight="1">
      <c r="A237" s="164"/>
      <c r="B237" s="165"/>
      <c r="C237" s="165"/>
      <c r="D237" s="165"/>
      <c r="E237" s="165"/>
      <c r="F237" s="165"/>
      <c r="G237" s="165"/>
      <c r="H237" s="165"/>
      <c r="I237" s="165"/>
      <c r="J237" s="165"/>
      <c r="K237" s="165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  <c r="AA237" s="165"/>
      <c r="AB237" s="165"/>
      <c r="AC237" s="165"/>
      <c r="AD237" s="165"/>
      <c r="AE237" s="165"/>
      <c r="AF237" s="165"/>
      <c r="AG237" s="165"/>
      <c r="AH237" s="165"/>
      <c r="AI237" s="165"/>
      <c r="AJ237" s="165"/>
      <c r="AK237" s="165"/>
      <c r="AL237" s="165"/>
      <c r="AM237" s="165"/>
      <c r="AN237" s="165"/>
      <c r="AO237" s="165"/>
      <c r="AP237" s="164"/>
      <c r="AQ237" s="164"/>
      <c r="AR237" s="164"/>
      <c r="AS237" s="164"/>
      <c r="AT237" s="164"/>
      <c r="AU237" s="164"/>
      <c r="AV237" s="164"/>
      <c r="AW237" s="164"/>
      <c r="AX237" s="164"/>
      <c r="AY237" s="164"/>
      <c r="AZ237" s="164"/>
      <c r="BA237" s="164"/>
      <c r="BB237" s="164"/>
      <c r="BC237" s="164"/>
      <c r="BD237" s="164"/>
      <c r="BE237" s="164"/>
      <c r="BF237" s="164"/>
      <c r="BG237" s="164"/>
    </row>
    <row r="238" ht="10.5" customHeight="1">
      <c r="A238" s="164"/>
      <c r="B238" s="165"/>
      <c r="C238" s="165"/>
      <c r="D238" s="165"/>
      <c r="E238" s="165"/>
      <c r="F238" s="165"/>
      <c r="G238" s="165"/>
      <c r="H238" s="165"/>
      <c r="I238" s="165"/>
      <c r="J238" s="165"/>
      <c r="K238" s="165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  <c r="AA238" s="165"/>
      <c r="AB238" s="165"/>
      <c r="AC238" s="165"/>
      <c r="AD238" s="165"/>
      <c r="AE238" s="165"/>
      <c r="AF238" s="165"/>
      <c r="AG238" s="165"/>
      <c r="AH238" s="165"/>
      <c r="AI238" s="165"/>
      <c r="AJ238" s="165"/>
      <c r="AK238" s="165"/>
      <c r="AL238" s="165"/>
      <c r="AM238" s="165"/>
      <c r="AN238" s="165"/>
      <c r="AO238" s="165"/>
      <c r="AP238" s="164"/>
      <c r="AQ238" s="164"/>
      <c r="AR238" s="164"/>
      <c r="AS238" s="164"/>
      <c r="AT238" s="164"/>
      <c r="AU238" s="164"/>
      <c r="AV238" s="164"/>
      <c r="AW238" s="164"/>
      <c r="AX238" s="164"/>
      <c r="AY238" s="164"/>
      <c r="AZ238" s="164"/>
      <c r="BA238" s="164"/>
      <c r="BB238" s="164"/>
      <c r="BC238" s="164"/>
      <c r="BD238" s="164"/>
      <c r="BE238" s="164"/>
      <c r="BF238" s="164"/>
      <c r="BG238" s="164"/>
    </row>
    <row r="239" ht="10.5" customHeight="1">
      <c r="A239" s="164"/>
      <c r="B239" s="165"/>
      <c r="C239" s="165"/>
      <c r="D239" s="165"/>
      <c r="E239" s="165"/>
      <c r="F239" s="165"/>
      <c r="G239" s="165"/>
      <c r="H239" s="165"/>
      <c r="I239" s="165"/>
      <c r="J239" s="165"/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  <c r="AA239" s="165"/>
      <c r="AB239" s="165"/>
      <c r="AC239" s="165"/>
      <c r="AD239" s="165"/>
      <c r="AE239" s="165"/>
      <c r="AF239" s="165"/>
      <c r="AG239" s="165"/>
      <c r="AH239" s="165"/>
      <c r="AI239" s="165"/>
      <c r="AJ239" s="165"/>
      <c r="AK239" s="165"/>
      <c r="AL239" s="165"/>
      <c r="AM239" s="165"/>
      <c r="AN239" s="165"/>
      <c r="AO239" s="165"/>
      <c r="AP239" s="164"/>
      <c r="AQ239" s="164"/>
      <c r="AR239" s="164"/>
      <c r="AS239" s="164"/>
      <c r="AT239" s="164"/>
      <c r="AU239" s="164"/>
      <c r="AV239" s="164"/>
      <c r="AW239" s="164"/>
      <c r="AX239" s="164"/>
      <c r="AY239" s="164"/>
      <c r="AZ239" s="164"/>
      <c r="BA239" s="164"/>
      <c r="BB239" s="164"/>
      <c r="BC239" s="164"/>
      <c r="BD239" s="164"/>
      <c r="BE239" s="164"/>
      <c r="BF239" s="164"/>
      <c r="BG239" s="164"/>
    </row>
    <row r="240" ht="10.5" customHeight="1">
      <c r="A240" s="164"/>
      <c r="B240" s="165"/>
      <c r="C240" s="165"/>
      <c r="D240" s="165"/>
      <c r="E240" s="165"/>
      <c r="F240" s="165"/>
      <c r="G240" s="165"/>
      <c r="H240" s="165"/>
      <c r="I240" s="165"/>
      <c r="J240" s="165"/>
      <c r="K240" s="165"/>
      <c r="L240" s="165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  <c r="AA240" s="165"/>
      <c r="AB240" s="165"/>
      <c r="AC240" s="165"/>
      <c r="AD240" s="165"/>
      <c r="AE240" s="165"/>
      <c r="AF240" s="165"/>
      <c r="AG240" s="165"/>
      <c r="AH240" s="165"/>
      <c r="AI240" s="165"/>
      <c r="AJ240" s="165"/>
      <c r="AK240" s="165"/>
      <c r="AL240" s="165"/>
      <c r="AM240" s="165"/>
      <c r="AN240" s="165"/>
      <c r="AO240" s="165"/>
      <c r="AP240" s="164"/>
      <c r="AQ240" s="164"/>
      <c r="AR240" s="164"/>
      <c r="AS240" s="164"/>
      <c r="AT240" s="164"/>
      <c r="AU240" s="164"/>
      <c r="AV240" s="164"/>
      <c r="AW240" s="164"/>
      <c r="AX240" s="164"/>
      <c r="AY240" s="164"/>
      <c r="AZ240" s="164"/>
      <c r="BA240" s="164"/>
      <c r="BB240" s="164"/>
      <c r="BC240" s="164"/>
      <c r="BD240" s="164"/>
      <c r="BE240" s="164"/>
      <c r="BF240" s="164"/>
      <c r="BG240" s="164"/>
    </row>
    <row r="241" ht="10.5" customHeight="1">
      <c r="A241" s="164"/>
      <c r="B241" s="165"/>
      <c r="C241" s="165"/>
      <c r="D241" s="165"/>
      <c r="E241" s="165"/>
      <c r="F241" s="165"/>
      <c r="G241" s="165"/>
      <c r="H241" s="165"/>
      <c r="I241" s="165"/>
      <c r="J241" s="165"/>
      <c r="K241" s="165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  <c r="AA241" s="165"/>
      <c r="AB241" s="165"/>
      <c r="AC241" s="165"/>
      <c r="AD241" s="165"/>
      <c r="AE241" s="165"/>
      <c r="AF241" s="165"/>
      <c r="AG241" s="165"/>
      <c r="AH241" s="165"/>
      <c r="AI241" s="165"/>
      <c r="AJ241" s="165"/>
      <c r="AK241" s="165"/>
      <c r="AL241" s="165"/>
      <c r="AM241" s="165"/>
      <c r="AN241" s="165"/>
      <c r="AO241" s="165"/>
      <c r="AP241" s="164"/>
      <c r="AQ241" s="164"/>
      <c r="AR241" s="164"/>
      <c r="AS241" s="164"/>
      <c r="AT241" s="164"/>
      <c r="AU241" s="164"/>
      <c r="AV241" s="164"/>
      <c r="AW241" s="164"/>
      <c r="AX241" s="164"/>
      <c r="AY241" s="164"/>
      <c r="AZ241" s="164"/>
      <c r="BA241" s="164"/>
      <c r="BB241" s="164"/>
      <c r="BC241" s="164"/>
      <c r="BD241" s="164"/>
      <c r="BE241" s="164"/>
      <c r="BF241" s="164"/>
      <c r="BG241" s="164"/>
    </row>
    <row r="242" ht="10.5" customHeight="1">
      <c r="A242" s="164"/>
      <c r="B242" s="165"/>
      <c r="C242" s="165"/>
      <c r="D242" s="165"/>
      <c r="E242" s="165"/>
      <c r="F242" s="165"/>
      <c r="G242" s="165"/>
      <c r="H242" s="165"/>
      <c r="I242" s="165"/>
      <c r="J242" s="165"/>
      <c r="K242" s="165"/>
      <c r="L242" s="165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  <c r="AA242" s="165"/>
      <c r="AB242" s="165"/>
      <c r="AC242" s="165"/>
      <c r="AD242" s="165"/>
      <c r="AE242" s="165"/>
      <c r="AF242" s="165"/>
      <c r="AG242" s="165"/>
      <c r="AH242" s="165"/>
      <c r="AI242" s="165"/>
      <c r="AJ242" s="165"/>
      <c r="AK242" s="165"/>
      <c r="AL242" s="165"/>
      <c r="AM242" s="165"/>
      <c r="AN242" s="165"/>
      <c r="AO242" s="165"/>
      <c r="AP242" s="164"/>
      <c r="AQ242" s="164"/>
      <c r="AR242" s="164"/>
      <c r="AS242" s="164"/>
      <c r="AT242" s="164"/>
      <c r="AU242" s="164"/>
      <c r="AV242" s="164"/>
      <c r="AW242" s="164"/>
      <c r="AX242" s="164"/>
      <c r="AY242" s="164"/>
      <c r="AZ242" s="164"/>
      <c r="BA242" s="164"/>
      <c r="BB242" s="164"/>
      <c r="BC242" s="164"/>
      <c r="BD242" s="164"/>
      <c r="BE242" s="164"/>
      <c r="BF242" s="164"/>
      <c r="BG242" s="164"/>
    </row>
    <row r="243" ht="10.5" customHeight="1">
      <c r="A243" s="164"/>
      <c r="B243" s="165"/>
      <c r="C243" s="165"/>
      <c r="D243" s="165"/>
      <c r="E243" s="165"/>
      <c r="F243" s="165"/>
      <c r="G243" s="165"/>
      <c r="H243" s="165"/>
      <c r="I243" s="165"/>
      <c r="J243" s="165"/>
      <c r="K243" s="165"/>
      <c r="L243" s="165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  <c r="AA243" s="165"/>
      <c r="AB243" s="165"/>
      <c r="AC243" s="165"/>
      <c r="AD243" s="165"/>
      <c r="AE243" s="165"/>
      <c r="AF243" s="165"/>
      <c r="AG243" s="165"/>
      <c r="AH243" s="165"/>
      <c r="AI243" s="165"/>
      <c r="AJ243" s="165"/>
      <c r="AK243" s="165"/>
      <c r="AL243" s="165"/>
      <c r="AM243" s="165"/>
      <c r="AN243" s="165"/>
      <c r="AO243" s="165"/>
      <c r="AP243" s="164"/>
      <c r="AQ243" s="164"/>
      <c r="AR243" s="164"/>
      <c r="AS243" s="164"/>
      <c r="AT243" s="164"/>
      <c r="AU243" s="164"/>
      <c r="AV243" s="164"/>
      <c r="AW243" s="164"/>
      <c r="AX243" s="164"/>
      <c r="AY243" s="164"/>
      <c r="AZ243" s="164"/>
      <c r="BA243" s="164"/>
      <c r="BB243" s="164"/>
      <c r="BC243" s="164"/>
      <c r="BD243" s="164"/>
      <c r="BE243" s="164"/>
      <c r="BF243" s="164"/>
      <c r="BG243" s="164"/>
    </row>
    <row r="244" ht="10.5" customHeight="1">
      <c r="A244" s="164"/>
      <c r="B244" s="165"/>
      <c r="C244" s="165"/>
      <c r="D244" s="165"/>
      <c r="E244" s="165"/>
      <c r="F244" s="165"/>
      <c r="G244" s="165"/>
      <c r="H244" s="165"/>
      <c r="I244" s="165"/>
      <c r="J244" s="165"/>
      <c r="K244" s="165"/>
      <c r="L244" s="165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  <c r="AA244" s="165"/>
      <c r="AB244" s="165"/>
      <c r="AC244" s="165"/>
      <c r="AD244" s="165"/>
      <c r="AE244" s="165"/>
      <c r="AF244" s="165"/>
      <c r="AG244" s="165"/>
      <c r="AH244" s="165"/>
      <c r="AI244" s="165"/>
      <c r="AJ244" s="165"/>
      <c r="AK244" s="165"/>
      <c r="AL244" s="165"/>
      <c r="AM244" s="165"/>
      <c r="AN244" s="165"/>
      <c r="AO244" s="165"/>
      <c r="AP244" s="164"/>
      <c r="AQ244" s="164"/>
      <c r="AR244" s="164"/>
      <c r="AS244" s="164"/>
      <c r="AT244" s="164"/>
      <c r="AU244" s="164"/>
      <c r="AV244" s="164"/>
      <c r="AW244" s="164"/>
      <c r="AX244" s="164"/>
      <c r="AY244" s="164"/>
      <c r="AZ244" s="164"/>
      <c r="BA244" s="164"/>
      <c r="BB244" s="164"/>
      <c r="BC244" s="164"/>
      <c r="BD244" s="164"/>
      <c r="BE244" s="164"/>
      <c r="BF244" s="164"/>
      <c r="BG244" s="164"/>
    </row>
    <row r="245" ht="10.5" customHeight="1">
      <c r="A245" s="164"/>
      <c r="B245" s="165"/>
      <c r="C245" s="165"/>
      <c r="D245" s="165"/>
      <c r="E245" s="165"/>
      <c r="F245" s="165"/>
      <c r="G245" s="165"/>
      <c r="H245" s="165"/>
      <c r="I245" s="165"/>
      <c r="J245" s="165"/>
      <c r="K245" s="165"/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  <c r="AA245" s="165"/>
      <c r="AB245" s="165"/>
      <c r="AC245" s="165"/>
      <c r="AD245" s="165"/>
      <c r="AE245" s="165"/>
      <c r="AF245" s="165"/>
      <c r="AG245" s="165"/>
      <c r="AH245" s="165"/>
      <c r="AI245" s="165"/>
      <c r="AJ245" s="165"/>
      <c r="AK245" s="165"/>
      <c r="AL245" s="165"/>
      <c r="AM245" s="165"/>
      <c r="AN245" s="165"/>
      <c r="AO245" s="165"/>
      <c r="AP245" s="164"/>
      <c r="AQ245" s="164"/>
      <c r="AR245" s="164"/>
      <c r="AS245" s="164"/>
      <c r="AT245" s="164"/>
      <c r="AU245" s="164"/>
      <c r="AV245" s="164"/>
      <c r="AW245" s="164"/>
      <c r="AX245" s="164"/>
      <c r="AY245" s="164"/>
      <c r="AZ245" s="164"/>
      <c r="BA245" s="164"/>
      <c r="BB245" s="164"/>
      <c r="BC245" s="164"/>
      <c r="BD245" s="164"/>
      <c r="BE245" s="164"/>
      <c r="BF245" s="164"/>
      <c r="BG245" s="164"/>
    </row>
    <row r="246" ht="10.5" customHeight="1">
      <c r="A246" s="164"/>
      <c r="B246" s="165"/>
      <c r="C246" s="165"/>
      <c r="D246" s="165"/>
      <c r="E246" s="165"/>
      <c r="F246" s="165"/>
      <c r="G246" s="165"/>
      <c r="H246" s="165"/>
      <c r="I246" s="165"/>
      <c r="J246" s="165"/>
      <c r="K246" s="165"/>
      <c r="L246" s="165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  <c r="AA246" s="165"/>
      <c r="AB246" s="165"/>
      <c r="AC246" s="165"/>
      <c r="AD246" s="165"/>
      <c r="AE246" s="165"/>
      <c r="AF246" s="165"/>
      <c r="AG246" s="165"/>
      <c r="AH246" s="165"/>
      <c r="AI246" s="165"/>
      <c r="AJ246" s="165"/>
      <c r="AK246" s="165"/>
      <c r="AL246" s="165"/>
      <c r="AM246" s="165"/>
      <c r="AN246" s="165"/>
      <c r="AO246" s="165"/>
      <c r="AP246" s="164"/>
      <c r="AQ246" s="164"/>
      <c r="AR246" s="164"/>
      <c r="AS246" s="164"/>
      <c r="AT246" s="164"/>
      <c r="AU246" s="164"/>
      <c r="AV246" s="164"/>
      <c r="AW246" s="164"/>
      <c r="AX246" s="164"/>
      <c r="AY246" s="164"/>
      <c r="AZ246" s="164"/>
      <c r="BA246" s="164"/>
      <c r="BB246" s="164"/>
      <c r="BC246" s="164"/>
      <c r="BD246" s="164"/>
      <c r="BE246" s="164"/>
      <c r="BF246" s="164"/>
      <c r="BG246" s="164"/>
    </row>
    <row r="247" ht="10.5" customHeight="1">
      <c r="A247" s="164"/>
      <c r="B247" s="165"/>
      <c r="C247" s="165"/>
      <c r="D247" s="165"/>
      <c r="E247" s="165"/>
      <c r="F247" s="165"/>
      <c r="G247" s="165"/>
      <c r="H247" s="165"/>
      <c r="I247" s="165"/>
      <c r="J247" s="165"/>
      <c r="K247" s="165"/>
      <c r="L247" s="165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  <c r="AA247" s="165"/>
      <c r="AB247" s="165"/>
      <c r="AC247" s="165"/>
      <c r="AD247" s="165"/>
      <c r="AE247" s="165"/>
      <c r="AF247" s="165"/>
      <c r="AG247" s="165"/>
      <c r="AH247" s="165"/>
      <c r="AI247" s="165"/>
      <c r="AJ247" s="165"/>
      <c r="AK247" s="165"/>
      <c r="AL247" s="165"/>
      <c r="AM247" s="165"/>
      <c r="AN247" s="165"/>
      <c r="AO247" s="165"/>
      <c r="AP247" s="164"/>
      <c r="AQ247" s="164"/>
      <c r="AR247" s="164"/>
      <c r="AS247" s="164"/>
      <c r="AT247" s="164"/>
      <c r="AU247" s="164"/>
      <c r="AV247" s="164"/>
      <c r="AW247" s="164"/>
      <c r="AX247" s="164"/>
      <c r="AY247" s="164"/>
      <c r="AZ247" s="164"/>
      <c r="BA247" s="164"/>
      <c r="BB247" s="164"/>
      <c r="BC247" s="164"/>
      <c r="BD247" s="164"/>
      <c r="BE247" s="164"/>
      <c r="BF247" s="164"/>
      <c r="BG247" s="164"/>
    </row>
    <row r="248" ht="10.5" customHeight="1">
      <c r="A248" s="164"/>
      <c r="B248" s="165"/>
      <c r="C248" s="165"/>
      <c r="D248" s="165"/>
      <c r="E248" s="165"/>
      <c r="F248" s="165"/>
      <c r="G248" s="165"/>
      <c r="H248" s="165"/>
      <c r="I248" s="165"/>
      <c r="J248" s="165"/>
      <c r="K248" s="165"/>
      <c r="L248" s="165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  <c r="AA248" s="165"/>
      <c r="AB248" s="165"/>
      <c r="AC248" s="165"/>
      <c r="AD248" s="165"/>
      <c r="AE248" s="165"/>
      <c r="AF248" s="165"/>
      <c r="AG248" s="165"/>
      <c r="AH248" s="165"/>
      <c r="AI248" s="165"/>
      <c r="AJ248" s="165"/>
      <c r="AK248" s="165"/>
      <c r="AL248" s="165"/>
      <c r="AM248" s="165"/>
      <c r="AN248" s="165"/>
      <c r="AO248" s="165"/>
      <c r="AP248" s="164"/>
      <c r="AQ248" s="164"/>
      <c r="AR248" s="164"/>
      <c r="AS248" s="164"/>
      <c r="AT248" s="164"/>
      <c r="AU248" s="164"/>
      <c r="AV248" s="164"/>
      <c r="AW248" s="164"/>
      <c r="AX248" s="164"/>
      <c r="AY248" s="164"/>
      <c r="AZ248" s="164"/>
      <c r="BA248" s="164"/>
      <c r="BB248" s="164"/>
      <c r="BC248" s="164"/>
      <c r="BD248" s="164"/>
      <c r="BE248" s="164"/>
      <c r="BF248" s="164"/>
      <c r="BG248" s="164"/>
    </row>
    <row r="249" ht="10.5" customHeight="1">
      <c r="A249" s="164"/>
      <c r="B249" s="165"/>
      <c r="C249" s="165"/>
      <c r="D249" s="165"/>
      <c r="E249" s="165"/>
      <c r="F249" s="165"/>
      <c r="G249" s="165"/>
      <c r="H249" s="165"/>
      <c r="I249" s="165"/>
      <c r="J249" s="165"/>
      <c r="K249" s="165"/>
      <c r="L249" s="165"/>
      <c r="M249" s="165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  <c r="AA249" s="165"/>
      <c r="AB249" s="165"/>
      <c r="AC249" s="165"/>
      <c r="AD249" s="165"/>
      <c r="AE249" s="165"/>
      <c r="AF249" s="165"/>
      <c r="AG249" s="165"/>
      <c r="AH249" s="165"/>
      <c r="AI249" s="165"/>
      <c r="AJ249" s="165"/>
      <c r="AK249" s="165"/>
      <c r="AL249" s="165"/>
      <c r="AM249" s="165"/>
      <c r="AN249" s="165"/>
      <c r="AO249" s="165"/>
      <c r="AP249" s="164"/>
      <c r="AQ249" s="164"/>
      <c r="AR249" s="164"/>
      <c r="AS249" s="164"/>
      <c r="AT249" s="164"/>
      <c r="AU249" s="164"/>
      <c r="AV249" s="164"/>
      <c r="AW249" s="164"/>
      <c r="AX249" s="164"/>
      <c r="AY249" s="164"/>
      <c r="AZ249" s="164"/>
      <c r="BA249" s="164"/>
      <c r="BB249" s="164"/>
      <c r="BC249" s="164"/>
      <c r="BD249" s="164"/>
      <c r="BE249" s="164"/>
      <c r="BF249" s="164"/>
      <c r="BG249" s="164"/>
    </row>
    <row r="250" ht="10.5" customHeight="1">
      <c r="A250" s="164"/>
      <c r="B250" s="165"/>
      <c r="C250" s="165"/>
      <c r="D250" s="165"/>
      <c r="E250" s="165"/>
      <c r="F250" s="165"/>
      <c r="G250" s="165"/>
      <c r="H250" s="165"/>
      <c r="I250" s="165"/>
      <c r="J250" s="165"/>
      <c r="K250" s="165"/>
      <c r="L250" s="165"/>
      <c r="M250" s="165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  <c r="AA250" s="165"/>
      <c r="AB250" s="165"/>
      <c r="AC250" s="165"/>
      <c r="AD250" s="165"/>
      <c r="AE250" s="165"/>
      <c r="AF250" s="165"/>
      <c r="AG250" s="165"/>
      <c r="AH250" s="165"/>
      <c r="AI250" s="165"/>
      <c r="AJ250" s="165"/>
      <c r="AK250" s="165"/>
      <c r="AL250" s="165"/>
      <c r="AM250" s="165"/>
      <c r="AN250" s="165"/>
      <c r="AO250" s="165"/>
      <c r="AP250" s="164"/>
      <c r="AQ250" s="164"/>
      <c r="AR250" s="164"/>
      <c r="AS250" s="164"/>
      <c r="AT250" s="164"/>
      <c r="AU250" s="164"/>
      <c r="AV250" s="164"/>
      <c r="AW250" s="164"/>
      <c r="AX250" s="164"/>
      <c r="AY250" s="164"/>
      <c r="AZ250" s="164"/>
      <c r="BA250" s="164"/>
      <c r="BB250" s="164"/>
      <c r="BC250" s="164"/>
      <c r="BD250" s="164"/>
      <c r="BE250" s="164"/>
      <c r="BF250" s="164"/>
      <c r="BG250" s="164"/>
    </row>
    <row r="251" ht="10.5" customHeight="1">
      <c r="A251" s="164"/>
      <c r="B251" s="165"/>
      <c r="C251" s="165"/>
      <c r="D251" s="165"/>
      <c r="E251" s="165"/>
      <c r="F251" s="165"/>
      <c r="G251" s="165"/>
      <c r="H251" s="165"/>
      <c r="I251" s="165"/>
      <c r="J251" s="165"/>
      <c r="K251" s="165"/>
      <c r="L251" s="165"/>
      <c r="M251" s="165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  <c r="AA251" s="165"/>
      <c r="AB251" s="165"/>
      <c r="AC251" s="165"/>
      <c r="AD251" s="165"/>
      <c r="AE251" s="165"/>
      <c r="AF251" s="165"/>
      <c r="AG251" s="165"/>
      <c r="AH251" s="165"/>
      <c r="AI251" s="165"/>
      <c r="AJ251" s="165"/>
      <c r="AK251" s="165"/>
      <c r="AL251" s="165"/>
      <c r="AM251" s="165"/>
      <c r="AN251" s="165"/>
      <c r="AO251" s="165"/>
      <c r="AP251" s="164"/>
      <c r="AQ251" s="164"/>
      <c r="AR251" s="164"/>
      <c r="AS251" s="164"/>
      <c r="AT251" s="164"/>
      <c r="AU251" s="164"/>
      <c r="AV251" s="164"/>
      <c r="AW251" s="164"/>
      <c r="AX251" s="164"/>
      <c r="AY251" s="164"/>
      <c r="AZ251" s="164"/>
      <c r="BA251" s="164"/>
      <c r="BB251" s="164"/>
      <c r="BC251" s="164"/>
      <c r="BD251" s="164"/>
      <c r="BE251" s="164"/>
      <c r="BF251" s="164"/>
      <c r="BG251" s="164"/>
    </row>
    <row r="252" ht="10.5" customHeight="1">
      <c r="A252" s="164"/>
      <c r="B252" s="165"/>
      <c r="C252" s="165"/>
      <c r="D252" s="165"/>
      <c r="E252" s="165"/>
      <c r="F252" s="165"/>
      <c r="G252" s="165"/>
      <c r="H252" s="165"/>
      <c r="I252" s="165"/>
      <c r="J252" s="165"/>
      <c r="K252" s="165"/>
      <c r="L252" s="165"/>
      <c r="M252" s="165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  <c r="AA252" s="165"/>
      <c r="AB252" s="165"/>
      <c r="AC252" s="165"/>
      <c r="AD252" s="165"/>
      <c r="AE252" s="165"/>
      <c r="AF252" s="165"/>
      <c r="AG252" s="165"/>
      <c r="AH252" s="165"/>
      <c r="AI252" s="165"/>
      <c r="AJ252" s="165"/>
      <c r="AK252" s="165"/>
      <c r="AL252" s="165"/>
      <c r="AM252" s="165"/>
      <c r="AN252" s="165"/>
      <c r="AO252" s="165"/>
      <c r="AP252" s="164"/>
      <c r="AQ252" s="164"/>
      <c r="AR252" s="164"/>
      <c r="AS252" s="164"/>
      <c r="AT252" s="164"/>
      <c r="AU252" s="164"/>
      <c r="AV252" s="164"/>
      <c r="AW252" s="164"/>
      <c r="AX252" s="164"/>
      <c r="AY252" s="164"/>
      <c r="AZ252" s="164"/>
      <c r="BA252" s="164"/>
      <c r="BB252" s="164"/>
      <c r="BC252" s="164"/>
      <c r="BD252" s="164"/>
      <c r="BE252" s="164"/>
      <c r="BF252" s="164"/>
      <c r="BG252" s="164"/>
    </row>
    <row r="253" ht="10.5" customHeight="1">
      <c r="A253" s="164"/>
      <c r="B253" s="165"/>
      <c r="C253" s="165"/>
      <c r="D253" s="165"/>
      <c r="E253" s="165"/>
      <c r="F253" s="165"/>
      <c r="G253" s="165"/>
      <c r="H253" s="165"/>
      <c r="I253" s="165"/>
      <c r="J253" s="165"/>
      <c r="K253" s="165"/>
      <c r="L253" s="165"/>
      <c r="M253" s="165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  <c r="AA253" s="165"/>
      <c r="AB253" s="165"/>
      <c r="AC253" s="165"/>
      <c r="AD253" s="165"/>
      <c r="AE253" s="165"/>
      <c r="AF253" s="165"/>
      <c r="AG253" s="165"/>
      <c r="AH253" s="165"/>
      <c r="AI253" s="165"/>
      <c r="AJ253" s="165"/>
      <c r="AK253" s="165"/>
      <c r="AL253" s="165"/>
      <c r="AM253" s="165"/>
      <c r="AN253" s="165"/>
      <c r="AO253" s="165"/>
      <c r="AP253" s="164"/>
      <c r="AQ253" s="164"/>
      <c r="AR253" s="164"/>
      <c r="AS253" s="164"/>
      <c r="AT253" s="164"/>
      <c r="AU253" s="164"/>
      <c r="AV253" s="164"/>
      <c r="AW253" s="164"/>
      <c r="AX253" s="164"/>
      <c r="AY253" s="164"/>
      <c r="AZ253" s="164"/>
      <c r="BA253" s="164"/>
      <c r="BB253" s="164"/>
      <c r="BC253" s="164"/>
      <c r="BD253" s="164"/>
      <c r="BE253" s="164"/>
      <c r="BF253" s="164"/>
      <c r="BG253" s="164"/>
    </row>
    <row r="254" ht="10.5" customHeight="1">
      <c r="A254" s="164"/>
      <c r="B254" s="165"/>
      <c r="C254" s="165"/>
      <c r="D254" s="165"/>
      <c r="E254" s="165"/>
      <c r="F254" s="165"/>
      <c r="G254" s="165"/>
      <c r="H254" s="165"/>
      <c r="I254" s="165"/>
      <c r="J254" s="165"/>
      <c r="K254" s="165"/>
      <c r="L254" s="165"/>
      <c r="M254" s="165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  <c r="AA254" s="165"/>
      <c r="AB254" s="165"/>
      <c r="AC254" s="165"/>
      <c r="AD254" s="165"/>
      <c r="AE254" s="165"/>
      <c r="AF254" s="165"/>
      <c r="AG254" s="165"/>
      <c r="AH254" s="165"/>
      <c r="AI254" s="165"/>
      <c r="AJ254" s="165"/>
      <c r="AK254" s="165"/>
      <c r="AL254" s="165"/>
      <c r="AM254" s="165"/>
      <c r="AN254" s="165"/>
      <c r="AO254" s="165"/>
      <c r="AP254" s="164"/>
      <c r="AQ254" s="164"/>
      <c r="AR254" s="164"/>
      <c r="AS254" s="164"/>
      <c r="AT254" s="164"/>
      <c r="AU254" s="164"/>
      <c r="AV254" s="164"/>
      <c r="AW254" s="164"/>
      <c r="AX254" s="164"/>
      <c r="AY254" s="164"/>
      <c r="AZ254" s="164"/>
      <c r="BA254" s="164"/>
      <c r="BB254" s="164"/>
      <c r="BC254" s="164"/>
      <c r="BD254" s="164"/>
      <c r="BE254" s="164"/>
      <c r="BF254" s="164"/>
      <c r="BG254" s="164"/>
    </row>
    <row r="255" ht="10.5" customHeight="1">
      <c r="A255" s="164"/>
      <c r="B255" s="165"/>
      <c r="C255" s="165"/>
      <c r="D255" s="165"/>
      <c r="E255" s="165"/>
      <c r="F255" s="165"/>
      <c r="G255" s="165"/>
      <c r="H255" s="165"/>
      <c r="I255" s="165"/>
      <c r="J255" s="165"/>
      <c r="K255" s="165"/>
      <c r="L255" s="165"/>
      <c r="M255" s="165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  <c r="AA255" s="165"/>
      <c r="AB255" s="165"/>
      <c r="AC255" s="165"/>
      <c r="AD255" s="165"/>
      <c r="AE255" s="165"/>
      <c r="AF255" s="165"/>
      <c r="AG255" s="165"/>
      <c r="AH255" s="165"/>
      <c r="AI255" s="165"/>
      <c r="AJ255" s="165"/>
      <c r="AK255" s="165"/>
      <c r="AL255" s="165"/>
      <c r="AM255" s="165"/>
      <c r="AN255" s="165"/>
      <c r="AO255" s="165"/>
      <c r="AP255" s="164"/>
      <c r="AQ255" s="164"/>
      <c r="AR255" s="164"/>
      <c r="AS255" s="164"/>
      <c r="AT255" s="164"/>
      <c r="AU255" s="164"/>
      <c r="AV255" s="164"/>
      <c r="AW255" s="164"/>
      <c r="AX255" s="164"/>
      <c r="AY255" s="164"/>
      <c r="AZ255" s="164"/>
      <c r="BA255" s="164"/>
      <c r="BB255" s="164"/>
      <c r="BC255" s="164"/>
      <c r="BD255" s="164"/>
      <c r="BE255" s="164"/>
      <c r="BF255" s="164"/>
      <c r="BG255" s="164"/>
    </row>
    <row r="256" ht="10.5" customHeight="1">
      <c r="A256" s="164"/>
      <c r="B256" s="165"/>
      <c r="C256" s="165"/>
      <c r="D256" s="165"/>
      <c r="E256" s="165"/>
      <c r="F256" s="165"/>
      <c r="G256" s="165"/>
      <c r="H256" s="165"/>
      <c r="I256" s="165"/>
      <c r="J256" s="165"/>
      <c r="K256" s="165"/>
      <c r="L256" s="165"/>
      <c r="M256" s="165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  <c r="AA256" s="165"/>
      <c r="AB256" s="165"/>
      <c r="AC256" s="165"/>
      <c r="AD256" s="165"/>
      <c r="AE256" s="165"/>
      <c r="AF256" s="165"/>
      <c r="AG256" s="165"/>
      <c r="AH256" s="165"/>
      <c r="AI256" s="165"/>
      <c r="AJ256" s="165"/>
      <c r="AK256" s="165"/>
      <c r="AL256" s="165"/>
      <c r="AM256" s="165"/>
      <c r="AN256" s="165"/>
      <c r="AO256" s="165"/>
      <c r="AP256" s="164"/>
      <c r="AQ256" s="164"/>
      <c r="AR256" s="164"/>
      <c r="AS256" s="164"/>
      <c r="AT256" s="164"/>
      <c r="AU256" s="164"/>
      <c r="AV256" s="164"/>
      <c r="AW256" s="164"/>
      <c r="AX256" s="164"/>
      <c r="AY256" s="164"/>
      <c r="AZ256" s="164"/>
      <c r="BA256" s="164"/>
      <c r="BB256" s="164"/>
      <c r="BC256" s="164"/>
      <c r="BD256" s="164"/>
      <c r="BE256" s="164"/>
      <c r="BF256" s="164"/>
      <c r="BG256" s="164"/>
    </row>
    <row r="257" ht="10.5" customHeight="1">
      <c r="A257" s="164"/>
      <c r="B257" s="165"/>
      <c r="C257" s="165"/>
      <c r="D257" s="165"/>
      <c r="E257" s="165"/>
      <c r="F257" s="165"/>
      <c r="G257" s="165"/>
      <c r="H257" s="165"/>
      <c r="I257" s="165"/>
      <c r="J257" s="165"/>
      <c r="K257" s="165"/>
      <c r="L257" s="165"/>
      <c r="M257" s="165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  <c r="AA257" s="165"/>
      <c r="AB257" s="165"/>
      <c r="AC257" s="165"/>
      <c r="AD257" s="165"/>
      <c r="AE257" s="165"/>
      <c r="AF257" s="165"/>
      <c r="AG257" s="165"/>
      <c r="AH257" s="165"/>
      <c r="AI257" s="165"/>
      <c r="AJ257" s="165"/>
      <c r="AK257" s="165"/>
      <c r="AL257" s="165"/>
      <c r="AM257" s="165"/>
      <c r="AN257" s="165"/>
      <c r="AO257" s="165"/>
      <c r="AP257" s="164"/>
      <c r="AQ257" s="164"/>
      <c r="AR257" s="164"/>
      <c r="AS257" s="164"/>
      <c r="AT257" s="164"/>
      <c r="AU257" s="164"/>
      <c r="AV257" s="164"/>
      <c r="AW257" s="164"/>
      <c r="AX257" s="164"/>
      <c r="AY257" s="164"/>
      <c r="AZ257" s="164"/>
      <c r="BA257" s="164"/>
      <c r="BB257" s="164"/>
      <c r="BC257" s="164"/>
      <c r="BD257" s="164"/>
      <c r="BE257" s="164"/>
      <c r="BF257" s="164"/>
      <c r="BG257" s="164"/>
    </row>
    <row r="258" ht="10.5" customHeight="1">
      <c r="A258" s="164"/>
      <c r="B258" s="165"/>
      <c r="C258" s="165"/>
      <c r="D258" s="165"/>
      <c r="E258" s="165"/>
      <c r="F258" s="165"/>
      <c r="G258" s="165"/>
      <c r="H258" s="165"/>
      <c r="I258" s="165"/>
      <c r="J258" s="165"/>
      <c r="K258" s="165"/>
      <c r="L258" s="165"/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  <c r="AA258" s="165"/>
      <c r="AB258" s="165"/>
      <c r="AC258" s="165"/>
      <c r="AD258" s="165"/>
      <c r="AE258" s="165"/>
      <c r="AF258" s="165"/>
      <c r="AG258" s="165"/>
      <c r="AH258" s="165"/>
      <c r="AI258" s="165"/>
      <c r="AJ258" s="165"/>
      <c r="AK258" s="165"/>
      <c r="AL258" s="165"/>
      <c r="AM258" s="165"/>
      <c r="AN258" s="165"/>
      <c r="AO258" s="165"/>
      <c r="AP258" s="164"/>
      <c r="AQ258" s="164"/>
      <c r="AR258" s="164"/>
      <c r="AS258" s="164"/>
      <c r="AT258" s="164"/>
      <c r="AU258" s="164"/>
      <c r="AV258" s="164"/>
      <c r="AW258" s="164"/>
      <c r="AX258" s="164"/>
      <c r="AY258" s="164"/>
      <c r="AZ258" s="164"/>
      <c r="BA258" s="164"/>
      <c r="BB258" s="164"/>
      <c r="BC258" s="164"/>
      <c r="BD258" s="164"/>
      <c r="BE258" s="164"/>
      <c r="BF258" s="164"/>
      <c r="BG258" s="164"/>
    </row>
    <row r="259" ht="10.5" customHeight="1">
      <c r="A259" s="164"/>
      <c r="B259" s="165"/>
      <c r="C259" s="165"/>
      <c r="D259" s="165"/>
      <c r="E259" s="165"/>
      <c r="F259" s="165"/>
      <c r="G259" s="165"/>
      <c r="H259" s="165"/>
      <c r="I259" s="165"/>
      <c r="J259" s="165"/>
      <c r="K259" s="165"/>
      <c r="L259" s="165"/>
      <c r="M259" s="165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  <c r="AA259" s="165"/>
      <c r="AB259" s="165"/>
      <c r="AC259" s="165"/>
      <c r="AD259" s="165"/>
      <c r="AE259" s="165"/>
      <c r="AF259" s="165"/>
      <c r="AG259" s="165"/>
      <c r="AH259" s="165"/>
      <c r="AI259" s="165"/>
      <c r="AJ259" s="165"/>
      <c r="AK259" s="165"/>
      <c r="AL259" s="165"/>
      <c r="AM259" s="165"/>
      <c r="AN259" s="165"/>
      <c r="AO259" s="165"/>
      <c r="AP259" s="164"/>
      <c r="AQ259" s="164"/>
      <c r="AR259" s="164"/>
      <c r="AS259" s="164"/>
      <c r="AT259" s="164"/>
      <c r="AU259" s="164"/>
      <c r="AV259" s="164"/>
      <c r="AW259" s="164"/>
      <c r="AX259" s="164"/>
      <c r="AY259" s="164"/>
      <c r="AZ259" s="164"/>
      <c r="BA259" s="164"/>
      <c r="BB259" s="164"/>
      <c r="BC259" s="164"/>
      <c r="BD259" s="164"/>
      <c r="BE259" s="164"/>
      <c r="BF259" s="164"/>
      <c r="BG259" s="164"/>
    </row>
    <row r="260" ht="10.5" customHeight="1">
      <c r="A260" s="164"/>
      <c r="B260" s="165"/>
      <c r="C260" s="165"/>
      <c r="D260" s="165"/>
      <c r="E260" s="165"/>
      <c r="F260" s="165"/>
      <c r="G260" s="165"/>
      <c r="H260" s="165"/>
      <c r="I260" s="165"/>
      <c r="J260" s="165"/>
      <c r="K260" s="165"/>
      <c r="L260" s="165"/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  <c r="AA260" s="165"/>
      <c r="AB260" s="165"/>
      <c r="AC260" s="165"/>
      <c r="AD260" s="165"/>
      <c r="AE260" s="165"/>
      <c r="AF260" s="165"/>
      <c r="AG260" s="165"/>
      <c r="AH260" s="165"/>
      <c r="AI260" s="165"/>
      <c r="AJ260" s="165"/>
      <c r="AK260" s="165"/>
      <c r="AL260" s="165"/>
      <c r="AM260" s="165"/>
      <c r="AN260" s="165"/>
      <c r="AO260" s="165"/>
      <c r="AP260" s="164"/>
      <c r="AQ260" s="164"/>
      <c r="AR260" s="164"/>
      <c r="AS260" s="164"/>
      <c r="AT260" s="164"/>
      <c r="AU260" s="164"/>
      <c r="AV260" s="164"/>
      <c r="AW260" s="164"/>
      <c r="AX260" s="164"/>
      <c r="AY260" s="164"/>
      <c r="AZ260" s="164"/>
      <c r="BA260" s="164"/>
      <c r="BB260" s="164"/>
      <c r="BC260" s="164"/>
      <c r="BD260" s="164"/>
      <c r="BE260" s="164"/>
      <c r="BF260" s="164"/>
      <c r="BG260" s="164"/>
    </row>
    <row r="261" ht="10.5" customHeight="1">
      <c r="A261" s="164"/>
      <c r="B261" s="165"/>
      <c r="C261" s="165"/>
      <c r="D261" s="165"/>
      <c r="E261" s="165"/>
      <c r="F261" s="165"/>
      <c r="G261" s="165"/>
      <c r="H261" s="165"/>
      <c r="I261" s="165"/>
      <c r="J261" s="165"/>
      <c r="K261" s="165"/>
      <c r="L261" s="165"/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  <c r="AA261" s="165"/>
      <c r="AB261" s="165"/>
      <c r="AC261" s="165"/>
      <c r="AD261" s="165"/>
      <c r="AE261" s="165"/>
      <c r="AF261" s="165"/>
      <c r="AG261" s="165"/>
      <c r="AH261" s="165"/>
      <c r="AI261" s="165"/>
      <c r="AJ261" s="165"/>
      <c r="AK261" s="165"/>
      <c r="AL261" s="165"/>
      <c r="AM261" s="165"/>
      <c r="AN261" s="165"/>
      <c r="AO261" s="165"/>
      <c r="AP261" s="164"/>
      <c r="AQ261" s="164"/>
      <c r="AR261" s="164"/>
      <c r="AS261" s="164"/>
      <c r="AT261" s="164"/>
      <c r="AU261" s="164"/>
      <c r="AV261" s="164"/>
      <c r="AW261" s="164"/>
      <c r="AX261" s="164"/>
      <c r="AY261" s="164"/>
      <c r="AZ261" s="164"/>
      <c r="BA261" s="164"/>
      <c r="BB261" s="164"/>
      <c r="BC261" s="164"/>
      <c r="BD261" s="164"/>
      <c r="BE261" s="164"/>
      <c r="BF261" s="164"/>
      <c r="BG261" s="164"/>
    </row>
    <row r="262" ht="10.5" customHeight="1">
      <c r="A262" s="164"/>
      <c r="B262" s="165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5"/>
      <c r="AJ262" s="165"/>
      <c r="AK262" s="165"/>
      <c r="AL262" s="165"/>
      <c r="AM262" s="165"/>
      <c r="AN262" s="165"/>
      <c r="AO262" s="165"/>
      <c r="AP262" s="164"/>
      <c r="AQ262" s="164"/>
      <c r="AR262" s="164"/>
      <c r="AS262" s="164"/>
      <c r="AT262" s="164"/>
      <c r="AU262" s="164"/>
      <c r="AV262" s="164"/>
      <c r="AW262" s="164"/>
      <c r="AX262" s="164"/>
      <c r="AY262" s="164"/>
      <c r="AZ262" s="164"/>
      <c r="BA262" s="164"/>
      <c r="BB262" s="164"/>
      <c r="BC262" s="164"/>
      <c r="BD262" s="164"/>
      <c r="BE262" s="164"/>
      <c r="BF262" s="164"/>
      <c r="BG262" s="164"/>
    </row>
    <row r="263" ht="10.5" customHeight="1">
      <c r="A263" s="164"/>
      <c r="B263" s="165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5"/>
      <c r="AJ263" s="165"/>
      <c r="AK263" s="165"/>
      <c r="AL263" s="165"/>
      <c r="AM263" s="165"/>
      <c r="AN263" s="165"/>
      <c r="AO263" s="165"/>
      <c r="AP263" s="164"/>
      <c r="AQ263" s="164"/>
      <c r="AR263" s="164"/>
      <c r="AS263" s="164"/>
      <c r="AT263" s="164"/>
      <c r="AU263" s="164"/>
      <c r="AV263" s="164"/>
      <c r="AW263" s="164"/>
      <c r="AX263" s="164"/>
      <c r="AY263" s="164"/>
      <c r="AZ263" s="164"/>
      <c r="BA263" s="164"/>
      <c r="BB263" s="164"/>
      <c r="BC263" s="164"/>
      <c r="BD263" s="164"/>
      <c r="BE263" s="164"/>
      <c r="BF263" s="164"/>
      <c r="BG263" s="164"/>
    </row>
    <row r="264" ht="10.5" customHeight="1">
      <c r="A264" s="164"/>
      <c r="B264" s="165"/>
      <c r="C264" s="165"/>
      <c r="D264" s="165"/>
      <c r="E264" s="165"/>
      <c r="F264" s="165"/>
      <c r="G264" s="165"/>
      <c r="H264" s="165"/>
      <c r="I264" s="165"/>
      <c r="J264" s="165"/>
      <c r="K264" s="165"/>
      <c r="L264" s="165"/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  <c r="AA264" s="165"/>
      <c r="AB264" s="165"/>
      <c r="AC264" s="165"/>
      <c r="AD264" s="165"/>
      <c r="AE264" s="165"/>
      <c r="AF264" s="165"/>
      <c r="AG264" s="165"/>
      <c r="AH264" s="165"/>
      <c r="AI264" s="165"/>
      <c r="AJ264" s="165"/>
      <c r="AK264" s="165"/>
      <c r="AL264" s="165"/>
      <c r="AM264" s="165"/>
      <c r="AN264" s="165"/>
      <c r="AO264" s="165"/>
      <c r="AP264" s="164"/>
      <c r="AQ264" s="164"/>
      <c r="AR264" s="164"/>
      <c r="AS264" s="164"/>
      <c r="AT264" s="164"/>
      <c r="AU264" s="164"/>
      <c r="AV264" s="164"/>
      <c r="AW264" s="164"/>
      <c r="AX264" s="164"/>
      <c r="AY264" s="164"/>
      <c r="AZ264" s="164"/>
      <c r="BA264" s="164"/>
      <c r="BB264" s="164"/>
      <c r="BC264" s="164"/>
      <c r="BD264" s="164"/>
      <c r="BE264" s="164"/>
      <c r="BF264" s="164"/>
      <c r="BG264" s="164"/>
    </row>
    <row r="265" ht="10.5" customHeight="1">
      <c r="A265" s="164"/>
      <c r="B265" s="165"/>
      <c r="C265" s="165"/>
      <c r="D265" s="165"/>
      <c r="E265" s="165"/>
      <c r="F265" s="165"/>
      <c r="G265" s="165"/>
      <c r="H265" s="165"/>
      <c r="I265" s="165"/>
      <c r="J265" s="165"/>
      <c r="K265" s="165"/>
      <c r="L265" s="165"/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  <c r="AA265" s="165"/>
      <c r="AB265" s="165"/>
      <c r="AC265" s="165"/>
      <c r="AD265" s="165"/>
      <c r="AE265" s="165"/>
      <c r="AF265" s="165"/>
      <c r="AG265" s="165"/>
      <c r="AH265" s="165"/>
      <c r="AI265" s="165"/>
      <c r="AJ265" s="165"/>
      <c r="AK265" s="165"/>
      <c r="AL265" s="165"/>
      <c r="AM265" s="165"/>
      <c r="AN265" s="165"/>
      <c r="AO265" s="165"/>
      <c r="AP265" s="164"/>
      <c r="AQ265" s="164"/>
      <c r="AR265" s="164"/>
      <c r="AS265" s="164"/>
      <c r="AT265" s="164"/>
      <c r="AU265" s="164"/>
      <c r="AV265" s="164"/>
      <c r="AW265" s="164"/>
      <c r="AX265" s="164"/>
      <c r="AY265" s="164"/>
      <c r="AZ265" s="164"/>
      <c r="BA265" s="164"/>
      <c r="BB265" s="164"/>
      <c r="BC265" s="164"/>
      <c r="BD265" s="164"/>
      <c r="BE265" s="164"/>
      <c r="BF265" s="164"/>
      <c r="BG265" s="164"/>
    </row>
    <row r="266" ht="10.5" customHeight="1">
      <c r="A266" s="164"/>
      <c r="B266" s="165"/>
      <c r="C266" s="165"/>
      <c r="D266" s="165"/>
      <c r="E266" s="165"/>
      <c r="F266" s="165"/>
      <c r="G266" s="165"/>
      <c r="H266" s="165"/>
      <c r="I266" s="165"/>
      <c r="J266" s="165"/>
      <c r="K266" s="165"/>
      <c r="L266" s="165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  <c r="AA266" s="165"/>
      <c r="AB266" s="165"/>
      <c r="AC266" s="165"/>
      <c r="AD266" s="165"/>
      <c r="AE266" s="165"/>
      <c r="AF266" s="165"/>
      <c r="AG266" s="165"/>
      <c r="AH266" s="165"/>
      <c r="AI266" s="165"/>
      <c r="AJ266" s="165"/>
      <c r="AK266" s="165"/>
      <c r="AL266" s="165"/>
      <c r="AM266" s="165"/>
      <c r="AN266" s="165"/>
      <c r="AO266" s="165"/>
      <c r="AP266" s="164"/>
      <c r="AQ266" s="164"/>
      <c r="AR266" s="164"/>
      <c r="AS266" s="164"/>
      <c r="AT266" s="164"/>
      <c r="AU266" s="164"/>
      <c r="AV266" s="164"/>
      <c r="AW266" s="164"/>
      <c r="AX266" s="164"/>
      <c r="AY266" s="164"/>
      <c r="AZ266" s="164"/>
      <c r="BA266" s="164"/>
      <c r="BB266" s="164"/>
      <c r="BC266" s="164"/>
      <c r="BD266" s="164"/>
      <c r="BE266" s="164"/>
      <c r="BF266" s="164"/>
      <c r="BG266" s="164"/>
    </row>
    <row r="267" ht="10.5" customHeight="1">
      <c r="A267" s="164"/>
      <c r="B267" s="165"/>
      <c r="C267" s="165"/>
      <c r="D267" s="165"/>
      <c r="E267" s="165"/>
      <c r="F267" s="165"/>
      <c r="G267" s="165"/>
      <c r="H267" s="165"/>
      <c r="I267" s="165"/>
      <c r="J267" s="165"/>
      <c r="K267" s="165"/>
      <c r="L267" s="165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  <c r="AA267" s="165"/>
      <c r="AB267" s="165"/>
      <c r="AC267" s="165"/>
      <c r="AD267" s="165"/>
      <c r="AE267" s="165"/>
      <c r="AF267" s="165"/>
      <c r="AG267" s="165"/>
      <c r="AH267" s="165"/>
      <c r="AI267" s="165"/>
      <c r="AJ267" s="165"/>
      <c r="AK267" s="165"/>
      <c r="AL267" s="165"/>
      <c r="AM267" s="165"/>
      <c r="AN267" s="165"/>
      <c r="AO267" s="165"/>
      <c r="AP267" s="164"/>
      <c r="AQ267" s="164"/>
      <c r="AR267" s="164"/>
      <c r="AS267" s="164"/>
      <c r="AT267" s="164"/>
      <c r="AU267" s="164"/>
      <c r="AV267" s="164"/>
      <c r="AW267" s="164"/>
      <c r="AX267" s="164"/>
      <c r="AY267" s="164"/>
      <c r="AZ267" s="164"/>
      <c r="BA267" s="164"/>
      <c r="BB267" s="164"/>
      <c r="BC267" s="164"/>
      <c r="BD267" s="164"/>
      <c r="BE267" s="164"/>
      <c r="BF267" s="164"/>
      <c r="BG267" s="164"/>
    </row>
    <row r="268" ht="10.5" customHeight="1">
      <c r="A268" s="164"/>
      <c r="B268" s="165"/>
      <c r="C268" s="165"/>
      <c r="D268" s="165"/>
      <c r="E268" s="165"/>
      <c r="F268" s="165"/>
      <c r="G268" s="165"/>
      <c r="H268" s="165"/>
      <c r="I268" s="165"/>
      <c r="J268" s="165"/>
      <c r="K268" s="165"/>
      <c r="L268" s="165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  <c r="AA268" s="165"/>
      <c r="AB268" s="165"/>
      <c r="AC268" s="165"/>
      <c r="AD268" s="165"/>
      <c r="AE268" s="165"/>
      <c r="AF268" s="165"/>
      <c r="AG268" s="165"/>
      <c r="AH268" s="165"/>
      <c r="AI268" s="165"/>
      <c r="AJ268" s="165"/>
      <c r="AK268" s="165"/>
      <c r="AL268" s="165"/>
      <c r="AM268" s="165"/>
      <c r="AN268" s="165"/>
      <c r="AO268" s="165"/>
      <c r="AP268" s="164"/>
      <c r="AQ268" s="164"/>
      <c r="AR268" s="164"/>
      <c r="AS268" s="164"/>
      <c r="AT268" s="164"/>
      <c r="AU268" s="164"/>
      <c r="AV268" s="164"/>
      <c r="AW268" s="164"/>
      <c r="AX268" s="164"/>
      <c r="AY268" s="164"/>
      <c r="AZ268" s="164"/>
      <c r="BA268" s="164"/>
      <c r="BB268" s="164"/>
      <c r="BC268" s="164"/>
      <c r="BD268" s="164"/>
      <c r="BE268" s="164"/>
      <c r="BF268" s="164"/>
      <c r="BG268" s="164"/>
    </row>
    <row r="269" ht="10.5" customHeight="1">
      <c r="A269" s="164"/>
      <c r="B269" s="165"/>
      <c r="C269" s="165"/>
      <c r="D269" s="165"/>
      <c r="E269" s="165"/>
      <c r="F269" s="165"/>
      <c r="G269" s="165"/>
      <c r="H269" s="165"/>
      <c r="I269" s="165"/>
      <c r="J269" s="165"/>
      <c r="K269" s="165"/>
      <c r="L269" s="165"/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  <c r="AA269" s="165"/>
      <c r="AB269" s="165"/>
      <c r="AC269" s="165"/>
      <c r="AD269" s="165"/>
      <c r="AE269" s="165"/>
      <c r="AF269" s="165"/>
      <c r="AG269" s="165"/>
      <c r="AH269" s="165"/>
      <c r="AI269" s="165"/>
      <c r="AJ269" s="165"/>
      <c r="AK269" s="165"/>
      <c r="AL269" s="165"/>
      <c r="AM269" s="165"/>
      <c r="AN269" s="165"/>
      <c r="AO269" s="165"/>
      <c r="AP269" s="164"/>
      <c r="AQ269" s="164"/>
      <c r="AR269" s="164"/>
      <c r="AS269" s="164"/>
      <c r="AT269" s="164"/>
      <c r="AU269" s="164"/>
      <c r="AV269" s="164"/>
      <c r="AW269" s="164"/>
      <c r="AX269" s="164"/>
      <c r="AY269" s="164"/>
      <c r="AZ269" s="164"/>
      <c r="BA269" s="164"/>
      <c r="BB269" s="164"/>
      <c r="BC269" s="164"/>
      <c r="BD269" s="164"/>
      <c r="BE269" s="164"/>
      <c r="BF269" s="164"/>
      <c r="BG269" s="164"/>
    </row>
    <row r="270" ht="10.5" customHeight="1">
      <c r="A270" s="164"/>
      <c r="B270" s="165"/>
      <c r="C270" s="165"/>
      <c r="D270" s="165"/>
      <c r="E270" s="165"/>
      <c r="F270" s="165"/>
      <c r="G270" s="165"/>
      <c r="H270" s="165"/>
      <c r="I270" s="165"/>
      <c r="J270" s="165"/>
      <c r="K270" s="165"/>
      <c r="L270" s="165"/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  <c r="AA270" s="165"/>
      <c r="AB270" s="165"/>
      <c r="AC270" s="165"/>
      <c r="AD270" s="165"/>
      <c r="AE270" s="165"/>
      <c r="AF270" s="165"/>
      <c r="AG270" s="165"/>
      <c r="AH270" s="165"/>
      <c r="AI270" s="165"/>
      <c r="AJ270" s="165"/>
      <c r="AK270" s="165"/>
      <c r="AL270" s="165"/>
      <c r="AM270" s="165"/>
      <c r="AN270" s="165"/>
      <c r="AO270" s="165"/>
      <c r="AP270" s="164"/>
      <c r="AQ270" s="164"/>
      <c r="AR270" s="164"/>
      <c r="AS270" s="164"/>
      <c r="AT270" s="164"/>
      <c r="AU270" s="164"/>
      <c r="AV270" s="164"/>
      <c r="AW270" s="164"/>
      <c r="AX270" s="164"/>
      <c r="AY270" s="164"/>
      <c r="AZ270" s="164"/>
      <c r="BA270" s="164"/>
      <c r="BB270" s="164"/>
      <c r="BC270" s="164"/>
      <c r="BD270" s="164"/>
      <c r="BE270" s="164"/>
      <c r="BF270" s="164"/>
      <c r="BG270" s="164"/>
    </row>
    <row r="271" ht="10.5" customHeight="1">
      <c r="A271" s="164"/>
      <c r="B271" s="165"/>
      <c r="C271" s="165"/>
      <c r="D271" s="165"/>
      <c r="E271" s="165"/>
      <c r="F271" s="165"/>
      <c r="G271" s="165"/>
      <c r="H271" s="165"/>
      <c r="I271" s="165"/>
      <c r="J271" s="165"/>
      <c r="K271" s="165"/>
      <c r="L271" s="165"/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  <c r="AA271" s="165"/>
      <c r="AB271" s="165"/>
      <c r="AC271" s="165"/>
      <c r="AD271" s="165"/>
      <c r="AE271" s="165"/>
      <c r="AF271" s="165"/>
      <c r="AG271" s="165"/>
      <c r="AH271" s="165"/>
      <c r="AI271" s="165"/>
      <c r="AJ271" s="165"/>
      <c r="AK271" s="165"/>
      <c r="AL271" s="165"/>
      <c r="AM271" s="165"/>
      <c r="AN271" s="165"/>
      <c r="AO271" s="165"/>
      <c r="AP271" s="164"/>
      <c r="AQ271" s="164"/>
      <c r="AR271" s="164"/>
      <c r="AS271" s="164"/>
      <c r="AT271" s="164"/>
      <c r="AU271" s="164"/>
      <c r="AV271" s="164"/>
      <c r="AW271" s="164"/>
      <c r="AX271" s="164"/>
      <c r="AY271" s="164"/>
      <c r="AZ271" s="164"/>
      <c r="BA271" s="164"/>
      <c r="BB271" s="164"/>
      <c r="BC271" s="164"/>
      <c r="BD271" s="164"/>
      <c r="BE271" s="164"/>
      <c r="BF271" s="164"/>
      <c r="BG271" s="164"/>
    </row>
    <row r="272" ht="10.5" customHeight="1">
      <c r="A272" s="164"/>
      <c r="B272" s="165"/>
      <c r="C272" s="165"/>
      <c r="D272" s="165"/>
      <c r="E272" s="165"/>
      <c r="F272" s="165"/>
      <c r="G272" s="165"/>
      <c r="H272" s="165"/>
      <c r="I272" s="165"/>
      <c r="J272" s="165"/>
      <c r="K272" s="165"/>
      <c r="L272" s="165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  <c r="AA272" s="165"/>
      <c r="AB272" s="165"/>
      <c r="AC272" s="165"/>
      <c r="AD272" s="165"/>
      <c r="AE272" s="165"/>
      <c r="AF272" s="165"/>
      <c r="AG272" s="165"/>
      <c r="AH272" s="165"/>
      <c r="AI272" s="165"/>
      <c r="AJ272" s="165"/>
      <c r="AK272" s="165"/>
      <c r="AL272" s="165"/>
      <c r="AM272" s="165"/>
      <c r="AN272" s="165"/>
      <c r="AO272" s="165"/>
      <c r="AP272" s="164"/>
      <c r="AQ272" s="164"/>
      <c r="AR272" s="164"/>
      <c r="AS272" s="164"/>
      <c r="AT272" s="164"/>
      <c r="AU272" s="164"/>
      <c r="AV272" s="164"/>
      <c r="AW272" s="164"/>
      <c r="AX272" s="164"/>
      <c r="AY272" s="164"/>
      <c r="AZ272" s="164"/>
      <c r="BA272" s="164"/>
      <c r="BB272" s="164"/>
      <c r="BC272" s="164"/>
      <c r="BD272" s="164"/>
      <c r="BE272" s="164"/>
      <c r="BF272" s="164"/>
      <c r="BG272" s="164"/>
    </row>
    <row r="273" ht="10.5" customHeight="1">
      <c r="A273" s="164"/>
      <c r="B273" s="165"/>
      <c r="C273" s="165"/>
      <c r="D273" s="165"/>
      <c r="E273" s="165"/>
      <c r="F273" s="165"/>
      <c r="G273" s="165"/>
      <c r="H273" s="165"/>
      <c r="I273" s="165"/>
      <c r="J273" s="165"/>
      <c r="K273" s="165"/>
      <c r="L273" s="165"/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  <c r="AA273" s="165"/>
      <c r="AB273" s="165"/>
      <c r="AC273" s="165"/>
      <c r="AD273" s="165"/>
      <c r="AE273" s="165"/>
      <c r="AF273" s="165"/>
      <c r="AG273" s="165"/>
      <c r="AH273" s="165"/>
      <c r="AI273" s="165"/>
      <c r="AJ273" s="165"/>
      <c r="AK273" s="165"/>
      <c r="AL273" s="165"/>
      <c r="AM273" s="165"/>
      <c r="AN273" s="165"/>
      <c r="AO273" s="165"/>
      <c r="AP273" s="164"/>
      <c r="AQ273" s="164"/>
      <c r="AR273" s="164"/>
      <c r="AS273" s="164"/>
      <c r="AT273" s="164"/>
      <c r="AU273" s="164"/>
      <c r="AV273" s="164"/>
      <c r="AW273" s="164"/>
      <c r="AX273" s="164"/>
      <c r="AY273" s="164"/>
      <c r="AZ273" s="164"/>
      <c r="BA273" s="164"/>
      <c r="BB273" s="164"/>
      <c r="BC273" s="164"/>
      <c r="BD273" s="164"/>
      <c r="BE273" s="164"/>
      <c r="BF273" s="164"/>
      <c r="BG273" s="164"/>
    </row>
    <row r="274" ht="10.5" customHeight="1">
      <c r="A274" s="164"/>
      <c r="B274" s="165"/>
      <c r="C274" s="165"/>
      <c r="D274" s="165"/>
      <c r="E274" s="165"/>
      <c r="F274" s="165"/>
      <c r="G274" s="165"/>
      <c r="H274" s="165"/>
      <c r="I274" s="165"/>
      <c r="J274" s="165"/>
      <c r="K274" s="165"/>
      <c r="L274" s="165"/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  <c r="AA274" s="165"/>
      <c r="AB274" s="165"/>
      <c r="AC274" s="165"/>
      <c r="AD274" s="165"/>
      <c r="AE274" s="165"/>
      <c r="AF274" s="165"/>
      <c r="AG274" s="165"/>
      <c r="AH274" s="165"/>
      <c r="AI274" s="165"/>
      <c r="AJ274" s="165"/>
      <c r="AK274" s="165"/>
      <c r="AL274" s="165"/>
      <c r="AM274" s="165"/>
      <c r="AN274" s="165"/>
      <c r="AO274" s="165"/>
      <c r="AP274" s="164"/>
      <c r="AQ274" s="164"/>
      <c r="AR274" s="164"/>
      <c r="AS274" s="164"/>
      <c r="AT274" s="164"/>
      <c r="AU274" s="164"/>
      <c r="AV274" s="164"/>
      <c r="AW274" s="164"/>
      <c r="AX274" s="164"/>
      <c r="AY274" s="164"/>
      <c r="AZ274" s="164"/>
      <c r="BA274" s="164"/>
      <c r="BB274" s="164"/>
      <c r="BC274" s="164"/>
      <c r="BD274" s="164"/>
      <c r="BE274" s="164"/>
      <c r="BF274" s="164"/>
      <c r="BG274" s="164"/>
    </row>
    <row r="275" ht="10.5" customHeight="1">
      <c r="A275" s="164"/>
      <c r="B275" s="165"/>
      <c r="C275" s="165"/>
      <c r="D275" s="165"/>
      <c r="E275" s="165"/>
      <c r="F275" s="165"/>
      <c r="G275" s="165"/>
      <c r="H275" s="165"/>
      <c r="I275" s="165"/>
      <c r="J275" s="165"/>
      <c r="K275" s="165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  <c r="AA275" s="165"/>
      <c r="AB275" s="165"/>
      <c r="AC275" s="165"/>
      <c r="AD275" s="165"/>
      <c r="AE275" s="165"/>
      <c r="AF275" s="165"/>
      <c r="AG275" s="165"/>
      <c r="AH275" s="165"/>
      <c r="AI275" s="165"/>
      <c r="AJ275" s="165"/>
      <c r="AK275" s="165"/>
      <c r="AL275" s="165"/>
      <c r="AM275" s="165"/>
      <c r="AN275" s="165"/>
      <c r="AO275" s="165"/>
      <c r="AP275" s="164"/>
      <c r="AQ275" s="164"/>
      <c r="AR275" s="164"/>
      <c r="AS275" s="164"/>
      <c r="AT275" s="164"/>
      <c r="AU275" s="164"/>
      <c r="AV275" s="164"/>
      <c r="AW275" s="164"/>
      <c r="AX275" s="164"/>
      <c r="AY275" s="164"/>
      <c r="AZ275" s="164"/>
      <c r="BA275" s="164"/>
      <c r="BB275" s="164"/>
      <c r="BC275" s="164"/>
      <c r="BD275" s="164"/>
      <c r="BE275" s="164"/>
      <c r="BF275" s="164"/>
      <c r="BG275" s="164"/>
    </row>
    <row r="276" ht="10.5" customHeight="1">
      <c r="A276" s="164"/>
      <c r="B276" s="165"/>
      <c r="C276" s="165"/>
      <c r="D276" s="165"/>
      <c r="E276" s="165"/>
      <c r="F276" s="165"/>
      <c r="G276" s="165"/>
      <c r="H276" s="165"/>
      <c r="I276" s="165"/>
      <c r="J276" s="165"/>
      <c r="K276" s="165"/>
      <c r="L276" s="165"/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  <c r="AA276" s="165"/>
      <c r="AB276" s="165"/>
      <c r="AC276" s="165"/>
      <c r="AD276" s="165"/>
      <c r="AE276" s="165"/>
      <c r="AF276" s="165"/>
      <c r="AG276" s="165"/>
      <c r="AH276" s="165"/>
      <c r="AI276" s="165"/>
      <c r="AJ276" s="165"/>
      <c r="AK276" s="165"/>
      <c r="AL276" s="165"/>
      <c r="AM276" s="165"/>
      <c r="AN276" s="165"/>
      <c r="AO276" s="165"/>
      <c r="AP276" s="164"/>
      <c r="AQ276" s="164"/>
      <c r="AR276" s="164"/>
      <c r="AS276" s="164"/>
      <c r="AT276" s="164"/>
      <c r="AU276" s="164"/>
      <c r="AV276" s="164"/>
      <c r="AW276" s="164"/>
      <c r="AX276" s="164"/>
      <c r="AY276" s="164"/>
      <c r="AZ276" s="164"/>
      <c r="BA276" s="164"/>
      <c r="BB276" s="164"/>
      <c r="BC276" s="164"/>
      <c r="BD276" s="164"/>
      <c r="BE276" s="164"/>
      <c r="BF276" s="164"/>
      <c r="BG276" s="164"/>
    </row>
    <row r="277" ht="10.5" customHeight="1">
      <c r="A277" s="164"/>
      <c r="B277" s="165"/>
      <c r="C277" s="165"/>
      <c r="D277" s="165"/>
      <c r="E277" s="165"/>
      <c r="F277" s="165"/>
      <c r="G277" s="165"/>
      <c r="H277" s="165"/>
      <c r="I277" s="165"/>
      <c r="J277" s="165"/>
      <c r="K277" s="165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  <c r="AA277" s="165"/>
      <c r="AB277" s="165"/>
      <c r="AC277" s="165"/>
      <c r="AD277" s="165"/>
      <c r="AE277" s="165"/>
      <c r="AF277" s="165"/>
      <c r="AG277" s="165"/>
      <c r="AH277" s="165"/>
      <c r="AI277" s="165"/>
      <c r="AJ277" s="165"/>
      <c r="AK277" s="165"/>
      <c r="AL277" s="165"/>
      <c r="AM277" s="165"/>
      <c r="AN277" s="165"/>
      <c r="AO277" s="165"/>
      <c r="AP277" s="164"/>
      <c r="AQ277" s="164"/>
      <c r="AR277" s="164"/>
      <c r="AS277" s="164"/>
      <c r="AT277" s="164"/>
      <c r="AU277" s="164"/>
      <c r="AV277" s="164"/>
      <c r="AW277" s="164"/>
      <c r="AX277" s="164"/>
      <c r="AY277" s="164"/>
      <c r="AZ277" s="164"/>
      <c r="BA277" s="164"/>
      <c r="BB277" s="164"/>
      <c r="BC277" s="164"/>
      <c r="BD277" s="164"/>
      <c r="BE277" s="164"/>
      <c r="BF277" s="164"/>
      <c r="BG277" s="164"/>
    </row>
    <row r="278" ht="10.5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5"/>
      <c r="AH278" s="165"/>
      <c r="AI278" s="165"/>
      <c r="AJ278" s="165"/>
      <c r="AK278" s="165"/>
      <c r="AL278" s="165"/>
      <c r="AM278" s="165"/>
      <c r="AN278" s="165"/>
      <c r="AO278" s="165"/>
      <c r="AP278" s="164"/>
      <c r="AQ278" s="164"/>
      <c r="AR278" s="164"/>
      <c r="AS278" s="164"/>
      <c r="AT278" s="164"/>
      <c r="AU278" s="164"/>
      <c r="AV278" s="164"/>
      <c r="AW278" s="164"/>
      <c r="AX278" s="164"/>
      <c r="AY278" s="164"/>
      <c r="AZ278" s="164"/>
      <c r="BA278" s="164"/>
      <c r="BB278" s="164"/>
      <c r="BC278" s="164"/>
      <c r="BD278" s="164"/>
      <c r="BE278" s="164"/>
      <c r="BF278" s="164"/>
      <c r="BG278" s="164"/>
    </row>
    <row r="279" ht="10.5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5"/>
      <c r="AH279" s="165"/>
      <c r="AI279" s="165"/>
      <c r="AJ279" s="165"/>
      <c r="AK279" s="165"/>
      <c r="AL279" s="165"/>
      <c r="AM279" s="165"/>
      <c r="AN279" s="165"/>
      <c r="AO279" s="165"/>
      <c r="AP279" s="164"/>
      <c r="AQ279" s="164"/>
      <c r="AR279" s="164"/>
      <c r="AS279" s="164"/>
      <c r="AT279" s="164"/>
      <c r="AU279" s="164"/>
      <c r="AV279" s="164"/>
      <c r="AW279" s="164"/>
      <c r="AX279" s="164"/>
      <c r="AY279" s="164"/>
      <c r="AZ279" s="164"/>
      <c r="BA279" s="164"/>
      <c r="BB279" s="164"/>
      <c r="BC279" s="164"/>
      <c r="BD279" s="164"/>
      <c r="BE279" s="164"/>
      <c r="BF279" s="164"/>
      <c r="BG279" s="164"/>
    </row>
    <row r="280" ht="10.5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5"/>
      <c r="AH280" s="165"/>
      <c r="AI280" s="165"/>
      <c r="AJ280" s="165"/>
      <c r="AK280" s="165"/>
      <c r="AL280" s="165"/>
      <c r="AM280" s="165"/>
      <c r="AN280" s="165"/>
      <c r="AO280" s="165"/>
      <c r="AP280" s="164"/>
      <c r="AQ280" s="164"/>
      <c r="AR280" s="164"/>
      <c r="AS280" s="164"/>
      <c r="AT280" s="164"/>
      <c r="AU280" s="164"/>
      <c r="AV280" s="164"/>
      <c r="AW280" s="164"/>
      <c r="AX280" s="164"/>
      <c r="AY280" s="164"/>
      <c r="AZ280" s="164"/>
      <c r="BA280" s="164"/>
      <c r="BB280" s="164"/>
      <c r="BC280" s="164"/>
      <c r="BD280" s="164"/>
      <c r="BE280" s="164"/>
      <c r="BF280" s="164"/>
      <c r="BG280" s="164"/>
    </row>
    <row r="281" ht="10.5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5"/>
      <c r="AH281" s="165"/>
      <c r="AI281" s="165"/>
      <c r="AJ281" s="165"/>
      <c r="AK281" s="165"/>
      <c r="AL281" s="165"/>
      <c r="AM281" s="165"/>
      <c r="AN281" s="165"/>
      <c r="AO281" s="165"/>
      <c r="AP281" s="164"/>
      <c r="AQ281" s="164"/>
      <c r="AR281" s="164"/>
      <c r="AS281" s="164"/>
      <c r="AT281" s="164"/>
      <c r="AU281" s="164"/>
      <c r="AV281" s="164"/>
      <c r="AW281" s="164"/>
      <c r="AX281" s="164"/>
      <c r="AY281" s="164"/>
      <c r="AZ281" s="164"/>
      <c r="BA281" s="164"/>
      <c r="BB281" s="164"/>
      <c r="BC281" s="164"/>
      <c r="BD281" s="164"/>
      <c r="BE281" s="164"/>
      <c r="BF281" s="164"/>
      <c r="BG281" s="164"/>
    </row>
    <row r="282" ht="10.5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65"/>
      <c r="K282" s="165"/>
      <c r="L282" s="165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5"/>
      <c r="AH282" s="165"/>
      <c r="AI282" s="165"/>
      <c r="AJ282" s="165"/>
      <c r="AK282" s="165"/>
      <c r="AL282" s="165"/>
      <c r="AM282" s="165"/>
      <c r="AN282" s="165"/>
      <c r="AO282" s="165"/>
      <c r="AP282" s="164"/>
      <c r="AQ282" s="164"/>
      <c r="AR282" s="164"/>
      <c r="AS282" s="164"/>
      <c r="AT282" s="164"/>
      <c r="AU282" s="164"/>
      <c r="AV282" s="164"/>
      <c r="AW282" s="164"/>
      <c r="AX282" s="164"/>
      <c r="AY282" s="164"/>
      <c r="AZ282" s="164"/>
      <c r="BA282" s="164"/>
      <c r="BB282" s="164"/>
      <c r="BC282" s="164"/>
      <c r="BD282" s="164"/>
      <c r="BE282" s="164"/>
      <c r="BF282" s="164"/>
      <c r="BG282" s="164"/>
    </row>
    <row r="283" ht="10.5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65"/>
      <c r="K283" s="165"/>
      <c r="L283" s="165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5"/>
      <c r="AH283" s="165"/>
      <c r="AI283" s="165"/>
      <c r="AJ283" s="165"/>
      <c r="AK283" s="165"/>
      <c r="AL283" s="165"/>
      <c r="AM283" s="165"/>
      <c r="AN283" s="165"/>
      <c r="AO283" s="165"/>
      <c r="AP283" s="164"/>
      <c r="AQ283" s="164"/>
      <c r="AR283" s="164"/>
      <c r="AS283" s="164"/>
      <c r="AT283" s="164"/>
      <c r="AU283" s="164"/>
      <c r="AV283" s="164"/>
      <c r="AW283" s="164"/>
      <c r="AX283" s="164"/>
      <c r="AY283" s="164"/>
      <c r="AZ283" s="164"/>
      <c r="BA283" s="164"/>
      <c r="BB283" s="164"/>
      <c r="BC283" s="164"/>
      <c r="BD283" s="164"/>
      <c r="BE283" s="164"/>
      <c r="BF283" s="164"/>
      <c r="BG283" s="164"/>
    </row>
    <row r="284" ht="10.5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65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5"/>
      <c r="AH284" s="165"/>
      <c r="AI284" s="165"/>
      <c r="AJ284" s="165"/>
      <c r="AK284" s="165"/>
      <c r="AL284" s="165"/>
      <c r="AM284" s="165"/>
      <c r="AN284" s="165"/>
      <c r="AO284" s="165"/>
      <c r="AP284" s="164"/>
      <c r="AQ284" s="164"/>
      <c r="AR284" s="164"/>
      <c r="AS284" s="164"/>
      <c r="AT284" s="164"/>
      <c r="AU284" s="164"/>
      <c r="AV284" s="164"/>
      <c r="AW284" s="164"/>
      <c r="AX284" s="164"/>
      <c r="AY284" s="164"/>
      <c r="AZ284" s="164"/>
      <c r="BA284" s="164"/>
      <c r="BB284" s="164"/>
      <c r="BC284" s="164"/>
      <c r="BD284" s="164"/>
      <c r="BE284" s="164"/>
      <c r="BF284" s="164"/>
      <c r="BG284" s="164"/>
    </row>
    <row r="285" ht="10.5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65"/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5"/>
      <c r="AH285" s="165"/>
      <c r="AI285" s="165"/>
      <c r="AJ285" s="165"/>
      <c r="AK285" s="165"/>
      <c r="AL285" s="165"/>
      <c r="AM285" s="165"/>
      <c r="AN285" s="165"/>
      <c r="AO285" s="165"/>
      <c r="AP285" s="164"/>
      <c r="AQ285" s="164"/>
      <c r="AR285" s="164"/>
      <c r="AS285" s="164"/>
      <c r="AT285" s="164"/>
      <c r="AU285" s="164"/>
      <c r="AV285" s="164"/>
      <c r="AW285" s="164"/>
      <c r="AX285" s="164"/>
      <c r="AY285" s="164"/>
      <c r="AZ285" s="164"/>
      <c r="BA285" s="164"/>
      <c r="BB285" s="164"/>
      <c r="BC285" s="164"/>
      <c r="BD285" s="164"/>
      <c r="BE285" s="164"/>
      <c r="BF285" s="164"/>
      <c r="BG285" s="164"/>
    </row>
    <row r="286" ht="10.5" customHeight="1">
      <c r="A286" s="164"/>
      <c r="B286" s="165"/>
      <c r="C286" s="165"/>
      <c r="D286" s="165"/>
      <c r="E286" s="165"/>
      <c r="F286" s="165"/>
      <c r="G286" s="165"/>
      <c r="H286" s="165"/>
      <c r="I286" s="165"/>
      <c r="J286" s="165"/>
      <c r="K286" s="165"/>
      <c r="L286" s="165"/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  <c r="AA286" s="165"/>
      <c r="AB286" s="165"/>
      <c r="AC286" s="165"/>
      <c r="AD286" s="165"/>
      <c r="AE286" s="165"/>
      <c r="AF286" s="165"/>
      <c r="AG286" s="165"/>
      <c r="AH286" s="165"/>
      <c r="AI286" s="165"/>
      <c r="AJ286" s="165"/>
      <c r="AK286" s="165"/>
      <c r="AL286" s="165"/>
      <c r="AM286" s="165"/>
      <c r="AN286" s="165"/>
      <c r="AO286" s="165"/>
      <c r="AP286" s="164"/>
      <c r="AQ286" s="164"/>
      <c r="AR286" s="164"/>
      <c r="AS286" s="164"/>
      <c r="AT286" s="164"/>
      <c r="AU286" s="164"/>
      <c r="AV286" s="164"/>
      <c r="AW286" s="164"/>
      <c r="AX286" s="164"/>
      <c r="AY286" s="164"/>
      <c r="AZ286" s="164"/>
      <c r="BA286" s="164"/>
      <c r="BB286" s="164"/>
      <c r="BC286" s="164"/>
      <c r="BD286" s="164"/>
      <c r="BE286" s="164"/>
      <c r="BF286" s="164"/>
      <c r="BG286" s="164"/>
    </row>
    <row r="287" ht="10.5" customHeight="1">
      <c r="A287" s="164"/>
      <c r="B287" s="165"/>
      <c r="C287" s="165"/>
      <c r="D287" s="165"/>
      <c r="E287" s="165"/>
      <c r="F287" s="165"/>
      <c r="G287" s="165"/>
      <c r="H287" s="165"/>
      <c r="I287" s="165"/>
      <c r="J287" s="165"/>
      <c r="K287" s="165"/>
      <c r="L287" s="165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  <c r="AA287" s="165"/>
      <c r="AB287" s="165"/>
      <c r="AC287" s="165"/>
      <c r="AD287" s="165"/>
      <c r="AE287" s="165"/>
      <c r="AF287" s="165"/>
      <c r="AG287" s="165"/>
      <c r="AH287" s="165"/>
      <c r="AI287" s="165"/>
      <c r="AJ287" s="165"/>
      <c r="AK287" s="165"/>
      <c r="AL287" s="165"/>
      <c r="AM287" s="165"/>
      <c r="AN287" s="165"/>
      <c r="AO287" s="165"/>
      <c r="AP287" s="164"/>
      <c r="AQ287" s="164"/>
      <c r="AR287" s="164"/>
      <c r="AS287" s="164"/>
      <c r="AT287" s="164"/>
      <c r="AU287" s="164"/>
      <c r="AV287" s="164"/>
      <c r="AW287" s="164"/>
      <c r="AX287" s="164"/>
      <c r="AY287" s="164"/>
      <c r="AZ287" s="164"/>
      <c r="BA287" s="164"/>
      <c r="BB287" s="164"/>
      <c r="BC287" s="164"/>
      <c r="BD287" s="164"/>
      <c r="BE287" s="164"/>
      <c r="BF287" s="164"/>
      <c r="BG287" s="164"/>
    </row>
    <row r="288" ht="10.5" customHeight="1">
      <c r="A288" s="164"/>
      <c r="B288" s="165"/>
      <c r="C288" s="165"/>
      <c r="D288" s="165"/>
      <c r="E288" s="165"/>
      <c r="F288" s="165"/>
      <c r="G288" s="165"/>
      <c r="H288" s="165"/>
      <c r="I288" s="165"/>
      <c r="J288" s="165"/>
      <c r="K288" s="165"/>
      <c r="L288" s="165"/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  <c r="AA288" s="165"/>
      <c r="AB288" s="165"/>
      <c r="AC288" s="165"/>
      <c r="AD288" s="165"/>
      <c r="AE288" s="165"/>
      <c r="AF288" s="165"/>
      <c r="AG288" s="165"/>
      <c r="AH288" s="165"/>
      <c r="AI288" s="165"/>
      <c r="AJ288" s="165"/>
      <c r="AK288" s="165"/>
      <c r="AL288" s="165"/>
      <c r="AM288" s="165"/>
      <c r="AN288" s="165"/>
      <c r="AO288" s="165"/>
      <c r="AP288" s="164"/>
      <c r="AQ288" s="164"/>
      <c r="AR288" s="164"/>
      <c r="AS288" s="164"/>
      <c r="AT288" s="164"/>
      <c r="AU288" s="164"/>
      <c r="AV288" s="164"/>
      <c r="AW288" s="164"/>
      <c r="AX288" s="164"/>
      <c r="AY288" s="164"/>
      <c r="AZ288" s="164"/>
      <c r="BA288" s="164"/>
      <c r="BB288" s="164"/>
      <c r="BC288" s="164"/>
      <c r="BD288" s="164"/>
      <c r="BE288" s="164"/>
      <c r="BF288" s="164"/>
      <c r="BG288" s="164"/>
    </row>
    <row r="289" ht="10.5" customHeight="1">
      <c r="A289" s="164"/>
      <c r="B289" s="165"/>
      <c r="C289" s="165"/>
      <c r="D289" s="165"/>
      <c r="E289" s="165"/>
      <c r="F289" s="165"/>
      <c r="G289" s="165"/>
      <c r="H289" s="165"/>
      <c r="I289" s="165"/>
      <c r="J289" s="165"/>
      <c r="K289" s="165"/>
      <c r="L289" s="165"/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  <c r="AA289" s="165"/>
      <c r="AB289" s="165"/>
      <c r="AC289" s="165"/>
      <c r="AD289" s="165"/>
      <c r="AE289" s="165"/>
      <c r="AF289" s="165"/>
      <c r="AG289" s="165"/>
      <c r="AH289" s="165"/>
      <c r="AI289" s="165"/>
      <c r="AJ289" s="165"/>
      <c r="AK289" s="165"/>
      <c r="AL289" s="165"/>
      <c r="AM289" s="165"/>
      <c r="AN289" s="165"/>
      <c r="AO289" s="165"/>
      <c r="AP289" s="164"/>
      <c r="AQ289" s="164"/>
      <c r="AR289" s="164"/>
      <c r="AS289" s="164"/>
      <c r="AT289" s="164"/>
      <c r="AU289" s="164"/>
      <c r="AV289" s="164"/>
      <c r="AW289" s="164"/>
      <c r="AX289" s="164"/>
      <c r="AY289" s="164"/>
      <c r="AZ289" s="164"/>
      <c r="BA289" s="164"/>
      <c r="BB289" s="164"/>
      <c r="BC289" s="164"/>
      <c r="BD289" s="164"/>
      <c r="BE289" s="164"/>
      <c r="BF289" s="164"/>
      <c r="BG289" s="164"/>
    </row>
    <row r="290" ht="10.5" customHeight="1">
      <c r="A290" s="164"/>
      <c r="B290" s="165"/>
      <c r="C290" s="165"/>
      <c r="D290" s="165"/>
      <c r="E290" s="165"/>
      <c r="F290" s="165"/>
      <c r="G290" s="165"/>
      <c r="H290" s="165"/>
      <c r="I290" s="165"/>
      <c r="J290" s="165"/>
      <c r="K290" s="165"/>
      <c r="L290" s="165"/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  <c r="AA290" s="165"/>
      <c r="AB290" s="165"/>
      <c r="AC290" s="165"/>
      <c r="AD290" s="165"/>
      <c r="AE290" s="165"/>
      <c r="AF290" s="165"/>
      <c r="AG290" s="165"/>
      <c r="AH290" s="165"/>
      <c r="AI290" s="165"/>
      <c r="AJ290" s="165"/>
      <c r="AK290" s="165"/>
      <c r="AL290" s="165"/>
      <c r="AM290" s="165"/>
      <c r="AN290" s="165"/>
      <c r="AO290" s="165"/>
      <c r="AP290" s="164"/>
      <c r="AQ290" s="164"/>
      <c r="AR290" s="164"/>
      <c r="AS290" s="164"/>
      <c r="AT290" s="164"/>
      <c r="AU290" s="164"/>
      <c r="AV290" s="164"/>
      <c r="AW290" s="164"/>
      <c r="AX290" s="164"/>
      <c r="AY290" s="164"/>
      <c r="AZ290" s="164"/>
      <c r="BA290" s="164"/>
      <c r="BB290" s="164"/>
      <c r="BC290" s="164"/>
      <c r="BD290" s="164"/>
      <c r="BE290" s="164"/>
      <c r="BF290" s="164"/>
      <c r="BG290" s="164"/>
    </row>
    <row r="291" ht="10.5" customHeight="1">
      <c r="A291" s="164"/>
      <c r="B291" s="165"/>
      <c r="C291" s="165"/>
      <c r="D291" s="165"/>
      <c r="E291" s="165"/>
      <c r="F291" s="165"/>
      <c r="G291" s="165"/>
      <c r="H291" s="165"/>
      <c r="I291" s="165"/>
      <c r="J291" s="165"/>
      <c r="K291" s="165"/>
      <c r="L291" s="165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  <c r="AA291" s="165"/>
      <c r="AB291" s="165"/>
      <c r="AC291" s="165"/>
      <c r="AD291" s="165"/>
      <c r="AE291" s="165"/>
      <c r="AF291" s="165"/>
      <c r="AG291" s="165"/>
      <c r="AH291" s="165"/>
      <c r="AI291" s="165"/>
      <c r="AJ291" s="165"/>
      <c r="AK291" s="165"/>
      <c r="AL291" s="165"/>
      <c r="AM291" s="165"/>
      <c r="AN291" s="165"/>
      <c r="AO291" s="165"/>
      <c r="AP291" s="164"/>
      <c r="AQ291" s="164"/>
      <c r="AR291" s="164"/>
      <c r="AS291" s="164"/>
      <c r="AT291" s="164"/>
      <c r="AU291" s="164"/>
      <c r="AV291" s="164"/>
      <c r="AW291" s="164"/>
      <c r="AX291" s="164"/>
      <c r="AY291" s="164"/>
      <c r="AZ291" s="164"/>
      <c r="BA291" s="164"/>
      <c r="BB291" s="164"/>
      <c r="BC291" s="164"/>
      <c r="BD291" s="164"/>
      <c r="BE291" s="164"/>
      <c r="BF291" s="164"/>
      <c r="BG291" s="164"/>
    </row>
    <row r="292" ht="10.5" customHeight="1">
      <c r="A292" s="164"/>
      <c r="B292" s="165"/>
      <c r="C292" s="165"/>
      <c r="D292" s="165"/>
      <c r="E292" s="165"/>
      <c r="F292" s="165"/>
      <c r="G292" s="165"/>
      <c r="H292" s="165"/>
      <c r="I292" s="165"/>
      <c r="J292" s="165"/>
      <c r="K292" s="165"/>
      <c r="L292" s="165"/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  <c r="AA292" s="165"/>
      <c r="AB292" s="165"/>
      <c r="AC292" s="165"/>
      <c r="AD292" s="165"/>
      <c r="AE292" s="165"/>
      <c r="AF292" s="165"/>
      <c r="AG292" s="165"/>
      <c r="AH292" s="165"/>
      <c r="AI292" s="165"/>
      <c r="AJ292" s="165"/>
      <c r="AK292" s="165"/>
      <c r="AL292" s="165"/>
      <c r="AM292" s="165"/>
      <c r="AN292" s="165"/>
      <c r="AO292" s="165"/>
      <c r="AP292" s="164"/>
      <c r="AQ292" s="164"/>
      <c r="AR292" s="164"/>
      <c r="AS292" s="164"/>
      <c r="AT292" s="164"/>
      <c r="AU292" s="164"/>
      <c r="AV292" s="164"/>
      <c r="AW292" s="164"/>
      <c r="AX292" s="164"/>
      <c r="AY292" s="164"/>
      <c r="AZ292" s="164"/>
      <c r="BA292" s="164"/>
      <c r="BB292" s="164"/>
      <c r="BC292" s="164"/>
      <c r="BD292" s="164"/>
      <c r="BE292" s="164"/>
      <c r="BF292" s="164"/>
      <c r="BG292" s="164"/>
    </row>
    <row r="293" ht="10.5" customHeight="1">
      <c r="A293" s="164"/>
      <c r="B293" s="165"/>
      <c r="C293" s="165"/>
      <c r="D293" s="165"/>
      <c r="E293" s="165"/>
      <c r="F293" s="165"/>
      <c r="G293" s="165"/>
      <c r="H293" s="165"/>
      <c r="I293" s="165"/>
      <c r="J293" s="165"/>
      <c r="K293" s="165"/>
      <c r="L293" s="165"/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  <c r="AA293" s="165"/>
      <c r="AB293" s="165"/>
      <c r="AC293" s="165"/>
      <c r="AD293" s="165"/>
      <c r="AE293" s="165"/>
      <c r="AF293" s="165"/>
      <c r="AG293" s="165"/>
      <c r="AH293" s="165"/>
      <c r="AI293" s="165"/>
      <c r="AJ293" s="165"/>
      <c r="AK293" s="165"/>
      <c r="AL293" s="165"/>
      <c r="AM293" s="165"/>
      <c r="AN293" s="165"/>
      <c r="AO293" s="165"/>
      <c r="AP293" s="164"/>
      <c r="AQ293" s="164"/>
      <c r="AR293" s="164"/>
      <c r="AS293" s="164"/>
      <c r="AT293" s="164"/>
      <c r="AU293" s="164"/>
      <c r="AV293" s="164"/>
      <c r="AW293" s="164"/>
      <c r="AX293" s="164"/>
      <c r="AY293" s="164"/>
      <c r="AZ293" s="164"/>
      <c r="BA293" s="164"/>
      <c r="BB293" s="164"/>
      <c r="BC293" s="164"/>
      <c r="BD293" s="164"/>
      <c r="BE293" s="164"/>
      <c r="BF293" s="164"/>
      <c r="BG293" s="164"/>
    </row>
    <row r="294" ht="10.5" customHeight="1">
      <c r="A294" s="164"/>
      <c r="B294" s="165"/>
      <c r="C294" s="165"/>
      <c r="D294" s="165"/>
      <c r="E294" s="165"/>
      <c r="F294" s="165"/>
      <c r="G294" s="165"/>
      <c r="H294" s="165"/>
      <c r="I294" s="165"/>
      <c r="J294" s="165"/>
      <c r="K294" s="165"/>
      <c r="L294" s="165"/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  <c r="AA294" s="165"/>
      <c r="AB294" s="165"/>
      <c r="AC294" s="165"/>
      <c r="AD294" s="165"/>
      <c r="AE294" s="165"/>
      <c r="AF294" s="165"/>
      <c r="AG294" s="165"/>
      <c r="AH294" s="165"/>
      <c r="AI294" s="165"/>
      <c r="AJ294" s="165"/>
      <c r="AK294" s="165"/>
      <c r="AL294" s="165"/>
      <c r="AM294" s="165"/>
      <c r="AN294" s="165"/>
      <c r="AO294" s="165"/>
      <c r="AP294" s="164"/>
      <c r="AQ294" s="164"/>
      <c r="AR294" s="164"/>
      <c r="AS294" s="164"/>
      <c r="AT294" s="164"/>
      <c r="AU294" s="164"/>
      <c r="AV294" s="164"/>
      <c r="AW294" s="164"/>
      <c r="AX294" s="164"/>
      <c r="AY294" s="164"/>
      <c r="AZ294" s="164"/>
      <c r="BA294" s="164"/>
      <c r="BB294" s="164"/>
      <c r="BC294" s="164"/>
      <c r="BD294" s="164"/>
      <c r="BE294" s="164"/>
      <c r="BF294" s="164"/>
      <c r="BG294" s="164"/>
    </row>
    <row r="295" ht="10.5" customHeight="1">
      <c r="A295" s="164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  <c r="AA295" s="165"/>
      <c r="AB295" s="165"/>
      <c r="AC295" s="165"/>
      <c r="AD295" s="165"/>
      <c r="AE295" s="165"/>
      <c r="AF295" s="165"/>
      <c r="AG295" s="165"/>
      <c r="AH295" s="165"/>
      <c r="AI295" s="165"/>
      <c r="AJ295" s="165"/>
      <c r="AK295" s="165"/>
      <c r="AL295" s="165"/>
      <c r="AM295" s="165"/>
      <c r="AN295" s="165"/>
      <c r="AO295" s="165"/>
      <c r="AP295" s="164"/>
      <c r="AQ295" s="164"/>
      <c r="AR295" s="164"/>
      <c r="AS295" s="164"/>
      <c r="AT295" s="164"/>
      <c r="AU295" s="164"/>
      <c r="AV295" s="164"/>
      <c r="AW295" s="164"/>
      <c r="AX295" s="164"/>
      <c r="AY295" s="164"/>
      <c r="AZ295" s="164"/>
      <c r="BA295" s="164"/>
      <c r="BB295" s="164"/>
      <c r="BC295" s="164"/>
      <c r="BD295" s="164"/>
      <c r="BE295" s="164"/>
      <c r="BF295" s="164"/>
      <c r="BG295" s="164"/>
    </row>
    <row r="296" ht="10.5" customHeight="1">
      <c r="A296" s="164"/>
      <c r="B296" s="165"/>
      <c r="C296" s="165"/>
      <c r="D296" s="165"/>
      <c r="E296" s="165"/>
      <c r="F296" s="165"/>
      <c r="G296" s="165"/>
      <c r="H296" s="165"/>
      <c r="I296" s="165"/>
      <c r="J296" s="165"/>
      <c r="K296" s="165"/>
      <c r="L296" s="165"/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  <c r="AA296" s="165"/>
      <c r="AB296" s="165"/>
      <c r="AC296" s="165"/>
      <c r="AD296" s="165"/>
      <c r="AE296" s="165"/>
      <c r="AF296" s="165"/>
      <c r="AG296" s="165"/>
      <c r="AH296" s="165"/>
      <c r="AI296" s="165"/>
      <c r="AJ296" s="165"/>
      <c r="AK296" s="165"/>
      <c r="AL296" s="165"/>
      <c r="AM296" s="165"/>
      <c r="AN296" s="165"/>
      <c r="AO296" s="165"/>
      <c r="AP296" s="164"/>
      <c r="AQ296" s="164"/>
      <c r="AR296" s="164"/>
      <c r="AS296" s="164"/>
      <c r="AT296" s="164"/>
      <c r="AU296" s="164"/>
      <c r="AV296" s="164"/>
      <c r="AW296" s="164"/>
      <c r="AX296" s="164"/>
      <c r="AY296" s="164"/>
      <c r="AZ296" s="164"/>
      <c r="BA296" s="164"/>
      <c r="BB296" s="164"/>
      <c r="BC296" s="164"/>
      <c r="BD296" s="164"/>
      <c r="BE296" s="164"/>
      <c r="BF296" s="164"/>
      <c r="BG296" s="164"/>
    </row>
    <row r="297" ht="10.5" customHeight="1">
      <c r="A297" s="164"/>
      <c r="B297" s="165"/>
      <c r="C297" s="165"/>
      <c r="D297" s="165"/>
      <c r="E297" s="165"/>
      <c r="F297" s="165"/>
      <c r="G297" s="165"/>
      <c r="H297" s="165"/>
      <c r="I297" s="165"/>
      <c r="J297" s="165"/>
      <c r="K297" s="165"/>
      <c r="L297" s="165"/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  <c r="AA297" s="165"/>
      <c r="AB297" s="165"/>
      <c r="AC297" s="165"/>
      <c r="AD297" s="165"/>
      <c r="AE297" s="165"/>
      <c r="AF297" s="165"/>
      <c r="AG297" s="165"/>
      <c r="AH297" s="165"/>
      <c r="AI297" s="165"/>
      <c r="AJ297" s="165"/>
      <c r="AK297" s="165"/>
      <c r="AL297" s="165"/>
      <c r="AM297" s="165"/>
      <c r="AN297" s="165"/>
      <c r="AO297" s="165"/>
      <c r="AP297" s="164"/>
      <c r="AQ297" s="164"/>
      <c r="AR297" s="164"/>
      <c r="AS297" s="164"/>
      <c r="AT297" s="164"/>
      <c r="AU297" s="164"/>
      <c r="AV297" s="164"/>
      <c r="AW297" s="164"/>
      <c r="AX297" s="164"/>
      <c r="AY297" s="164"/>
      <c r="AZ297" s="164"/>
      <c r="BA297" s="164"/>
      <c r="BB297" s="164"/>
      <c r="BC297" s="164"/>
      <c r="BD297" s="164"/>
      <c r="BE297" s="164"/>
      <c r="BF297" s="164"/>
      <c r="BG297" s="164"/>
    </row>
    <row r="298" ht="10.5" customHeight="1">
      <c r="A298" s="164"/>
      <c r="B298" s="165"/>
      <c r="C298" s="165"/>
      <c r="D298" s="165"/>
      <c r="E298" s="165"/>
      <c r="F298" s="165"/>
      <c r="G298" s="165"/>
      <c r="H298" s="165"/>
      <c r="I298" s="165"/>
      <c r="J298" s="165"/>
      <c r="K298" s="165"/>
      <c r="L298" s="165"/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  <c r="AA298" s="165"/>
      <c r="AB298" s="165"/>
      <c r="AC298" s="165"/>
      <c r="AD298" s="165"/>
      <c r="AE298" s="165"/>
      <c r="AF298" s="165"/>
      <c r="AG298" s="165"/>
      <c r="AH298" s="165"/>
      <c r="AI298" s="165"/>
      <c r="AJ298" s="165"/>
      <c r="AK298" s="165"/>
      <c r="AL298" s="165"/>
      <c r="AM298" s="165"/>
      <c r="AN298" s="165"/>
      <c r="AO298" s="165"/>
      <c r="AP298" s="164"/>
      <c r="AQ298" s="164"/>
      <c r="AR298" s="164"/>
      <c r="AS298" s="164"/>
      <c r="AT298" s="164"/>
      <c r="AU298" s="164"/>
      <c r="AV298" s="164"/>
      <c r="AW298" s="164"/>
      <c r="AX298" s="164"/>
      <c r="AY298" s="164"/>
      <c r="AZ298" s="164"/>
      <c r="BA298" s="164"/>
      <c r="BB298" s="164"/>
      <c r="BC298" s="164"/>
      <c r="BD298" s="164"/>
      <c r="BE298" s="164"/>
      <c r="BF298" s="164"/>
      <c r="BG298" s="164"/>
    </row>
    <row r="299" ht="10.5" customHeight="1">
      <c r="A299" s="164"/>
      <c r="B299" s="165"/>
      <c r="C299" s="165"/>
      <c r="D299" s="165"/>
      <c r="E299" s="165"/>
      <c r="F299" s="165"/>
      <c r="G299" s="165"/>
      <c r="H299" s="165"/>
      <c r="I299" s="165"/>
      <c r="J299" s="165"/>
      <c r="K299" s="165"/>
      <c r="L299" s="165"/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  <c r="AA299" s="165"/>
      <c r="AB299" s="165"/>
      <c r="AC299" s="165"/>
      <c r="AD299" s="165"/>
      <c r="AE299" s="165"/>
      <c r="AF299" s="165"/>
      <c r="AG299" s="165"/>
      <c r="AH299" s="165"/>
      <c r="AI299" s="165"/>
      <c r="AJ299" s="165"/>
      <c r="AK299" s="165"/>
      <c r="AL299" s="165"/>
      <c r="AM299" s="165"/>
      <c r="AN299" s="165"/>
      <c r="AO299" s="165"/>
      <c r="AP299" s="164"/>
      <c r="AQ299" s="164"/>
      <c r="AR299" s="164"/>
      <c r="AS299" s="164"/>
      <c r="AT299" s="164"/>
      <c r="AU299" s="164"/>
      <c r="AV299" s="164"/>
      <c r="AW299" s="164"/>
      <c r="AX299" s="164"/>
      <c r="AY299" s="164"/>
      <c r="AZ299" s="164"/>
      <c r="BA299" s="164"/>
      <c r="BB299" s="164"/>
      <c r="BC299" s="164"/>
      <c r="BD299" s="164"/>
      <c r="BE299" s="164"/>
      <c r="BF299" s="164"/>
      <c r="BG299" s="164"/>
    </row>
    <row r="300" ht="10.5" customHeight="1">
      <c r="A300" s="164"/>
      <c r="B300" s="165"/>
      <c r="C300" s="165"/>
      <c r="D300" s="165"/>
      <c r="E300" s="165"/>
      <c r="F300" s="165"/>
      <c r="G300" s="165"/>
      <c r="H300" s="165"/>
      <c r="I300" s="165"/>
      <c r="J300" s="165"/>
      <c r="K300" s="165"/>
      <c r="L300" s="165"/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  <c r="AA300" s="165"/>
      <c r="AB300" s="165"/>
      <c r="AC300" s="165"/>
      <c r="AD300" s="165"/>
      <c r="AE300" s="165"/>
      <c r="AF300" s="165"/>
      <c r="AG300" s="165"/>
      <c r="AH300" s="165"/>
      <c r="AI300" s="165"/>
      <c r="AJ300" s="165"/>
      <c r="AK300" s="165"/>
      <c r="AL300" s="165"/>
      <c r="AM300" s="165"/>
      <c r="AN300" s="165"/>
      <c r="AO300" s="165"/>
      <c r="AP300" s="164"/>
      <c r="AQ300" s="164"/>
      <c r="AR300" s="164"/>
      <c r="AS300" s="164"/>
      <c r="AT300" s="164"/>
      <c r="AU300" s="164"/>
      <c r="AV300" s="164"/>
      <c r="AW300" s="164"/>
      <c r="AX300" s="164"/>
      <c r="AY300" s="164"/>
      <c r="AZ300" s="164"/>
      <c r="BA300" s="164"/>
      <c r="BB300" s="164"/>
      <c r="BC300" s="164"/>
      <c r="BD300" s="164"/>
      <c r="BE300" s="164"/>
      <c r="BF300" s="164"/>
      <c r="BG300" s="164"/>
    </row>
    <row r="301" ht="10.5" customHeight="1">
      <c r="A301" s="164"/>
      <c r="B301" s="165"/>
      <c r="C301" s="165"/>
      <c r="D301" s="165"/>
      <c r="E301" s="165"/>
      <c r="F301" s="165"/>
      <c r="G301" s="165"/>
      <c r="H301" s="165"/>
      <c r="I301" s="165"/>
      <c r="J301" s="165"/>
      <c r="K301" s="165"/>
      <c r="L301" s="165"/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  <c r="AA301" s="165"/>
      <c r="AB301" s="165"/>
      <c r="AC301" s="165"/>
      <c r="AD301" s="165"/>
      <c r="AE301" s="165"/>
      <c r="AF301" s="165"/>
      <c r="AG301" s="165"/>
      <c r="AH301" s="165"/>
      <c r="AI301" s="165"/>
      <c r="AJ301" s="165"/>
      <c r="AK301" s="165"/>
      <c r="AL301" s="165"/>
      <c r="AM301" s="165"/>
      <c r="AN301" s="165"/>
      <c r="AO301" s="165"/>
      <c r="AP301" s="164"/>
      <c r="AQ301" s="164"/>
      <c r="AR301" s="164"/>
      <c r="AS301" s="164"/>
      <c r="AT301" s="164"/>
      <c r="AU301" s="164"/>
      <c r="AV301" s="164"/>
      <c r="AW301" s="164"/>
      <c r="AX301" s="164"/>
      <c r="AY301" s="164"/>
      <c r="AZ301" s="164"/>
      <c r="BA301" s="164"/>
      <c r="BB301" s="164"/>
      <c r="BC301" s="164"/>
      <c r="BD301" s="164"/>
      <c r="BE301" s="164"/>
      <c r="BF301" s="164"/>
      <c r="BG301" s="164"/>
    </row>
    <row r="302" ht="10.5" customHeight="1">
      <c r="A302" s="164"/>
      <c r="B302" s="165"/>
      <c r="C302" s="165"/>
      <c r="D302" s="165"/>
      <c r="E302" s="165"/>
      <c r="F302" s="165"/>
      <c r="G302" s="165"/>
      <c r="H302" s="165"/>
      <c r="I302" s="165"/>
      <c r="J302" s="165"/>
      <c r="K302" s="165"/>
      <c r="L302" s="165"/>
      <c r="M302" s="165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  <c r="AA302" s="165"/>
      <c r="AB302" s="165"/>
      <c r="AC302" s="165"/>
      <c r="AD302" s="165"/>
      <c r="AE302" s="165"/>
      <c r="AF302" s="165"/>
      <c r="AG302" s="165"/>
      <c r="AH302" s="165"/>
      <c r="AI302" s="165"/>
      <c r="AJ302" s="165"/>
      <c r="AK302" s="165"/>
      <c r="AL302" s="165"/>
      <c r="AM302" s="165"/>
      <c r="AN302" s="165"/>
      <c r="AO302" s="165"/>
      <c r="AP302" s="164"/>
      <c r="AQ302" s="164"/>
      <c r="AR302" s="164"/>
      <c r="AS302" s="164"/>
      <c r="AT302" s="164"/>
      <c r="AU302" s="164"/>
      <c r="AV302" s="164"/>
      <c r="AW302" s="164"/>
      <c r="AX302" s="164"/>
      <c r="AY302" s="164"/>
      <c r="AZ302" s="164"/>
      <c r="BA302" s="164"/>
      <c r="BB302" s="164"/>
      <c r="BC302" s="164"/>
      <c r="BD302" s="164"/>
      <c r="BE302" s="164"/>
      <c r="BF302" s="164"/>
      <c r="BG302" s="164"/>
    </row>
    <row r="303" ht="10.5" customHeight="1">
      <c r="A303" s="164"/>
      <c r="B303" s="165"/>
      <c r="C303" s="165"/>
      <c r="D303" s="165"/>
      <c r="E303" s="165"/>
      <c r="F303" s="165"/>
      <c r="G303" s="165"/>
      <c r="H303" s="165"/>
      <c r="I303" s="165"/>
      <c r="J303" s="165"/>
      <c r="K303" s="165"/>
      <c r="L303" s="165"/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  <c r="AA303" s="165"/>
      <c r="AB303" s="165"/>
      <c r="AC303" s="165"/>
      <c r="AD303" s="165"/>
      <c r="AE303" s="165"/>
      <c r="AF303" s="165"/>
      <c r="AG303" s="165"/>
      <c r="AH303" s="165"/>
      <c r="AI303" s="165"/>
      <c r="AJ303" s="165"/>
      <c r="AK303" s="165"/>
      <c r="AL303" s="165"/>
      <c r="AM303" s="165"/>
      <c r="AN303" s="165"/>
      <c r="AO303" s="165"/>
      <c r="AP303" s="164"/>
      <c r="AQ303" s="164"/>
      <c r="AR303" s="164"/>
      <c r="AS303" s="164"/>
      <c r="AT303" s="164"/>
      <c r="AU303" s="164"/>
      <c r="AV303" s="164"/>
      <c r="AW303" s="164"/>
      <c r="AX303" s="164"/>
      <c r="AY303" s="164"/>
      <c r="AZ303" s="164"/>
      <c r="BA303" s="164"/>
      <c r="BB303" s="164"/>
      <c r="BC303" s="164"/>
      <c r="BD303" s="164"/>
      <c r="BE303" s="164"/>
      <c r="BF303" s="164"/>
      <c r="BG303" s="164"/>
    </row>
    <row r="304" ht="10.5" customHeight="1">
      <c r="A304" s="164"/>
      <c r="B304" s="165"/>
      <c r="C304" s="165"/>
      <c r="D304" s="165"/>
      <c r="E304" s="165"/>
      <c r="F304" s="165"/>
      <c r="G304" s="165"/>
      <c r="H304" s="165"/>
      <c r="I304" s="165"/>
      <c r="J304" s="165"/>
      <c r="K304" s="165"/>
      <c r="L304" s="165"/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  <c r="AA304" s="165"/>
      <c r="AB304" s="165"/>
      <c r="AC304" s="165"/>
      <c r="AD304" s="165"/>
      <c r="AE304" s="165"/>
      <c r="AF304" s="165"/>
      <c r="AG304" s="165"/>
      <c r="AH304" s="165"/>
      <c r="AI304" s="165"/>
      <c r="AJ304" s="165"/>
      <c r="AK304" s="165"/>
      <c r="AL304" s="165"/>
      <c r="AM304" s="165"/>
      <c r="AN304" s="165"/>
      <c r="AO304" s="165"/>
      <c r="AP304" s="164"/>
      <c r="AQ304" s="164"/>
      <c r="AR304" s="164"/>
      <c r="AS304" s="164"/>
      <c r="AT304" s="164"/>
      <c r="AU304" s="164"/>
      <c r="AV304" s="164"/>
      <c r="AW304" s="164"/>
      <c r="AX304" s="164"/>
      <c r="AY304" s="164"/>
      <c r="AZ304" s="164"/>
      <c r="BA304" s="164"/>
      <c r="BB304" s="164"/>
      <c r="BC304" s="164"/>
      <c r="BD304" s="164"/>
      <c r="BE304" s="164"/>
      <c r="BF304" s="164"/>
      <c r="BG304" s="164"/>
    </row>
    <row r="305" ht="10.5" customHeight="1">
      <c r="A305" s="164"/>
      <c r="B305" s="165"/>
      <c r="C305" s="165"/>
      <c r="D305" s="165"/>
      <c r="E305" s="165"/>
      <c r="F305" s="165"/>
      <c r="G305" s="165"/>
      <c r="H305" s="165"/>
      <c r="I305" s="165"/>
      <c r="J305" s="165"/>
      <c r="K305" s="165"/>
      <c r="L305" s="165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  <c r="AA305" s="165"/>
      <c r="AB305" s="165"/>
      <c r="AC305" s="165"/>
      <c r="AD305" s="165"/>
      <c r="AE305" s="165"/>
      <c r="AF305" s="165"/>
      <c r="AG305" s="165"/>
      <c r="AH305" s="165"/>
      <c r="AI305" s="165"/>
      <c r="AJ305" s="165"/>
      <c r="AK305" s="165"/>
      <c r="AL305" s="165"/>
      <c r="AM305" s="165"/>
      <c r="AN305" s="165"/>
      <c r="AO305" s="165"/>
      <c r="AP305" s="164"/>
      <c r="AQ305" s="164"/>
      <c r="AR305" s="164"/>
      <c r="AS305" s="164"/>
      <c r="AT305" s="164"/>
      <c r="AU305" s="164"/>
      <c r="AV305" s="164"/>
      <c r="AW305" s="164"/>
      <c r="AX305" s="164"/>
      <c r="AY305" s="164"/>
      <c r="AZ305" s="164"/>
      <c r="BA305" s="164"/>
      <c r="BB305" s="164"/>
      <c r="BC305" s="164"/>
      <c r="BD305" s="164"/>
      <c r="BE305" s="164"/>
      <c r="BF305" s="164"/>
      <c r="BG305" s="164"/>
    </row>
    <row r="306" ht="10.5" customHeight="1">
      <c r="A306" s="164"/>
      <c r="B306" s="165"/>
      <c r="C306" s="165"/>
      <c r="D306" s="165"/>
      <c r="E306" s="165"/>
      <c r="F306" s="165"/>
      <c r="G306" s="165"/>
      <c r="H306" s="165"/>
      <c r="I306" s="165"/>
      <c r="J306" s="165"/>
      <c r="K306" s="165"/>
      <c r="L306" s="165"/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  <c r="AA306" s="165"/>
      <c r="AB306" s="165"/>
      <c r="AC306" s="165"/>
      <c r="AD306" s="165"/>
      <c r="AE306" s="165"/>
      <c r="AF306" s="165"/>
      <c r="AG306" s="165"/>
      <c r="AH306" s="165"/>
      <c r="AI306" s="165"/>
      <c r="AJ306" s="165"/>
      <c r="AK306" s="165"/>
      <c r="AL306" s="165"/>
      <c r="AM306" s="165"/>
      <c r="AN306" s="165"/>
      <c r="AO306" s="165"/>
      <c r="AP306" s="164"/>
      <c r="AQ306" s="164"/>
      <c r="AR306" s="164"/>
      <c r="AS306" s="164"/>
      <c r="AT306" s="164"/>
      <c r="AU306" s="164"/>
      <c r="AV306" s="164"/>
      <c r="AW306" s="164"/>
      <c r="AX306" s="164"/>
      <c r="AY306" s="164"/>
      <c r="AZ306" s="164"/>
      <c r="BA306" s="164"/>
      <c r="BB306" s="164"/>
      <c r="BC306" s="164"/>
      <c r="BD306" s="164"/>
      <c r="BE306" s="164"/>
      <c r="BF306" s="164"/>
      <c r="BG306" s="164"/>
    </row>
    <row r="307" ht="10.5" customHeight="1">
      <c r="A307" s="164"/>
      <c r="B307" s="165"/>
      <c r="C307" s="165"/>
      <c r="D307" s="165"/>
      <c r="E307" s="165"/>
      <c r="F307" s="165"/>
      <c r="G307" s="165"/>
      <c r="H307" s="165"/>
      <c r="I307" s="165"/>
      <c r="J307" s="165"/>
      <c r="K307" s="165"/>
      <c r="L307" s="165"/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  <c r="AA307" s="165"/>
      <c r="AB307" s="165"/>
      <c r="AC307" s="165"/>
      <c r="AD307" s="165"/>
      <c r="AE307" s="165"/>
      <c r="AF307" s="165"/>
      <c r="AG307" s="165"/>
      <c r="AH307" s="165"/>
      <c r="AI307" s="165"/>
      <c r="AJ307" s="165"/>
      <c r="AK307" s="165"/>
      <c r="AL307" s="165"/>
      <c r="AM307" s="165"/>
      <c r="AN307" s="165"/>
      <c r="AO307" s="165"/>
      <c r="AP307" s="164"/>
      <c r="AQ307" s="164"/>
      <c r="AR307" s="164"/>
      <c r="AS307" s="164"/>
      <c r="AT307" s="164"/>
      <c r="AU307" s="164"/>
      <c r="AV307" s="164"/>
      <c r="AW307" s="164"/>
      <c r="AX307" s="164"/>
      <c r="AY307" s="164"/>
      <c r="AZ307" s="164"/>
      <c r="BA307" s="164"/>
      <c r="BB307" s="164"/>
      <c r="BC307" s="164"/>
      <c r="BD307" s="164"/>
      <c r="BE307" s="164"/>
      <c r="BF307" s="164"/>
      <c r="BG307" s="164"/>
    </row>
    <row r="308" ht="10.5" customHeight="1">
      <c r="A308" s="164"/>
      <c r="B308" s="165"/>
      <c r="C308" s="165"/>
      <c r="D308" s="165"/>
      <c r="E308" s="165"/>
      <c r="F308" s="165"/>
      <c r="G308" s="165"/>
      <c r="H308" s="165"/>
      <c r="I308" s="165"/>
      <c r="J308" s="165"/>
      <c r="K308" s="165"/>
      <c r="L308" s="165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  <c r="AA308" s="165"/>
      <c r="AB308" s="165"/>
      <c r="AC308" s="165"/>
      <c r="AD308" s="165"/>
      <c r="AE308" s="165"/>
      <c r="AF308" s="165"/>
      <c r="AG308" s="165"/>
      <c r="AH308" s="165"/>
      <c r="AI308" s="165"/>
      <c r="AJ308" s="165"/>
      <c r="AK308" s="165"/>
      <c r="AL308" s="165"/>
      <c r="AM308" s="165"/>
      <c r="AN308" s="165"/>
      <c r="AO308" s="165"/>
      <c r="AP308" s="164"/>
      <c r="AQ308" s="164"/>
      <c r="AR308" s="164"/>
      <c r="AS308" s="164"/>
      <c r="AT308" s="164"/>
      <c r="AU308" s="164"/>
      <c r="AV308" s="164"/>
      <c r="AW308" s="164"/>
      <c r="AX308" s="164"/>
      <c r="AY308" s="164"/>
      <c r="AZ308" s="164"/>
      <c r="BA308" s="164"/>
      <c r="BB308" s="164"/>
      <c r="BC308" s="164"/>
      <c r="BD308" s="164"/>
      <c r="BE308" s="164"/>
      <c r="BF308" s="164"/>
      <c r="BG308" s="164"/>
    </row>
    <row r="309" ht="10.5" customHeight="1">
      <c r="A309" s="164"/>
      <c r="B309" s="165"/>
      <c r="C309" s="165"/>
      <c r="D309" s="165"/>
      <c r="E309" s="165"/>
      <c r="F309" s="165"/>
      <c r="G309" s="165"/>
      <c r="H309" s="165"/>
      <c r="I309" s="165"/>
      <c r="J309" s="165"/>
      <c r="K309" s="165"/>
      <c r="L309" s="165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  <c r="AA309" s="165"/>
      <c r="AB309" s="165"/>
      <c r="AC309" s="165"/>
      <c r="AD309" s="165"/>
      <c r="AE309" s="165"/>
      <c r="AF309" s="165"/>
      <c r="AG309" s="165"/>
      <c r="AH309" s="165"/>
      <c r="AI309" s="165"/>
      <c r="AJ309" s="165"/>
      <c r="AK309" s="165"/>
      <c r="AL309" s="165"/>
      <c r="AM309" s="165"/>
      <c r="AN309" s="165"/>
      <c r="AO309" s="165"/>
      <c r="AP309" s="164"/>
      <c r="AQ309" s="164"/>
      <c r="AR309" s="164"/>
      <c r="AS309" s="164"/>
      <c r="AT309" s="164"/>
      <c r="AU309" s="164"/>
      <c r="AV309" s="164"/>
      <c r="AW309" s="164"/>
      <c r="AX309" s="164"/>
      <c r="AY309" s="164"/>
      <c r="AZ309" s="164"/>
      <c r="BA309" s="164"/>
      <c r="BB309" s="164"/>
      <c r="BC309" s="164"/>
      <c r="BD309" s="164"/>
      <c r="BE309" s="164"/>
      <c r="BF309" s="164"/>
      <c r="BG309" s="164"/>
    </row>
    <row r="310" ht="10.5" customHeight="1">
      <c r="A310" s="164"/>
      <c r="B310" s="165"/>
      <c r="C310" s="165"/>
      <c r="D310" s="165"/>
      <c r="E310" s="165"/>
      <c r="F310" s="165"/>
      <c r="G310" s="165"/>
      <c r="H310" s="165"/>
      <c r="I310" s="165"/>
      <c r="J310" s="165"/>
      <c r="K310" s="165"/>
      <c r="L310" s="165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  <c r="AA310" s="165"/>
      <c r="AB310" s="165"/>
      <c r="AC310" s="165"/>
      <c r="AD310" s="165"/>
      <c r="AE310" s="165"/>
      <c r="AF310" s="165"/>
      <c r="AG310" s="165"/>
      <c r="AH310" s="165"/>
      <c r="AI310" s="165"/>
      <c r="AJ310" s="165"/>
      <c r="AK310" s="165"/>
      <c r="AL310" s="165"/>
      <c r="AM310" s="165"/>
      <c r="AN310" s="165"/>
      <c r="AO310" s="165"/>
      <c r="AP310" s="164"/>
      <c r="AQ310" s="164"/>
      <c r="AR310" s="164"/>
      <c r="AS310" s="164"/>
      <c r="AT310" s="164"/>
      <c r="AU310" s="164"/>
      <c r="AV310" s="164"/>
      <c r="AW310" s="164"/>
      <c r="AX310" s="164"/>
      <c r="AY310" s="164"/>
      <c r="AZ310" s="164"/>
      <c r="BA310" s="164"/>
      <c r="BB310" s="164"/>
      <c r="BC310" s="164"/>
      <c r="BD310" s="164"/>
      <c r="BE310" s="164"/>
      <c r="BF310" s="164"/>
      <c r="BG310" s="164"/>
    </row>
    <row r="311" ht="10.5" customHeight="1">
      <c r="A311" s="164"/>
      <c r="B311" s="165"/>
      <c r="C311" s="165"/>
      <c r="D311" s="165"/>
      <c r="E311" s="165"/>
      <c r="F311" s="165"/>
      <c r="G311" s="165"/>
      <c r="H311" s="165"/>
      <c r="I311" s="165"/>
      <c r="J311" s="165"/>
      <c r="K311" s="165"/>
      <c r="L311" s="165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  <c r="AA311" s="165"/>
      <c r="AB311" s="165"/>
      <c r="AC311" s="165"/>
      <c r="AD311" s="165"/>
      <c r="AE311" s="165"/>
      <c r="AF311" s="165"/>
      <c r="AG311" s="165"/>
      <c r="AH311" s="165"/>
      <c r="AI311" s="165"/>
      <c r="AJ311" s="165"/>
      <c r="AK311" s="165"/>
      <c r="AL311" s="165"/>
      <c r="AM311" s="165"/>
      <c r="AN311" s="165"/>
      <c r="AO311" s="165"/>
      <c r="AP311" s="164"/>
      <c r="AQ311" s="164"/>
      <c r="AR311" s="164"/>
      <c r="AS311" s="164"/>
      <c r="AT311" s="164"/>
      <c r="AU311" s="164"/>
      <c r="AV311" s="164"/>
      <c r="AW311" s="164"/>
      <c r="AX311" s="164"/>
      <c r="AY311" s="164"/>
      <c r="AZ311" s="164"/>
      <c r="BA311" s="164"/>
      <c r="BB311" s="164"/>
      <c r="BC311" s="164"/>
      <c r="BD311" s="164"/>
      <c r="BE311" s="164"/>
      <c r="BF311" s="164"/>
      <c r="BG311" s="164"/>
    </row>
    <row r="312" ht="10.5" customHeight="1">
      <c r="A312" s="164"/>
      <c r="B312" s="165"/>
      <c r="C312" s="165"/>
      <c r="D312" s="165"/>
      <c r="E312" s="165"/>
      <c r="F312" s="165"/>
      <c r="G312" s="165"/>
      <c r="H312" s="165"/>
      <c r="I312" s="165"/>
      <c r="J312" s="165"/>
      <c r="K312" s="165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  <c r="AA312" s="165"/>
      <c r="AB312" s="165"/>
      <c r="AC312" s="165"/>
      <c r="AD312" s="165"/>
      <c r="AE312" s="165"/>
      <c r="AF312" s="165"/>
      <c r="AG312" s="165"/>
      <c r="AH312" s="165"/>
      <c r="AI312" s="165"/>
      <c r="AJ312" s="165"/>
      <c r="AK312" s="165"/>
      <c r="AL312" s="165"/>
      <c r="AM312" s="165"/>
      <c r="AN312" s="165"/>
      <c r="AO312" s="165"/>
      <c r="AP312" s="164"/>
      <c r="AQ312" s="164"/>
      <c r="AR312" s="164"/>
      <c r="AS312" s="164"/>
      <c r="AT312" s="164"/>
      <c r="AU312" s="164"/>
      <c r="AV312" s="164"/>
      <c r="AW312" s="164"/>
      <c r="AX312" s="164"/>
      <c r="AY312" s="164"/>
      <c r="AZ312" s="164"/>
      <c r="BA312" s="164"/>
      <c r="BB312" s="164"/>
      <c r="BC312" s="164"/>
      <c r="BD312" s="164"/>
      <c r="BE312" s="164"/>
      <c r="BF312" s="164"/>
      <c r="BG312" s="164"/>
    </row>
    <row r="313" ht="10.5" customHeight="1">
      <c r="A313" s="164"/>
      <c r="B313" s="165"/>
      <c r="C313" s="165"/>
      <c r="D313" s="165"/>
      <c r="E313" s="165"/>
      <c r="F313" s="165"/>
      <c r="G313" s="165"/>
      <c r="H313" s="165"/>
      <c r="I313" s="165"/>
      <c r="J313" s="165"/>
      <c r="K313" s="165"/>
      <c r="L313" s="165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  <c r="AA313" s="165"/>
      <c r="AB313" s="165"/>
      <c r="AC313" s="165"/>
      <c r="AD313" s="165"/>
      <c r="AE313" s="165"/>
      <c r="AF313" s="165"/>
      <c r="AG313" s="165"/>
      <c r="AH313" s="165"/>
      <c r="AI313" s="165"/>
      <c r="AJ313" s="165"/>
      <c r="AK313" s="165"/>
      <c r="AL313" s="165"/>
      <c r="AM313" s="165"/>
      <c r="AN313" s="165"/>
      <c r="AO313" s="165"/>
      <c r="AP313" s="164"/>
      <c r="AQ313" s="164"/>
      <c r="AR313" s="164"/>
      <c r="AS313" s="164"/>
      <c r="AT313" s="164"/>
      <c r="AU313" s="164"/>
      <c r="AV313" s="164"/>
      <c r="AW313" s="164"/>
      <c r="AX313" s="164"/>
      <c r="AY313" s="164"/>
      <c r="AZ313" s="164"/>
      <c r="BA313" s="164"/>
      <c r="BB313" s="164"/>
      <c r="BC313" s="164"/>
      <c r="BD313" s="164"/>
      <c r="BE313" s="164"/>
      <c r="BF313" s="164"/>
      <c r="BG313" s="164"/>
    </row>
    <row r="314" ht="10.5" customHeight="1">
      <c r="A314" s="164"/>
      <c r="B314" s="165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5"/>
      <c r="AJ314" s="165"/>
      <c r="AK314" s="165"/>
      <c r="AL314" s="165"/>
      <c r="AM314" s="165"/>
      <c r="AN314" s="165"/>
      <c r="AO314" s="165"/>
      <c r="AP314" s="164"/>
      <c r="AQ314" s="164"/>
      <c r="AR314" s="164"/>
      <c r="AS314" s="164"/>
      <c r="AT314" s="164"/>
      <c r="AU314" s="164"/>
      <c r="AV314" s="164"/>
      <c r="AW314" s="164"/>
      <c r="AX314" s="164"/>
      <c r="AY314" s="164"/>
      <c r="AZ314" s="164"/>
      <c r="BA314" s="164"/>
      <c r="BB314" s="164"/>
      <c r="BC314" s="164"/>
      <c r="BD314" s="164"/>
      <c r="BE314" s="164"/>
      <c r="BF314" s="164"/>
      <c r="BG314" s="164"/>
    </row>
    <row r="315" ht="10.5" customHeight="1">
      <c r="A315" s="164"/>
      <c r="B315" s="165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5"/>
      <c r="AJ315" s="165"/>
      <c r="AK315" s="165"/>
      <c r="AL315" s="165"/>
      <c r="AM315" s="165"/>
      <c r="AN315" s="165"/>
      <c r="AO315" s="165"/>
      <c r="AP315" s="164"/>
      <c r="AQ315" s="164"/>
      <c r="AR315" s="164"/>
      <c r="AS315" s="164"/>
      <c r="AT315" s="164"/>
      <c r="AU315" s="164"/>
      <c r="AV315" s="164"/>
      <c r="AW315" s="164"/>
      <c r="AX315" s="164"/>
      <c r="AY315" s="164"/>
      <c r="AZ315" s="164"/>
      <c r="BA315" s="164"/>
      <c r="BB315" s="164"/>
      <c r="BC315" s="164"/>
      <c r="BD315" s="164"/>
      <c r="BE315" s="164"/>
      <c r="BF315" s="164"/>
      <c r="BG315" s="164"/>
    </row>
    <row r="316" ht="10.5" customHeight="1">
      <c r="A316" s="164"/>
      <c r="B316" s="165"/>
      <c r="C316" s="165"/>
      <c r="D316" s="165"/>
      <c r="E316" s="165"/>
      <c r="F316" s="165"/>
      <c r="G316" s="165"/>
      <c r="H316" s="165"/>
      <c r="I316" s="165"/>
      <c r="J316" s="165"/>
      <c r="K316" s="165"/>
      <c r="L316" s="165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  <c r="AA316" s="165"/>
      <c r="AB316" s="165"/>
      <c r="AC316" s="165"/>
      <c r="AD316" s="165"/>
      <c r="AE316" s="165"/>
      <c r="AF316" s="165"/>
      <c r="AG316" s="165"/>
      <c r="AH316" s="165"/>
      <c r="AI316" s="165"/>
      <c r="AJ316" s="165"/>
      <c r="AK316" s="165"/>
      <c r="AL316" s="165"/>
      <c r="AM316" s="165"/>
      <c r="AN316" s="165"/>
      <c r="AO316" s="165"/>
      <c r="AP316" s="164"/>
      <c r="AQ316" s="164"/>
      <c r="AR316" s="164"/>
      <c r="AS316" s="164"/>
      <c r="AT316" s="164"/>
      <c r="AU316" s="164"/>
      <c r="AV316" s="164"/>
      <c r="AW316" s="164"/>
      <c r="AX316" s="164"/>
      <c r="AY316" s="164"/>
      <c r="AZ316" s="164"/>
      <c r="BA316" s="164"/>
      <c r="BB316" s="164"/>
      <c r="BC316" s="164"/>
      <c r="BD316" s="164"/>
      <c r="BE316" s="164"/>
      <c r="BF316" s="164"/>
      <c r="BG316" s="164"/>
    </row>
    <row r="317" ht="10.5" customHeight="1">
      <c r="A317" s="164"/>
      <c r="B317" s="165"/>
      <c r="C317" s="165"/>
      <c r="D317" s="165"/>
      <c r="E317" s="165"/>
      <c r="F317" s="165"/>
      <c r="G317" s="165"/>
      <c r="H317" s="165"/>
      <c r="I317" s="165"/>
      <c r="J317" s="165"/>
      <c r="K317" s="165"/>
      <c r="L317" s="165"/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  <c r="AA317" s="165"/>
      <c r="AB317" s="165"/>
      <c r="AC317" s="165"/>
      <c r="AD317" s="165"/>
      <c r="AE317" s="165"/>
      <c r="AF317" s="165"/>
      <c r="AG317" s="165"/>
      <c r="AH317" s="165"/>
      <c r="AI317" s="165"/>
      <c r="AJ317" s="165"/>
      <c r="AK317" s="165"/>
      <c r="AL317" s="165"/>
      <c r="AM317" s="165"/>
      <c r="AN317" s="165"/>
      <c r="AO317" s="165"/>
      <c r="AP317" s="164"/>
      <c r="AQ317" s="164"/>
      <c r="AR317" s="164"/>
      <c r="AS317" s="164"/>
      <c r="AT317" s="164"/>
      <c r="AU317" s="164"/>
      <c r="AV317" s="164"/>
      <c r="AW317" s="164"/>
      <c r="AX317" s="164"/>
      <c r="AY317" s="164"/>
      <c r="AZ317" s="164"/>
      <c r="BA317" s="164"/>
      <c r="BB317" s="164"/>
      <c r="BC317" s="164"/>
      <c r="BD317" s="164"/>
      <c r="BE317" s="164"/>
      <c r="BF317" s="164"/>
      <c r="BG317" s="164"/>
    </row>
    <row r="318" ht="10.5" customHeight="1">
      <c r="A318" s="164"/>
      <c r="B318" s="165"/>
      <c r="C318" s="165"/>
      <c r="D318" s="165"/>
      <c r="E318" s="165"/>
      <c r="F318" s="165"/>
      <c r="G318" s="165"/>
      <c r="H318" s="165"/>
      <c r="I318" s="165"/>
      <c r="J318" s="165"/>
      <c r="K318" s="165"/>
      <c r="L318" s="165"/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  <c r="AA318" s="165"/>
      <c r="AB318" s="165"/>
      <c r="AC318" s="165"/>
      <c r="AD318" s="165"/>
      <c r="AE318" s="165"/>
      <c r="AF318" s="165"/>
      <c r="AG318" s="165"/>
      <c r="AH318" s="165"/>
      <c r="AI318" s="165"/>
      <c r="AJ318" s="165"/>
      <c r="AK318" s="165"/>
      <c r="AL318" s="165"/>
      <c r="AM318" s="165"/>
      <c r="AN318" s="165"/>
      <c r="AO318" s="165"/>
      <c r="AP318" s="164"/>
      <c r="AQ318" s="164"/>
      <c r="AR318" s="164"/>
      <c r="AS318" s="164"/>
      <c r="AT318" s="164"/>
      <c r="AU318" s="164"/>
      <c r="AV318" s="164"/>
      <c r="AW318" s="164"/>
      <c r="AX318" s="164"/>
      <c r="AY318" s="164"/>
      <c r="AZ318" s="164"/>
      <c r="BA318" s="164"/>
      <c r="BB318" s="164"/>
      <c r="BC318" s="164"/>
      <c r="BD318" s="164"/>
      <c r="BE318" s="164"/>
      <c r="BF318" s="164"/>
      <c r="BG318" s="164"/>
    </row>
    <row r="319" ht="10.5" customHeight="1">
      <c r="A319" s="164"/>
      <c r="B319" s="165"/>
      <c r="C319" s="165"/>
      <c r="D319" s="165"/>
      <c r="E319" s="165"/>
      <c r="F319" s="165"/>
      <c r="G319" s="165"/>
      <c r="H319" s="165"/>
      <c r="I319" s="165"/>
      <c r="J319" s="165"/>
      <c r="K319" s="165"/>
      <c r="L319" s="165"/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  <c r="AA319" s="165"/>
      <c r="AB319" s="165"/>
      <c r="AC319" s="165"/>
      <c r="AD319" s="165"/>
      <c r="AE319" s="165"/>
      <c r="AF319" s="165"/>
      <c r="AG319" s="165"/>
      <c r="AH319" s="165"/>
      <c r="AI319" s="165"/>
      <c r="AJ319" s="165"/>
      <c r="AK319" s="165"/>
      <c r="AL319" s="165"/>
      <c r="AM319" s="165"/>
      <c r="AN319" s="165"/>
      <c r="AO319" s="165"/>
      <c r="AP319" s="164"/>
      <c r="AQ319" s="164"/>
      <c r="AR319" s="164"/>
      <c r="AS319" s="164"/>
      <c r="AT319" s="164"/>
      <c r="AU319" s="164"/>
      <c r="AV319" s="164"/>
      <c r="AW319" s="164"/>
      <c r="AX319" s="164"/>
      <c r="AY319" s="164"/>
      <c r="AZ319" s="164"/>
      <c r="BA319" s="164"/>
      <c r="BB319" s="164"/>
      <c r="BC319" s="164"/>
      <c r="BD319" s="164"/>
      <c r="BE319" s="164"/>
      <c r="BF319" s="164"/>
      <c r="BG319" s="164"/>
    </row>
    <row r="320" ht="10.5" customHeight="1">
      <c r="A320" s="164"/>
      <c r="B320" s="165"/>
      <c r="C320" s="165"/>
      <c r="D320" s="165"/>
      <c r="E320" s="165"/>
      <c r="F320" s="165"/>
      <c r="G320" s="165"/>
      <c r="H320" s="165"/>
      <c r="I320" s="165"/>
      <c r="J320" s="165"/>
      <c r="K320" s="165"/>
      <c r="L320" s="165"/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  <c r="AA320" s="165"/>
      <c r="AB320" s="165"/>
      <c r="AC320" s="165"/>
      <c r="AD320" s="165"/>
      <c r="AE320" s="165"/>
      <c r="AF320" s="165"/>
      <c r="AG320" s="165"/>
      <c r="AH320" s="165"/>
      <c r="AI320" s="165"/>
      <c r="AJ320" s="165"/>
      <c r="AK320" s="165"/>
      <c r="AL320" s="165"/>
      <c r="AM320" s="165"/>
      <c r="AN320" s="165"/>
      <c r="AO320" s="165"/>
      <c r="AP320" s="164"/>
      <c r="AQ320" s="164"/>
      <c r="AR320" s="164"/>
      <c r="AS320" s="164"/>
      <c r="AT320" s="164"/>
      <c r="AU320" s="164"/>
      <c r="AV320" s="164"/>
      <c r="AW320" s="164"/>
      <c r="AX320" s="164"/>
      <c r="AY320" s="164"/>
      <c r="AZ320" s="164"/>
      <c r="BA320" s="164"/>
      <c r="BB320" s="164"/>
      <c r="BC320" s="164"/>
      <c r="BD320" s="164"/>
      <c r="BE320" s="164"/>
      <c r="BF320" s="164"/>
      <c r="BG320" s="164"/>
    </row>
    <row r="321" ht="10.5" customHeight="1">
      <c r="A321" s="164"/>
      <c r="B321" s="165"/>
      <c r="C321" s="165"/>
      <c r="D321" s="165"/>
      <c r="E321" s="165"/>
      <c r="F321" s="165"/>
      <c r="G321" s="165"/>
      <c r="H321" s="165"/>
      <c r="I321" s="165"/>
      <c r="J321" s="165"/>
      <c r="K321" s="165"/>
      <c r="L321" s="165"/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  <c r="AA321" s="165"/>
      <c r="AB321" s="165"/>
      <c r="AC321" s="165"/>
      <c r="AD321" s="165"/>
      <c r="AE321" s="165"/>
      <c r="AF321" s="165"/>
      <c r="AG321" s="165"/>
      <c r="AH321" s="165"/>
      <c r="AI321" s="165"/>
      <c r="AJ321" s="165"/>
      <c r="AK321" s="165"/>
      <c r="AL321" s="165"/>
      <c r="AM321" s="165"/>
      <c r="AN321" s="165"/>
      <c r="AO321" s="165"/>
      <c r="AP321" s="164"/>
      <c r="AQ321" s="164"/>
      <c r="AR321" s="164"/>
      <c r="AS321" s="164"/>
      <c r="AT321" s="164"/>
      <c r="AU321" s="164"/>
      <c r="AV321" s="164"/>
      <c r="AW321" s="164"/>
      <c r="AX321" s="164"/>
      <c r="AY321" s="164"/>
      <c r="AZ321" s="164"/>
      <c r="BA321" s="164"/>
      <c r="BB321" s="164"/>
      <c r="BC321" s="164"/>
      <c r="BD321" s="164"/>
      <c r="BE321" s="164"/>
      <c r="BF321" s="164"/>
      <c r="BG321" s="164"/>
    </row>
    <row r="322" ht="10.5" customHeight="1">
      <c r="A322" s="164"/>
      <c r="B322" s="165"/>
      <c r="C322" s="165"/>
      <c r="D322" s="165"/>
      <c r="E322" s="165"/>
      <c r="F322" s="165"/>
      <c r="G322" s="165"/>
      <c r="H322" s="165"/>
      <c r="I322" s="165"/>
      <c r="J322" s="165"/>
      <c r="K322" s="165"/>
      <c r="L322" s="165"/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  <c r="AA322" s="165"/>
      <c r="AB322" s="165"/>
      <c r="AC322" s="165"/>
      <c r="AD322" s="165"/>
      <c r="AE322" s="165"/>
      <c r="AF322" s="165"/>
      <c r="AG322" s="165"/>
      <c r="AH322" s="165"/>
      <c r="AI322" s="165"/>
      <c r="AJ322" s="165"/>
      <c r="AK322" s="165"/>
      <c r="AL322" s="165"/>
      <c r="AM322" s="165"/>
      <c r="AN322" s="165"/>
      <c r="AO322" s="165"/>
      <c r="AP322" s="164"/>
      <c r="AQ322" s="164"/>
      <c r="AR322" s="164"/>
      <c r="AS322" s="164"/>
      <c r="AT322" s="164"/>
      <c r="AU322" s="164"/>
      <c r="AV322" s="164"/>
      <c r="AW322" s="164"/>
      <c r="AX322" s="164"/>
      <c r="AY322" s="164"/>
      <c r="AZ322" s="164"/>
      <c r="BA322" s="164"/>
      <c r="BB322" s="164"/>
      <c r="BC322" s="164"/>
      <c r="BD322" s="164"/>
      <c r="BE322" s="164"/>
      <c r="BF322" s="164"/>
      <c r="BG322" s="164"/>
    </row>
    <row r="323" ht="10.5" customHeight="1">
      <c r="A323" s="164"/>
      <c r="B323" s="165"/>
      <c r="C323" s="165"/>
      <c r="D323" s="165"/>
      <c r="E323" s="165"/>
      <c r="F323" s="165"/>
      <c r="G323" s="165"/>
      <c r="H323" s="165"/>
      <c r="I323" s="165"/>
      <c r="J323" s="165"/>
      <c r="K323" s="165"/>
      <c r="L323" s="165"/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  <c r="AA323" s="165"/>
      <c r="AB323" s="165"/>
      <c r="AC323" s="165"/>
      <c r="AD323" s="165"/>
      <c r="AE323" s="165"/>
      <c r="AF323" s="165"/>
      <c r="AG323" s="165"/>
      <c r="AH323" s="165"/>
      <c r="AI323" s="165"/>
      <c r="AJ323" s="165"/>
      <c r="AK323" s="165"/>
      <c r="AL323" s="165"/>
      <c r="AM323" s="165"/>
      <c r="AN323" s="165"/>
      <c r="AO323" s="165"/>
      <c r="AP323" s="164"/>
      <c r="AQ323" s="164"/>
      <c r="AR323" s="164"/>
      <c r="AS323" s="164"/>
      <c r="AT323" s="164"/>
      <c r="AU323" s="164"/>
      <c r="AV323" s="164"/>
      <c r="AW323" s="164"/>
      <c r="AX323" s="164"/>
      <c r="AY323" s="164"/>
      <c r="AZ323" s="164"/>
      <c r="BA323" s="164"/>
      <c r="BB323" s="164"/>
      <c r="BC323" s="164"/>
      <c r="BD323" s="164"/>
      <c r="BE323" s="164"/>
      <c r="BF323" s="164"/>
      <c r="BG323" s="164"/>
    </row>
    <row r="324" ht="10.5" customHeight="1">
      <c r="A324" s="164"/>
      <c r="B324" s="165"/>
      <c r="C324" s="165"/>
      <c r="D324" s="165"/>
      <c r="E324" s="165"/>
      <c r="F324" s="165"/>
      <c r="G324" s="165"/>
      <c r="H324" s="165"/>
      <c r="I324" s="165"/>
      <c r="J324" s="165"/>
      <c r="K324" s="165"/>
      <c r="L324" s="165"/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  <c r="AA324" s="165"/>
      <c r="AB324" s="165"/>
      <c r="AC324" s="165"/>
      <c r="AD324" s="165"/>
      <c r="AE324" s="165"/>
      <c r="AF324" s="165"/>
      <c r="AG324" s="165"/>
      <c r="AH324" s="165"/>
      <c r="AI324" s="165"/>
      <c r="AJ324" s="165"/>
      <c r="AK324" s="165"/>
      <c r="AL324" s="165"/>
      <c r="AM324" s="165"/>
      <c r="AN324" s="165"/>
      <c r="AO324" s="165"/>
      <c r="AP324" s="164"/>
      <c r="AQ324" s="164"/>
      <c r="AR324" s="164"/>
      <c r="AS324" s="164"/>
      <c r="AT324" s="164"/>
      <c r="AU324" s="164"/>
      <c r="AV324" s="164"/>
      <c r="AW324" s="164"/>
      <c r="AX324" s="164"/>
      <c r="AY324" s="164"/>
      <c r="AZ324" s="164"/>
      <c r="BA324" s="164"/>
      <c r="BB324" s="164"/>
      <c r="BC324" s="164"/>
      <c r="BD324" s="164"/>
      <c r="BE324" s="164"/>
      <c r="BF324" s="164"/>
      <c r="BG324" s="164"/>
    </row>
    <row r="325" ht="10.5" customHeight="1">
      <c r="A325" s="164"/>
      <c r="B325" s="165"/>
      <c r="C325" s="165"/>
      <c r="D325" s="165"/>
      <c r="E325" s="165"/>
      <c r="F325" s="165"/>
      <c r="G325" s="165"/>
      <c r="H325" s="165"/>
      <c r="I325" s="165"/>
      <c r="J325" s="165"/>
      <c r="K325" s="165"/>
      <c r="L325" s="165"/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  <c r="AA325" s="165"/>
      <c r="AB325" s="165"/>
      <c r="AC325" s="165"/>
      <c r="AD325" s="165"/>
      <c r="AE325" s="165"/>
      <c r="AF325" s="165"/>
      <c r="AG325" s="165"/>
      <c r="AH325" s="165"/>
      <c r="AI325" s="165"/>
      <c r="AJ325" s="165"/>
      <c r="AK325" s="165"/>
      <c r="AL325" s="165"/>
      <c r="AM325" s="165"/>
      <c r="AN325" s="165"/>
      <c r="AO325" s="165"/>
      <c r="AP325" s="164"/>
      <c r="AQ325" s="164"/>
      <c r="AR325" s="164"/>
      <c r="AS325" s="164"/>
      <c r="AT325" s="164"/>
      <c r="AU325" s="164"/>
      <c r="AV325" s="164"/>
      <c r="AW325" s="164"/>
      <c r="AX325" s="164"/>
      <c r="AY325" s="164"/>
      <c r="AZ325" s="164"/>
      <c r="BA325" s="164"/>
      <c r="BB325" s="164"/>
      <c r="BC325" s="164"/>
      <c r="BD325" s="164"/>
      <c r="BE325" s="164"/>
      <c r="BF325" s="164"/>
      <c r="BG325" s="164"/>
    </row>
    <row r="326" ht="10.5" customHeight="1">
      <c r="A326" s="164"/>
      <c r="B326" s="165"/>
      <c r="C326" s="165"/>
      <c r="D326" s="165"/>
      <c r="E326" s="165"/>
      <c r="F326" s="165"/>
      <c r="G326" s="165"/>
      <c r="H326" s="165"/>
      <c r="I326" s="165"/>
      <c r="J326" s="165"/>
      <c r="K326" s="165"/>
      <c r="L326" s="165"/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  <c r="AA326" s="165"/>
      <c r="AB326" s="165"/>
      <c r="AC326" s="165"/>
      <c r="AD326" s="165"/>
      <c r="AE326" s="165"/>
      <c r="AF326" s="165"/>
      <c r="AG326" s="165"/>
      <c r="AH326" s="165"/>
      <c r="AI326" s="165"/>
      <c r="AJ326" s="165"/>
      <c r="AK326" s="165"/>
      <c r="AL326" s="165"/>
      <c r="AM326" s="165"/>
      <c r="AN326" s="165"/>
      <c r="AO326" s="165"/>
      <c r="AP326" s="164"/>
      <c r="AQ326" s="164"/>
      <c r="AR326" s="164"/>
      <c r="AS326" s="164"/>
      <c r="AT326" s="164"/>
      <c r="AU326" s="164"/>
      <c r="AV326" s="164"/>
      <c r="AW326" s="164"/>
      <c r="AX326" s="164"/>
      <c r="AY326" s="164"/>
      <c r="AZ326" s="164"/>
      <c r="BA326" s="164"/>
      <c r="BB326" s="164"/>
      <c r="BC326" s="164"/>
      <c r="BD326" s="164"/>
      <c r="BE326" s="164"/>
      <c r="BF326" s="164"/>
      <c r="BG326" s="164"/>
    </row>
    <row r="327" ht="10.5" customHeight="1">
      <c r="A327" s="164"/>
      <c r="B327" s="165"/>
      <c r="C327" s="165"/>
      <c r="D327" s="165"/>
      <c r="E327" s="165"/>
      <c r="F327" s="165"/>
      <c r="G327" s="165"/>
      <c r="H327" s="165"/>
      <c r="I327" s="165"/>
      <c r="J327" s="165"/>
      <c r="K327" s="165"/>
      <c r="L327" s="165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  <c r="AA327" s="165"/>
      <c r="AB327" s="165"/>
      <c r="AC327" s="165"/>
      <c r="AD327" s="165"/>
      <c r="AE327" s="165"/>
      <c r="AF327" s="165"/>
      <c r="AG327" s="165"/>
      <c r="AH327" s="165"/>
      <c r="AI327" s="165"/>
      <c r="AJ327" s="165"/>
      <c r="AK327" s="165"/>
      <c r="AL327" s="165"/>
      <c r="AM327" s="165"/>
      <c r="AN327" s="165"/>
      <c r="AO327" s="165"/>
      <c r="AP327" s="164"/>
      <c r="AQ327" s="164"/>
      <c r="AR327" s="164"/>
      <c r="AS327" s="164"/>
      <c r="AT327" s="164"/>
      <c r="AU327" s="164"/>
      <c r="AV327" s="164"/>
      <c r="AW327" s="164"/>
      <c r="AX327" s="164"/>
      <c r="AY327" s="164"/>
      <c r="AZ327" s="164"/>
      <c r="BA327" s="164"/>
      <c r="BB327" s="164"/>
      <c r="BC327" s="164"/>
      <c r="BD327" s="164"/>
      <c r="BE327" s="164"/>
      <c r="BF327" s="164"/>
      <c r="BG327" s="164"/>
    </row>
    <row r="328" ht="10.5" customHeight="1">
      <c r="A328" s="164"/>
      <c r="B328" s="165"/>
      <c r="C328" s="165"/>
      <c r="D328" s="165"/>
      <c r="E328" s="165"/>
      <c r="F328" s="165"/>
      <c r="G328" s="165"/>
      <c r="H328" s="165"/>
      <c r="I328" s="165"/>
      <c r="J328" s="165"/>
      <c r="K328" s="165"/>
      <c r="L328" s="165"/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  <c r="AA328" s="165"/>
      <c r="AB328" s="165"/>
      <c r="AC328" s="165"/>
      <c r="AD328" s="165"/>
      <c r="AE328" s="165"/>
      <c r="AF328" s="165"/>
      <c r="AG328" s="165"/>
      <c r="AH328" s="165"/>
      <c r="AI328" s="165"/>
      <c r="AJ328" s="165"/>
      <c r="AK328" s="165"/>
      <c r="AL328" s="165"/>
      <c r="AM328" s="165"/>
      <c r="AN328" s="165"/>
      <c r="AO328" s="165"/>
      <c r="AP328" s="164"/>
      <c r="AQ328" s="164"/>
      <c r="AR328" s="164"/>
      <c r="AS328" s="164"/>
      <c r="AT328" s="164"/>
      <c r="AU328" s="164"/>
      <c r="AV328" s="164"/>
      <c r="AW328" s="164"/>
      <c r="AX328" s="164"/>
      <c r="AY328" s="164"/>
      <c r="AZ328" s="164"/>
      <c r="BA328" s="164"/>
      <c r="BB328" s="164"/>
      <c r="BC328" s="164"/>
      <c r="BD328" s="164"/>
      <c r="BE328" s="164"/>
      <c r="BF328" s="164"/>
      <c r="BG328" s="164"/>
    </row>
    <row r="329" ht="10.5" customHeight="1">
      <c r="A329" s="164"/>
      <c r="B329" s="165"/>
      <c r="C329" s="165"/>
      <c r="D329" s="165"/>
      <c r="E329" s="165"/>
      <c r="F329" s="165"/>
      <c r="G329" s="165"/>
      <c r="H329" s="165"/>
      <c r="I329" s="165"/>
      <c r="J329" s="165"/>
      <c r="K329" s="165"/>
      <c r="L329" s="165"/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  <c r="AA329" s="165"/>
      <c r="AB329" s="165"/>
      <c r="AC329" s="165"/>
      <c r="AD329" s="165"/>
      <c r="AE329" s="165"/>
      <c r="AF329" s="165"/>
      <c r="AG329" s="165"/>
      <c r="AH329" s="165"/>
      <c r="AI329" s="165"/>
      <c r="AJ329" s="165"/>
      <c r="AK329" s="165"/>
      <c r="AL329" s="165"/>
      <c r="AM329" s="165"/>
      <c r="AN329" s="165"/>
      <c r="AO329" s="165"/>
      <c r="AP329" s="164"/>
      <c r="AQ329" s="164"/>
      <c r="AR329" s="164"/>
      <c r="AS329" s="164"/>
      <c r="AT329" s="164"/>
      <c r="AU329" s="164"/>
      <c r="AV329" s="164"/>
      <c r="AW329" s="164"/>
      <c r="AX329" s="164"/>
      <c r="AY329" s="164"/>
      <c r="AZ329" s="164"/>
      <c r="BA329" s="164"/>
      <c r="BB329" s="164"/>
      <c r="BC329" s="164"/>
      <c r="BD329" s="164"/>
      <c r="BE329" s="164"/>
      <c r="BF329" s="164"/>
      <c r="BG329" s="164"/>
    </row>
    <row r="330" ht="10.5" customHeight="1">
      <c r="A330" s="164"/>
      <c r="B330" s="165"/>
      <c r="C330" s="165"/>
      <c r="D330" s="165"/>
      <c r="E330" s="165"/>
      <c r="F330" s="165"/>
      <c r="G330" s="165"/>
      <c r="H330" s="165"/>
      <c r="I330" s="165"/>
      <c r="J330" s="165"/>
      <c r="K330" s="165"/>
      <c r="L330" s="165"/>
      <c r="M330" s="165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  <c r="AA330" s="165"/>
      <c r="AB330" s="165"/>
      <c r="AC330" s="165"/>
      <c r="AD330" s="165"/>
      <c r="AE330" s="165"/>
      <c r="AF330" s="165"/>
      <c r="AG330" s="165"/>
      <c r="AH330" s="165"/>
      <c r="AI330" s="165"/>
      <c r="AJ330" s="165"/>
      <c r="AK330" s="165"/>
      <c r="AL330" s="165"/>
      <c r="AM330" s="165"/>
      <c r="AN330" s="165"/>
      <c r="AO330" s="165"/>
      <c r="AP330" s="164"/>
      <c r="AQ330" s="164"/>
      <c r="AR330" s="164"/>
      <c r="AS330" s="164"/>
      <c r="AT330" s="164"/>
      <c r="AU330" s="164"/>
      <c r="AV330" s="164"/>
      <c r="AW330" s="164"/>
      <c r="AX330" s="164"/>
      <c r="AY330" s="164"/>
      <c r="AZ330" s="164"/>
      <c r="BA330" s="164"/>
      <c r="BB330" s="164"/>
      <c r="BC330" s="164"/>
      <c r="BD330" s="164"/>
      <c r="BE330" s="164"/>
      <c r="BF330" s="164"/>
      <c r="BG330" s="164"/>
    </row>
    <row r="331" ht="10.5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5"/>
      <c r="AH331" s="165"/>
      <c r="AI331" s="165"/>
      <c r="AJ331" s="165"/>
      <c r="AK331" s="165"/>
      <c r="AL331" s="165"/>
      <c r="AM331" s="165"/>
      <c r="AN331" s="165"/>
      <c r="AO331" s="165"/>
      <c r="AP331" s="164"/>
      <c r="AQ331" s="164"/>
      <c r="AR331" s="164"/>
      <c r="AS331" s="164"/>
      <c r="AT331" s="164"/>
      <c r="AU331" s="164"/>
      <c r="AV331" s="164"/>
      <c r="AW331" s="164"/>
      <c r="AX331" s="164"/>
      <c r="AY331" s="164"/>
      <c r="AZ331" s="164"/>
      <c r="BA331" s="164"/>
      <c r="BB331" s="164"/>
      <c r="BC331" s="164"/>
      <c r="BD331" s="164"/>
      <c r="BE331" s="164"/>
      <c r="BF331" s="164"/>
      <c r="BG331" s="164"/>
    </row>
    <row r="332" ht="10.5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5"/>
      <c r="AH332" s="165"/>
      <c r="AI332" s="165"/>
      <c r="AJ332" s="165"/>
      <c r="AK332" s="165"/>
      <c r="AL332" s="165"/>
      <c r="AM332" s="165"/>
      <c r="AN332" s="165"/>
      <c r="AO332" s="165"/>
      <c r="AP332" s="164"/>
      <c r="AQ332" s="164"/>
      <c r="AR332" s="164"/>
      <c r="AS332" s="164"/>
      <c r="AT332" s="164"/>
      <c r="AU332" s="164"/>
      <c r="AV332" s="164"/>
      <c r="AW332" s="164"/>
      <c r="AX332" s="164"/>
      <c r="AY332" s="164"/>
      <c r="AZ332" s="164"/>
      <c r="BA332" s="164"/>
      <c r="BB332" s="164"/>
      <c r="BC332" s="164"/>
      <c r="BD332" s="164"/>
      <c r="BE332" s="164"/>
      <c r="BF332" s="164"/>
      <c r="BG332" s="164"/>
    </row>
    <row r="333" ht="10.5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5"/>
      <c r="AH333" s="165"/>
      <c r="AI333" s="165"/>
      <c r="AJ333" s="165"/>
      <c r="AK333" s="165"/>
      <c r="AL333" s="165"/>
      <c r="AM333" s="165"/>
      <c r="AN333" s="165"/>
      <c r="AO333" s="165"/>
      <c r="AP333" s="164"/>
      <c r="AQ333" s="164"/>
      <c r="AR333" s="164"/>
      <c r="AS333" s="164"/>
      <c r="AT333" s="164"/>
      <c r="AU333" s="164"/>
      <c r="AV333" s="164"/>
      <c r="AW333" s="164"/>
      <c r="AX333" s="164"/>
      <c r="AY333" s="164"/>
      <c r="AZ333" s="164"/>
      <c r="BA333" s="164"/>
      <c r="BB333" s="164"/>
      <c r="BC333" s="164"/>
      <c r="BD333" s="164"/>
      <c r="BE333" s="164"/>
      <c r="BF333" s="164"/>
      <c r="BG333" s="164"/>
    </row>
    <row r="334" ht="10.5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5"/>
      <c r="AH334" s="165"/>
      <c r="AI334" s="165"/>
      <c r="AJ334" s="165"/>
      <c r="AK334" s="165"/>
      <c r="AL334" s="165"/>
      <c r="AM334" s="165"/>
      <c r="AN334" s="165"/>
      <c r="AO334" s="165"/>
      <c r="AP334" s="164"/>
      <c r="AQ334" s="164"/>
      <c r="AR334" s="164"/>
      <c r="AS334" s="164"/>
      <c r="AT334" s="164"/>
      <c r="AU334" s="164"/>
      <c r="AV334" s="164"/>
      <c r="AW334" s="164"/>
      <c r="AX334" s="164"/>
      <c r="AY334" s="164"/>
      <c r="AZ334" s="164"/>
      <c r="BA334" s="164"/>
      <c r="BB334" s="164"/>
      <c r="BC334" s="164"/>
      <c r="BD334" s="164"/>
      <c r="BE334" s="164"/>
      <c r="BF334" s="164"/>
      <c r="BG334" s="164"/>
    </row>
    <row r="335" ht="10.5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65"/>
      <c r="K335" s="165"/>
      <c r="L335" s="165"/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5"/>
      <c r="AH335" s="165"/>
      <c r="AI335" s="165"/>
      <c r="AJ335" s="165"/>
      <c r="AK335" s="165"/>
      <c r="AL335" s="165"/>
      <c r="AM335" s="165"/>
      <c r="AN335" s="165"/>
      <c r="AO335" s="165"/>
      <c r="AP335" s="164"/>
      <c r="AQ335" s="164"/>
      <c r="AR335" s="164"/>
      <c r="AS335" s="164"/>
      <c r="AT335" s="164"/>
      <c r="AU335" s="164"/>
      <c r="AV335" s="164"/>
      <c r="AW335" s="164"/>
      <c r="AX335" s="164"/>
      <c r="AY335" s="164"/>
      <c r="AZ335" s="164"/>
      <c r="BA335" s="164"/>
      <c r="BB335" s="164"/>
      <c r="BC335" s="164"/>
      <c r="BD335" s="164"/>
      <c r="BE335" s="164"/>
      <c r="BF335" s="164"/>
      <c r="BG335" s="164"/>
    </row>
    <row r="336" ht="10.5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65"/>
      <c r="K336" s="165"/>
      <c r="L336" s="165"/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5"/>
      <c r="AH336" s="165"/>
      <c r="AI336" s="165"/>
      <c r="AJ336" s="165"/>
      <c r="AK336" s="165"/>
      <c r="AL336" s="165"/>
      <c r="AM336" s="165"/>
      <c r="AN336" s="165"/>
      <c r="AO336" s="165"/>
      <c r="AP336" s="164"/>
      <c r="AQ336" s="164"/>
      <c r="AR336" s="164"/>
      <c r="AS336" s="164"/>
      <c r="AT336" s="164"/>
      <c r="AU336" s="164"/>
      <c r="AV336" s="164"/>
      <c r="AW336" s="164"/>
      <c r="AX336" s="164"/>
      <c r="AY336" s="164"/>
      <c r="AZ336" s="164"/>
      <c r="BA336" s="164"/>
      <c r="BB336" s="164"/>
      <c r="BC336" s="164"/>
      <c r="BD336" s="164"/>
      <c r="BE336" s="164"/>
      <c r="BF336" s="164"/>
      <c r="BG336" s="164"/>
    </row>
    <row r="337" ht="10.5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65"/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5"/>
      <c r="AH337" s="165"/>
      <c r="AI337" s="165"/>
      <c r="AJ337" s="165"/>
      <c r="AK337" s="165"/>
      <c r="AL337" s="165"/>
      <c r="AM337" s="165"/>
      <c r="AN337" s="165"/>
      <c r="AO337" s="165"/>
      <c r="AP337" s="164"/>
      <c r="AQ337" s="164"/>
      <c r="AR337" s="164"/>
      <c r="AS337" s="164"/>
      <c r="AT337" s="164"/>
      <c r="AU337" s="164"/>
      <c r="AV337" s="164"/>
      <c r="AW337" s="164"/>
      <c r="AX337" s="164"/>
      <c r="AY337" s="164"/>
      <c r="AZ337" s="164"/>
      <c r="BA337" s="164"/>
      <c r="BB337" s="164"/>
      <c r="BC337" s="164"/>
      <c r="BD337" s="164"/>
      <c r="BE337" s="164"/>
      <c r="BF337" s="164"/>
      <c r="BG337" s="164"/>
    </row>
    <row r="338" ht="10.5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65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5"/>
      <c r="AH338" s="165"/>
      <c r="AI338" s="165"/>
      <c r="AJ338" s="165"/>
      <c r="AK338" s="165"/>
      <c r="AL338" s="165"/>
      <c r="AM338" s="165"/>
      <c r="AN338" s="165"/>
      <c r="AO338" s="165"/>
      <c r="AP338" s="164"/>
      <c r="AQ338" s="164"/>
      <c r="AR338" s="164"/>
      <c r="AS338" s="164"/>
      <c r="AT338" s="164"/>
      <c r="AU338" s="164"/>
      <c r="AV338" s="164"/>
      <c r="AW338" s="164"/>
      <c r="AX338" s="164"/>
      <c r="AY338" s="164"/>
      <c r="AZ338" s="164"/>
      <c r="BA338" s="164"/>
      <c r="BB338" s="164"/>
      <c r="BC338" s="164"/>
      <c r="BD338" s="164"/>
      <c r="BE338" s="164"/>
      <c r="BF338" s="164"/>
      <c r="BG338" s="164"/>
    </row>
    <row r="339" ht="10.5" customHeight="1">
      <c r="A339" s="164"/>
      <c r="B339" s="165"/>
      <c r="C339" s="165"/>
      <c r="D339" s="165"/>
      <c r="E339" s="165"/>
      <c r="F339" s="165"/>
      <c r="G339" s="165"/>
      <c r="H339" s="165"/>
      <c r="I339" s="165"/>
      <c r="J339" s="165"/>
      <c r="K339" s="165"/>
      <c r="L339" s="165"/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  <c r="AA339" s="165"/>
      <c r="AB339" s="165"/>
      <c r="AC339" s="165"/>
      <c r="AD339" s="165"/>
      <c r="AE339" s="165"/>
      <c r="AF339" s="165"/>
      <c r="AG339" s="165"/>
      <c r="AH339" s="165"/>
      <c r="AI339" s="165"/>
      <c r="AJ339" s="165"/>
      <c r="AK339" s="165"/>
      <c r="AL339" s="165"/>
      <c r="AM339" s="165"/>
      <c r="AN339" s="165"/>
      <c r="AO339" s="165"/>
      <c r="AP339" s="164"/>
      <c r="AQ339" s="164"/>
      <c r="AR339" s="164"/>
      <c r="AS339" s="164"/>
      <c r="AT339" s="164"/>
      <c r="AU339" s="164"/>
      <c r="AV339" s="164"/>
      <c r="AW339" s="164"/>
      <c r="AX339" s="164"/>
      <c r="AY339" s="164"/>
      <c r="AZ339" s="164"/>
      <c r="BA339" s="164"/>
      <c r="BB339" s="164"/>
      <c r="BC339" s="164"/>
      <c r="BD339" s="164"/>
      <c r="BE339" s="164"/>
      <c r="BF339" s="164"/>
      <c r="BG339" s="164"/>
    </row>
    <row r="340" ht="10.5" customHeight="1">
      <c r="A340" s="164"/>
      <c r="B340" s="165"/>
      <c r="C340" s="165"/>
      <c r="D340" s="165"/>
      <c r="E340" s="165"/>
      <c r="F340" s="165"/>
      <c r="G340" s="165"/>
      <c r="H340" s="165"/>
      <c r="I340" s="165"/>
      <c r="J340" s="165"/>
      <c r="K340" s="165"/>
      <c r="L340" s="165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  <c r="AA340" s="165"/>
      <c r="AB340" s="165"/>
      <c r="AC340" s="165"/>
      <c r="AD340" s="165"/>
      <c r="AE340" s="165"/>
      <c r="AF340" s="165"/>
      <c r="AG340" s="165"/>
      <c r="AH340" s="165"/>
      <c r="AI340" s="165"/>
      <c r="AJ340" s="165"/>
      <c r="AK340" s="165"/>
      <c r="AL340" s="165"/>
      <c r="AM340" s="165"/>
      <c r="AN340" s="165"/>
      <c r="AO340" s="165"/>
      <c r="AP340" s="164"/>
      <c r="AQ340" s="164"/>
      <c r="AR340" s="164"/>
      <c r="AS340" s="164"/>
      <c r="AT340" s="164"/>
      <c r="AU340" s="164"/>
      <c r="AV340" s="164"/>
      <c r="AW340" s="164"/>
      <c r="AX340" s="164"/>
      <c r="AY340" s="164"/>
      <c r="AZ340" s="164"/>
      <c r="BA340" s="164"/>
      <c r="BB340" s="164"/>
      <c r="BC340" s="164"/>
      <c r="BD340" s="164"/>
      <c r="BE340" s="164"/>
      <c r="BF340" s="164"/>
      <c r="BG340" s="164"/>
    </row>
    <row r="341" ht="10.5" customHeight="1">
      <c r="A341" s="164"/>
      <c r="B341" s="165"/>
      <c r="C341" s="165"/>
      <c r="D341" s="165"/>
      <c r="E341" s="165"/>
      <c r="F341" s="165"/>
      <c r="G341" s="165"/>
      <c r="H341" s="165"/>
      <c r="I341" s="165"/>
      <c r="J341" s="165"/>
      <c r="K341" s="165"/>
      <c r="L341" s="165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  <c r="AA341" s="165"/>
      <c r="AB341" s="165"/>
      <c r="AC341" s="165"/>
      <c r="AD341" s="165"/>
      <c r="AE341" s="165"/>
      <c r="AF341" s="165"/>
      <c r="AG341" s="165"/>
      <c r="AH341" s="165"/>
      <c r="AI341" s="165"/>
      <c r="AJ341" s="165"/>
      <c r="AK341" s="165"/>
      <c r="AL341" s="165"/>
      <c r="AM341" s="165"/>
      <c r="AN341" s="165"/>
      <c r="AO341" s="165"/>
      <c r="AP341" s="164"/>
      <c r="AQ341" s="164"/>
      <c r="AR341" s="164"/>
      <c r="AS341" s="164"/>
      <c r="AT341" s="164"/>
      <c r="AU341" s="164"/>
      <c r="AV341" s="164"/>
      <c r="AW341" s="164"/>
      <c r="AX341" s="164"/>
      <c r="AY341" s="164"/>
      <c r="AZ341" s="164"/>
      <c r="BA341" s="164"/>
      <c r="BB341" s="164"/>
      <c r="BC341" s="164"/>
      <c r="BD341" s="164"/>
      <c r="BE341" s="164"/>
      <c r="BF341" s="164"/>
      <c r="BG341" s="164"/>
    </row>
    <row r="342" ht="10.5" customHeight="1">
      <c r="A342" s="164"/>
      <c r="B342" s="165"/>
      <c r="C342" s="165"/>
      <c r="D342" s="165"/>
      <c r="E342" s="165"/>
      <c r="F342" s="165"/>
      <c r="G342" s="165"/>
      <c r="H342" s="165"/>
      <c r="I342" s="165"/>
      <c r="J342" s="165"/>
      <c r="K342" s="165"/>
      <c r="L342" s="165"/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  <c r="AA342" s="165"/>
      <c r="AB342" s="165"/>
      <c r="AC342" s="165"/>
      <c r="AD342" s="165"/>
      <c r="AE342" s="165"/>
      <c r="AF342" s="165"/>
      <c r="AG342" s="165"/>
      <c r="AH342" s="165"/>
      <c r="AI342" s="165"/>
      <c r="AJ342" s="165"/>
      <c r="AK342" s="165"/>
      <c r="AL342" s="165"/>
      <c r="AM342" s="165"/>
      <c r="AN342" s="165"/>
      <c r="AO342" s="165"/>
      <c r="AP342" s="164"/>
      <c r="AQ342" s="164"/>
      <c r="AR342" s="164"/>
      <c r="AS342" s="164"/>
      <c r="AT342" s="164"/>
      <c r="AU342" s="164"/>
      <c r="AV342" s="164"/>
      <c r="AW342" s="164"/>
      <c r="AX342" s="164"/>
      <c r="AY342" s="164"/>
      <c r="AZ342" s="164"/>
      <c r="BA342" s="164"/>
      <c r="BB342" s="164"/>
      <c r="BC342" s="164"/>
      <c r="BD342" s="164"/>
      <c r="BE342" s="164"/>
      <c r="BF342" s="164"/>
      <c r="BG342" s="164"/>
    </row>
    <row r="343" ht="10.5" customHeight="1">
      <c r="A343" s="164"/>
      <c r="B343" s="165"/>
      <c r="C343" s="165"/>
      <c r="D343" s="165"/>
      <c r="E343" s="165"/>
      <c r="F343" s="165"/>
      <c r="G343" s="165"/>
      <c r="H343" s="165"/>
      <c r="I343" s="165"/>
      <c r="J343" s="165"/>
      <c r="K343" s="165"/>
      <c r="L343" s="165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  <c r="AA343" s="165"/>
      <c r="AB343" s="165"/>
      <c r="AC343" s="165"/>
      <c r="AD343" s="165"/>
      <c r="AE343" s="165"/>
      <c r="AF343" s="165"/>
      <c r="AG343" s="165"/>
      <c r="AH343" s="165"/>
      <c r="AI343" s="165"/>
      <c r="AJ343" s="165"/>
      <c r="AK343" s="165"/>
      <c r="AL343" s="165"/>
      <c r="AM343" s="165"/>
      <c r="AN343" s="165"/>
      <c r="AO343" s="165"/>
      <c r="AP343" s="164"/>
      <c r="AQ343" s="164"/>
      <c r="AR343" s="164"/>
      <c r="AS343" s="164"/>
      <c r="AT343" s="164"/>
      <c r="AU343" s="164"/>
      <c r="AV343" s="164"/>
      <c r="AW343" s="164"/>
      <c r="AX343" s="164"/>
      <c r="AY343" s="164"/>
      <c r="AZ343" s="164"/>
      <c r="BA343" s="164"/>
      <c r="BB343" s="164"/>
      <c r="BC343" s="164"/>
      <c r="BD343" s="164"/>
      <c r="BE343" s="164"/>
      <c r="BF343" s="164"/>
      <c r="BG343" s="164"/>
    </row>
    <row r="344" ht="10.5" customHeight="1">
      <c r="A344" s="164"/>
      <c r="B344" s="165"/>
      <c r="C344" s="165"/>
      <c r="D344" s="165"/>
      <c r="E344" s="165"/>
      <c r="F344" s="165"/>
      <c r="G344" s="165"/>
      <c r="H344" s="165"/>
      <c r="I344" s="165"/>
      <c r="J344" s="165"/>
      <c r="K344" s="165"/>
      <c r="L344" s="165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  <c r="AA344" s="165"/>
      <c r="AB344" s="165"/>
      <c r="AC344" s="165"/>
      <c r="AD344" s="165"/>
      <c r="AE344" s="165"/>
      <c r="AF344" s="165"/>
      <c r="AG344" s="165"/>
      <c r="AH344" s="165"/>
      <c r="AI344" s="165"/>
      <c r="AJ344" s="165"/>
      <c r="AK344" s="165"/>
      <c r="AL344" s="165"/>
      <c r="AM344" s="165"/>
      <c r="AN344" s="165"/>
      <c r="AO344" s="165"/>
      <c r="AP344" s="164"/>
      <c r="AQ344" s="164"/>
      <c r="AR344" s="164"/>
      <c r="AS344" s="164"/>
      <c r="AT344" s="164"/>
      <c r="AU344" s="164"/>
      <c r="AV344" s="164"/>
      <c r="AW344" s="164"/>
      <c r="AX344" s="164"/>
      <c r="AY344" s="164"/>
      <c r="AZ344" s="164"/>
      <c r="BA344" s="164"/>
      <c r="BB344" s="164"/>
      <c r="BC344" s="164"/>
      <c r="BD344" s="164"/>
      <c r="BE344" s="164"/>
      <c r="BF344" s="164"/>
      <c r="BG344" s="164"/>
    </row>
    <row r="345" ht="10.5" customHeight="1">
      <c r="A345" s="164"/>
      <c r="B345" s="165"/>
      <c r="C345" s="165"/>
      <c r="D345" s="165"/>
      <c r="E345" s="165"/>
      <c r="F345" s="165"/>
      <c r="G345" s="165"/>
      <c r="H345" s="165"/>
      <c r="I345" s="165"/>
      <c r="J345" s="165"/>
      <c r="K345" s="165"/>
      <c r="L345" s="165"/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  <c r="AA345" s="165"/>
      <c r="AB345" s="165"/>
      <c r="AC345" s="165"/>
      <c r="AD345" s="165"/>
      <c r="AE345" s="165"/>
      <c r="AF345" s="165"/>
      <c r="AG345" s="165"/>
      <c r="AH345" s="165"/>
      <c r="AI345" s="165"/>
      <c r="AJ345" s="165"/>
      <c r="AK345" s="165"/>
      <c r="AL345" s="165"/>
      <c r="AM345" s="165"/>
      <c r="AN345" s="165"/>
      <c r="AO345" s="165"/>
      <c r="AP345" s="164"/>
      <c r="AQ345" s="164"/>
      <c r="AR345" s="164"/>
      <c r="AS345" s="164"/>
      <c r="AT345" s="164"/>
      <c r="AU345" s="164"/>
      <c r="AV345" s="164"/>
      <c r="AW345" s="164"/>
      <c r="AX345" s="164"/>
      <c r="AY345" s="164"/>
      <c r="AZ345" s="164"/>
      <c r="BA345" s="164"/>
      <c r="BB345" s="164"/>
      <c r="BC345" s="164"/>
      <c r="BD345" s="164"/>
      <c r="BE345" s="164"/>
      <c r="BF345" s="164"/>
      <c r="BG345" s="164"/>
    </row>
    <row r="346" ht="10.5" customHeight="1">
      <c r="A346" s="164"/>
      <c r="B346" s="165"/>
      <c r="C346" s="165"/>
      <c r="D346" s="165"/>
      <c r="E346" s="165"/>
      <c r="F346" s="165"/>
      <c r="G346" s="165"/>
      <c r="H346" s="165"/>
      <c r="I346" s="165"/>
      <c r="J346" s="165"/>
      <c r="K346" s="165"/>
      <c r="L346" s="165"/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  <c r="AA346" s="165"/>
      <c r="AB346" s="165"/>
      <c r="AC346" s="165"/>
      <c r="AD346" s="165"/>
      <c r="AE346" s="165"/>
      <c r="AF346" s="165"/>
      <c r="AG346" s="165"/>
      <c r="AH346" s="165"/>
      <c r="AI346" s="165"/>
      <c r="AJ346" s="165"/>
      <c r="AK346" s="165"/>
      <c r="AL346" s="165"/>
      <c r="AM346" s="165"/>
      <c r="AN346" s="165"/>
      <c r="AO346" s="165"/>
      <c r="AP346" s="164"/>
      <c r="AQ346" s="164"/>
      <c r="AR346" s="164"/>
      <c r="AS346" s="164"/>
      <c r="AT346" s="164"/>
      <c r="AU346" s="164"/>
      <c r="AV346" s="164"/>
      <c r="AW346" s="164"/>
      <c r="AX346" s="164"/>
      <c r="AY346" s="164"/>
      <c r="AZ346" s="164"/>
      <c r="BA346" s="164"/>
      <c r="BB346" s="164"/>
      <c r="BC346" s="164"/>
      <c r="BD346" s="164"/>
      <c r="BE346" s="164"/>
      <c r="BF346" s="164"/>
      <c r="BG346" s="164"/>
    </row>
    <row r="347" ht="10.5" customHeight="1">
      <c r="A347" s="164"/>
      <c r="B347" s="165"/>
      <c r="C347" s="165"/>
      <c r="D347" s="165"/>
      <c r="E347" s="165"/>
      <c r="F347" s="165"/>
      <c r="G347" s="165"/>
      <c r="H347" s="165"/>
      <c r="I347" s="165"/>
      <c r="J347" s="165"/>
      <c r="K347" s="165"/>
      <c r="L347" s="165"/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  <c r="AA347" s="165"/>
      <c r="AB347" s="165"/>
      <c r="AC347" s="165"/>
      <c r="AD347" s="165"/>
      <c r="AE347" s="165"/>
      <c r="AF347" s="165"/>
      <c r="AG347" s="165"/>
      <c r="AH347" s="165"/>
      <c r="AI347" s="165"/>
      <c r="AJ347" s="165"/>
      <c r="AK347" s="165"/>
      <c r="AL347" s="165"/>
      <c r="AM347" s="165"/>
      <c r="AN347" s="165"/>
      <c r="AO347" s="165"/>
      <c r="AP347" s="164"/>
      <c r="AQ347" s="164"/>
      <c r="AR347" s="164"/>
      <c r="AS347" s="164"/>
      <c r="AT347" s="164"/>
      <c r="AU347" s="164"/>
      <c r="AV347" s="164"/>
      <c r="AW347" s="164"/>
      <c r="AX347" s="164"/>
      <c r="AY347" s="164"/>
      <c r="AZ347" s="164"/>
      <c r="BA347" s="164"/>
      <c r="BB347" s="164"/>
      <c r="BC347" s="164"/>
      <c r="BD347" s="164"/>
      <c r="BE347" s="164"/>
      <c r="BF347" s="164"/>
      <c r="BG347" s="164"/>
    </row>
    <row r="348" ht="10.5" customHeight="1">
      <c r="A348" s="164"/>
      <c r="B348" s="165"/>
      <c r="C348" s="165"/>
      <c r="D348" s="165"/>
      <c r="E348" s="165"/>
      <c r="F348" s="165"/>
      <c r="G348" s="165"/>
      <c r="H348" s="165"/>
      <c r="I348" s="165"/>
      <c r="J348" s="165"/>
      <c r="K348" s="165"/>
      <c r="L348" s="165"/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  <c r="AA348" s="165"/>
      <c r="AB348" s="165"/>
      <c r="AC348" s="165"/>
      <c r="AD348" s="165"/>
      <c r="AE348" s="165"/>
      <c r="AF348" s="165"/>
      <c r="AG348" s="165"/>
      <c r="AH348" s="165"/>
      <c r="AI348" s="165"/>
      <c r="AJ348" s="165"/>
      <c r="AK348" s="165"/>
      <c r="AL348" s="165"/>
      <c r="AM348" s="165"/>
      <c r="AN348" s="165"/>
      <c r="AO348" s="165"/>
      <c r="AP348" s="164"/>
      <c r="AQ348" s="164"/>
      <c r="AR348" s="164"/>
      <c r="AS348" s="164"/>
      <c r="AT348" s="164"/>
      <c r="AU348" s="164"/>
      <c r="AV348" s="164"/>
      <c r="AW348" s="164"/>
      <c r="AX348" s="164"/>
      <c r="AY348" s="164"/>
      <c r="AZ348" s="164"/>
      <c r="BA348" s="164"/>
      <c r="BB348" s="164"/>
      <c r="BC348" s="164"/>
      <c r="BD348" s="164"/>
      <c r="BE348" s="164"/>
      <c r="BF348" s="164"/>
      <c r="BG348" s="164"/>
    </row>
    <row r="349" ht="10.5" customHeight="1">
      <c r="A349" s="164"/>
      <c r="B349" s="165"/>
      <c r="C349" s="165"/>
      <c r="D349" s="165"/>
      <c r="E349" s="165"/>
      <c r="F349" s="165"/>
      <c r="G349" s="165"/>
      <c r="H349" s="165"/>
      <c r="I349" s="165"/>
      <c r="J349" s="165"/>
      <c r="K349" s="165"/>
      <c r="L349" s="165"/>
      <c r="M349" s="165"/>
      <c r="N349" s="165"/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  <c r="AA349" s="165"/>
      <c r="AB349" s="165"/>
      <c r="AC349" s="165"/>
      <c r="AD349" s="165"/>
      <c r="AE349" s="165"/>
      <c r="AF349" s="165"/>
      <c r="AG349" s="165"/>
      <c r="AH349" s="165"/>
      <c r="AI349" s="165"/>
      <c r="AJ349" s="165"/>
      <c r="AK349" s="165"/>
      <c r="AL349" s="165"/>
      <c r="AM349" s="165"/>
      <c r="AN349" s="165"/>
      <c r="AO349" s="165"/>
      <c r="AP349" s="164"/>
      <c r="AQ349" s="164"/>
      <c r="AR349" s="164"/>
      <c r="AS349" s="164"/>
      <c r="AT349" s="164"/>
      <c r="AU349" s="164"/>
      <c r="AV349" s="164"/>
      <c r="AW349" s="164"/>
      <c r="AX349" s="164"/>
      <c r="AY349" s="164"/>
      <c r="AZ349" s="164"/>
      <c r="BA349" s="164"/>
      <c r="BB349" s="164"/>
      <c r="BC349" s="164"/>
      <c r="BD349" s="164"/>
      <c r="BE349" s="164"/>
      <c r="BF349" s="164"/>
      <c r="BG349" s="164"/>
    </row>
    <row r="350" ht="10.5" customHeight="1">
      <c r="A350" s="164"/>
      <c r="B350" s="165"/>
      <c r="C350" s="165"/>
      <c r="D350" s="165"/>
      <c r="E350" s="165"/>
      <c r="F350" s="165"/>
      <c r="G350" s="165"/>
      <c r="H350" s="165"/>
      <c r="I350" s="165"/>
      <c r="J350" s="165"/>
      <c r="K350" s="165"/>
      <c r="L350" s="165"/>
      <c r="M350" s="165"/>
      <c r="N350" s="165"/>
      <c r="O350" s="165"/>
      <c r="P350" s="165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  <c r="AA350" s="165"/>
      <c r="AB350" s="165"/>
      <c r="AC350" s="165"/>
      <c r="AD350" s="165"/>
      <c r="AE350" s="165"/>
      <c r="AF350" s="165"/>
      <c r="AG350" s="165"/>
      <c r="AH350" s="165"/>
      <c r="AI350" s="165"/>
      <c r="AJ350" s="165"/>
      <c r="AK350" s="165"/>
      <c r="AL350" s="165"/>
      <c r="AM350" s="165"/>
      <c r="AN350" s="165"/>
      <c r="AO350" s="165"/>
      <c r="AP350" s="164"/>
      <c r="AQ350" s="164"/>
      <c r="AR350" s="164"/>
      <c r="AS350" s="164"/>
      <c r="AT350" s="164"/>
      <c r="AU350" s="164"/>
      <c r="AV350" s="164"/>
      <c r="AW350" s="164"/>
      <c r="AX350" s="164"/>
      <c r="AY350" s="164"/>
      <c r="AZ350" s="164"/>
      <c r="BA350" s="164"/>
      <c r="BB350" s="164"/>
      <c r="BC350" s="164"/>
      <c r="BD350" s="164"/>
      <c r="BE350" s="164"/>
      <c r="BF350" s="164"/>
      <c r="BG350" s="164"/>
    </row>
    <row r="351" ht="10.5" customHeight="1">
      <c r="A351" s="164"/>
      <c r="B351" s="165"/>
      <c r="C351" s="165"/>
      <c r="D351" s="165"/>
      <c r="E351" s="165"/>
      <c r="F351" s="165"/>
      <c r="G351" s="165"/>
      <c r="H351" s="165"/>
      <c r="I351" s="165"/>
      <c r="J351" s="165"/>
      <c r="K351" s="165"/>
      <c r="L351" s="165"/>
      <c r="M351" s="165"/>
      <c r="N351" s="165"/>
      <c r="O351" s="165"/>
      <c r="P351" s="165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  <c r="AA351" s="165"/>
      <c r="AB351" s="165"/>
      <c r="AC351" s="165"/>
      <c r="AD351" s="165"/>
      <c r="AE351" s="165"/>
      <c r="AF351" s="165"/>
      <c r="AG351" s="165"/>
      <c r="AH351" s="165"/>
      <c r="AI351" s="165"/>
      <c r="AJ351" s="165"/>
      <c r="AK351" s="165"/>
      <c r="AL351" s="165"/>
      <c r="AM351" s="165"/>
      <c r="AN351" s="165"/>
      <c r="AO351" s="165"/>
      <c r="AP351" s="164"/>
      <c r="AQ351" s="164"/>
      <c r="AR351" s="164"/>
      <c r="AS351" s="164"/>
      <c r="AT351" s="164"/>
      <c r="AU351" s="164"/>
      <c r="AV351" s="164"/>
      <c r="AW351" s="164"/>
      <c r="AX351" s="164"/>
      <c r="AY351" s="164"/>
      <c r="AZ351" s="164"/>
      <c r="BA351" s="164"/>
      <c r="BB351" s="164"/>
      <c r="BC351" s="164"/>
      <c r="BD351" s="164"/>
      <c r="BE351" s="164"/>
      <c r="BF351" s="164"/>
      <c r="BG351" s="164"/>
    </row>
    <row r="352" ht="10.5" customHeight="1">
      <c r="A352" s="164"/>
      <c r="B352" s="165"/>
      <c r="C352" s="165"/>
      <c r="D352" s="165"/>
      <c r="E352" s="165"/>
      <c r="F352" s="165"/>
      <c r="G352" s="165"/>
      <c r="H352" s="165"/>
      <c r="I352" s="165"/>
      <c r="J352" s="165"/>
      <c r="K352" s="165"/>
      <c r="L352" s="165"/>
      <c r="M352" s="165"/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  <c r="AA352" s="165"/>
      <c r="AB352" s="165"/>
      <c r="AC352" s="165"/>
      <c r="AD352" s="165"/>
      <c r="AE352" s="165"/>
      <c r="AF352" s="165"/>
      <c r="AG352" s="165"/>
      <c r="AH352" s="165"/>
      <c r="AI352" s="165"/>
      <c r="AJ352" s="165"/>
      <c r="AK352" s="165"/>
      <c r="AL352" s="165"/>
      <c r="AM352" s="165"/>
      <c r="AN352" s="165"/>
      <c r="AO352" s="165"/>
      <c r="AP352" s="164"/>
      <c r="AQ352" s="164"/>
      <c r="AR352" s="164"/>
      <c r="AS352" s="164"/>
      <c r="AT352" s="164"/>
      <c r="AU352" s="164"/>
      <c r="AV352" s="164"/>
      <c r="AW352" s="164"/>
      <c r="AX352" s="164"/>
      <c r="AY352" s="164"/>
      <c r="AZ352" s="164"/>
      <c r="BA352" s="164"/>
      <c r="BB352" s="164"/>
      <c r="BC352" s="164"/>
      <c r="BD352" s="164"/>
      <c r="BE352" s="164"/>
      <c r="BF352" s="164"/>
      <c r="BG352" s="164"/>
    </row>
    <row r="353" ht="10.5" customHeight="1">
      <c r="A353" s="164"/>
      <c r="B353" s="165"/>
      <c r="C353" s="165"/>
      <c r="D353" s="165"/>
      <c r="E353" s="165"/>
      <c r="F353" s="165"/>
      <c r="G353" s="165"/>
      <c r="H353" s="165"/>
      <c r="I353" s="165"/>
      <c r="J353" s="165"/>
      <c r="K353" s="165"/>
      <c r="L353" s="165"/>
      <c r="M353" s="165"/>
      <c r="N353" s="165"/>
      <c r="O353" s="165"/>
      <c r="P353" s="165"/>
      <c r="Q353" s="165"/>
      <c r="R353" s="165"/>
      <c r="S353" s="165"/>
      <c r="T353" s="165"/>
      <c r="U353" s="165"/>
      <c r="V353" s="165"/>
      <c r="W353" s="165"/>
      <c r="X353" s="165"/>
      <c r="Y353" s="165"/>
      <c r="Z353" s="165"/>
      <c r="AA353" s="165"/>
      <c r="AB353" s="165"/>
      <c r="AC353" s="165"/>
      <c r="AD353" s="165"/>
      <c r="AE353" s="165"/>
      <c r="AF353" s="165"/>
      <c r="AG353" s="165"/>
      <c r="AH353" s="165"/>
      <c r="AI353" s="165"/>
      <c r="AJ353" s="165"/>
      <c r="AK353" s="165"/>
      <c r="AL353" s="165"/>
      <c r="AM353" s="165"/>
      <c r="AN353" s="165"/>
      <c r="AO353" s="165"/>
      <c r="AP353" s="164"/>
      <c r="AQ353" s="164"/>
      <c r="AR353" s="164"/>
      <c r="AS353" s="164"/>
      <c r="AT353" s="164"/>
      <c r="AU353" s="164"/>
      <c r="AV353" s="164"/>
      <c r="AW353" s="164"/>
      <c r="AX353" s="164"/>
      <c r="AY353" s="164"/>
      <c r="AZ353" s="164"/>
      <c r="BA353" s="164"/>
      <c r="BB353" s="164"/>
      <c r="BC353" s="164"/>
      <c r="BD353" s="164"/>
      <c r="BE353" s="164"/>
      <c r="BF353" s="164"/>
      <c r="BG353" s="164"/>
    </row>
    <row r="354" ht="10.5" customHeight="1">
      <c r="A354" s="164"/>
      <c r="B354" s="165"/>
      <c r="C354" s="165"/>
      <c r="D354" s="165"/>
      <c r="E354" s="165"/>
      <c r="F354" s="165"/>
      <c r="G354" s="165"/>
      <c r="H354" s="165"/>
      <c r="I354" s="165"/>
      <c r="J354" s="165"/>
      <c r="K354" s="165"/>
      <c r="L354" s="165"/>
      <c r="M354" s="165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  <c r="AA354" s="165"/>
      <c r="AB354" s="165"/>
      <c r="AC354" s="165"/>
      <c r="AD354" s="165"/>
      <c r="AE354" s="165"/>
      <c r="AF354" s="165"/>
      <c r="AG354" s="165"/>
      <c r="AH354" s="165"/>
      <c r="AI354" s="165"/>
      <c r="AJ354" s="165"/>
      <c r="AK354" s="165"/>
      <c r="AL354" s="165"/>
      <c r="AM354" s="165"/>
      <c r="AN354" s="165"/>
      <c r="AO354" s="165"/>
      <c r="AP354" s="164"/>
      <c r="AQ354" s="164"/>
      <c r="AR354" s="164"/>
      <c r="AS354" s="164"/>
      <c r="AT354" s="164"/>
      <c r="AU354" s="164"/>
      <c r="AV354" s="164"/>
      <c r="AW354" s="164"/>
      <c r="AX354" s="164"/>
      <c r="AY354" s="164"/>
      <c r="AZ354" s="164"/>
      <c r="BA354" s="164"/>
      <c r="BB354" s="164"/>
      <c r="BC354" s="164"/>
      <c r="BD354" s="164"/>
      <c r="BE354" s="164"/>
      <c r="BF354" s="164"/>
      <c r="BG354" s="164"/>
    </row>
    <row r="355" ht="10.5" customHeight="1">
      <c r="A355" s="164"/>
      <c r="B355" s="165"/>
      <c r="C355" s="165"/>
      <c r="D355" s="165"/>
      <c r="E355" s="165"/>
      <c r="F355" s="165"/>
      <c r="G355" s="165"/>
      <c r="H355" s="165"/>
      <c r="I355" s="165"/>
      <c r="J355" s="165"/>
      <c r="K355" s="165"/>
      <c r="L355" s="165"/>
      <c r="M355" s="165"/>
      <c r="N355" s="165"/>
      <c r="O355" s="165"/>
      <c r="P355" s="165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  <c r="AA355" s="165"/>
      <c r="AB355" s="165"/>
      <c r="AC355" s="165"/>
      <c r="AD355" s="165"/>
      <c r="AE355" s="165"/>
      <c r="AF355" s="165"/>
      <c r="AG355" s="165"/>
      <c r="AH355" s="165"/>
      <c r="AI355" s="165"/>
      <c r="AJ355" s="165"/>
      <c r="AK355" s="165"/>
      <c r="AL355" s="165"/>
      <c r="AM355" s="165"/>
      <c r="AN355" s="165"/>
      <c r="AO355" s="165"/>
      <c r="AP355" s="164"/>
      <c r="AQ355" s="164"/>
      <c r="AR355" s="164"/>
      <c r="AS355" s="164"/>
      <c r="AT355" s="164"/>
      <c r="AU355" s="164"/>
      <c r="AV355" s="164"/>
      <c r="AW355" s="164"/>
      <c r="AX355" s="164"/>
      <c r="AY355" s="164"/>
      <c r="AZ355" s="164"/>
      <c r="BA355" s="164"/>
      <c r="BB355" s="164"/>
      <c r="BC355" s="164"/>
      <c r="BD355" s="164"/>
      <c r="BE355" s="164"/>
      <c r="BF355" s="164"/>
      <c r="BG355" s="164"/>
    </row>
    <row r="356" ht="10.5" customHeight="1">
      <c r="A356" s="164"/>
      <c r="B356" s="165"/>
      <c r="C356" s="165"/>
      <c r="D356" s="165"/>
      <c r="E356" s="165"/>
      <c r="F356" s="165"/>
      <c r="G356" s="165"/>
      <c r="H356" s="165"/>
      <c r="I356" s="165"/>
      <c r="J356" s="165"/>
      <c r="K356" s="165"/>
      <c r="L356" s="165"/>
      <c r="M356" s="165"/>
      <c r="N356" s="165"/>
      <c r="O356" s="165"/>
      <c r="P356" s="165"/>
      <c r="Q356" s="165"/>
      <c r="R356" s="165"/>
      <c r="S356" s="165"/>
      <c r="T356" s="165"/>
      <c r="U356" s="165"/>
      <c r="V356" s="165"/>
      <c r="W356" s="165"/>
      <c r="X356" s="165"/>
      <c r="Y356" s="165"/>
      <c r="Z356" s="165"/>
      <c r="AA356" s="165"/>
      <c r="AB356" s="165"/>
      <c r="AC356" s="165"/>
      <c r="AD356" s="165"/>
      <c r="AE356" s="165"/>
      <c r="AF356" s="165"/>
      <c r="AG356" s="165"/>
      <c r="AH356" s="165"/>
      <c r="AI356" s="165"/>
      <c r="AJ356" s="165"/>
      <c r="AK356" s="165"/>
      <c r="AL356" s="165"/>
      <c r="AM356" s="165"/>
      <c r="AN356" s="165"/>
      <c r="AO356" s="165"/>
      <c r="AP356" s="164"/>
      <c r="AQ356" s="164"/>
      <c r="AR356" s="164"/>
      <c r="AS356" s="164"/>
      <c r="AT356" s="164"/>
      <c r="AU356" s="164"/>
      <c r="AV356" s="164"/>
      <c r="AW356" s="164"/>
      <c r="AX356" s="164"/>
      <c r="AY356" s="164"/>
      <c r="AZ356" s="164"/>
      <c r="BA356" s="164"/>
      <c r="BB356" s="164"/>
      <c r="BC356" s="164"/>
      <c r="BD356" s="164"/>
      <c r="BE356" s="164"/>
      <c r="BF356" s="164"/>
      <c r="BG356" s="164"/>
    </row>
    <row r="357" ht="10.5" customHeight="1">
      <c r="A357" s="164"/>
      <c r="B357" s="165"/>
      <c r="C357" s="165"/>
      <c r="D357" s="165"/>
      <c r="E357" s="165"/>
      <c r="F357" s="165"/>
      <c r="G357" s="165"/>
      <c r="H357" s="165"/>
      <c r="I357" s="165"/>
      <c r="J357" s="165"/>
      <c r="K357" s="165"/>
      <c r="L357" s="165"/>
      <c r="M357" s="165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  <c r="AA357" s="165"/>
      <c r="AB357" s="165"/>
      <c r="AC357" s="165"/>
      <c r="AD357" s="165"/>
      <c r="AE357" s="165"/>
      <c r="AF357" s="165"/>
      <c r="AG357" s="165"/>
      <c r="AH357" s="165"/>
      <c r="AI357" s="165"/>
      <c r="AJ357" s="165"/>
      <c r="AK357" s="165"/>
      <c r="AL357" s="165"/>
      <c r="AM357" s="165"/>
      <c r="AN357" s="165"/>
      <c r="AO357" s="165"/>
      <c r="AP357" s="164"/>
      <c r="AQ357" s="164"/>
      <c r="AR357" s="164"/>
      <c r="AS357" s="164"/>
      <c r="AT357" s="164"/>
      <c r="AU357" s="164"/>
      <c r="AV357" s="164"/>
      <c r="AW357" s="164"/>
      <c r="AX357" s="164"/>
      <c r="AY357" s="164"/>
      <c r="AZ357" s="164"/>
      <c r="BA357" s="164"/>
      <c r="BB357" s="164"/>
      <c r="BC357" s="164"/>
      <c r="BD357" s="164"/>
      <c r="BE357" s="164"/>
      <c r="BF357" s="164"/>
      <c r="BG357" s="164"/>
    </row>
    <row r="358" ht="10.5" customHeight="1">
      <c r="A358" s="164"/>
      <c r="B358" s="165"/>
      <c r="C358" s="165"/>
      <c r="D358" s="165"/>
      <c r="E358" s="165"/>
      <c r="F358" s="165"/>
      <c r="G358" s="165"/>
      <c r="H358" s="165"/>
      <c r="I358" s="165"/>
      <c r="J358" s="165"/>
      <c r="K358" s="165"/>
      <c r="L358" s="165"/>
      <c r="M358" s="165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  <c r="AA358" s="165"/>
      <c r="AB358" s="165"/>
      <c r="AC358" s="165"/>
      <c r="AD358" s="165"/>
      <c r="AE358" s="165"/>
      <c r="AF358" s="165"/>
      <c r="AG358" s="165"/>
      <c r="AH358" s="165"/>
      <c r="AI358" s="165"/>
      <c r="AJ358" s="165"/>
      <c r="AK358" s="165"/>
      <c r="AL358" s="165"/>
      <c r="AM358" s="165"/>
      <c r="AN358" s="165"/>
      <c r="AO358" s="165"/>
      <c r="AP358" s="164"/>
      <c r="AQ358" s="164"/>
      <c r="AR358" s="164"/>
      <c r="AS358" s="164"/>
      <c r="AT358" s="164"/>
      <c r="AU358" s="164"/>
      <c r="AV358" s="164"/>
      <c r="AW358" s="164"/>
      <c r="AX358" s="164"/>
      <c r="AY358" s="164"/>
      <c r="AZ358" s="164"/>
      <c r="BA358" s="164"/>
      <c r="BB358" s="164"/>
      <c r="BC358" s="164"/>
      <c r="BD358" s="164"/>
      <c r="BE358" s="164"/>
      <c r="BF358" s="164"/>
      <c r="BG358" s="164"/>
    </row>
    <row r="359" ht="10.5" customHeight="1">
      <c r="A359" s="164"/>
      <c r="B359" s="165"/>
      <c r="C359" s="165"/>
      <c r="D359" s="165"/>
      <c r="E359" s="165"/>
      <c r="F359" s="165"/>
      <c r="G359" s="165"/>
      <c r="H359" s="165"/>
      <c r="I359" s="165"/>
      <c r="J359" s="165"/>
      <c r="K359" s="165"/>
      <c r="L359" s="165"/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  <c r="AA359" s="165"/>
      <c r="AB359" s="165"/>
      <c r="AC359" s="165"/>
      <c r="AD359" s="165"/>
      <c r="AE359" s="165"/>
      <c r="AF359" s="165"/>
      <c r="AG359" s="165"/>
      <c r="AH359" s="165"/>
      <c r="AI359" s="165"/>
      <c r="AJ359" s="165"/>
      <c r="AK359" s="165"/>
      <c r="AL359" s="165"/>
      <c r="AM359" s="165"/>
      <c r="AN359" s="165"/>
      <c r="AO359" s="165"/>
      <c r="AP359" s="164"/>
      <c r="AQ359" s="164"/>
      <c r="AR359" s="164"/>
      <c r="AS359" s="164"/>
      <c r="AT359" s="164"/>
      <c r="AU359" s="164"/>
      <c r="AV359" s="164"/>
      <c r="AW359" s="164"/>
      <c r="AX359" s="164"/>
      <c r="AY359" s="164"/>
      <c r="AZ359" s="164"/>
      <c r="BA359" s="164"/>
      <c r="BB359" s="164"/>
      <c r="BC359" s="164"/>
      <c r="BD359" s="164"/>
      <c r="BE359" s="164"/>
      <c r="BF359" s="164"/>
      <c r="BG359" s="164"/>
    </row>
    <row r="360" ht="10.5" customHeight="1">
      <c r="A360" s="164"/>
      <c r="B360" s="165"/>
      <c r="C360" s="165"/>
      <c r="D360" s="165"/>
      <c r="E360" s="165"/>
      <c r="F360" s="165"/>
      <c r="G360" s="165"/>
      <c r="H360" s="165"/>
      <c r="I360" s="165"/>
      <c r="J360" s="165"/>
      <c r="K360" s="165"/>
      <c r="L360" s="165"/>
      <c r="M360" s="165"/>
      <c r="N360" s="165"/>
      <c r="O360" s="165"/>
      <c r="P360" s="165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  <c r="AA360" s="165"/>
      <c r="AB360" s="165"/>
      <c r="AC360" s="165"/>
      <c r="AD360" s="165"/>
      <c r="AE360" s="165"/>
      <c r="AF360" s="165"/>
      <c r="AG360" s="165"/>
      <c r="AH360" s="165"/>
      <c r="AI360" s="165"/>
      <c r="AJ360" s="165"/>
      <c r="AK360" s="165"/>
      <c r="AL360" s="165"/>
      <c r="AM360" s="165"/>
      <c r="AN360" s="165"/>
      <c r="AO360" s="165"/>
      <c r="AP360" s="164"/>
      <c r="AQ360" s="164"/>
      <c r="AR360" s="164"/>
      <c r="AS360" s="164"/>
      <c r="AT360" s="164"/>
      <c r="AU360" s="164"/>
      <c r="AV360" s="164"/>
      <c r="AW360" s="164"/>
      <c r="AX360" s="164"/>
      <c r="AY360" s="164"/>
      <c r="AZ360" s="164"/>
      <c r="BA360" s="164"/>
      <c r="BB360" s="164"/>
      <c r="BC360" s="164"/>
      <c r="BD360" s="164"/>
      <c r="BE360" s="164"/>
      <c r="BF360" s="164"/>
      <c r="BG360" s="164"/>
    </row>
    <row r="361" ht="10.5" customHeight="1">
      <c r="A361" s="164"/>
      <c r="B361" s="165"/>
      <c r="C361" s="165"/>
      <c r="D361" s="165"/>
      <c r="E361" s="165"/>
      <c r="F361" s="165"/>
      <c r="G361" s="165"/>
      <c r="H361" s="165"/>
      <c r="I361" s="165"/>
      <c r="J361" s="165"/>
      <c r="K361" s="165"/>
      <c r="L361" s="165"/>
      <c r="M361" s="165"/>
      <c r="N361" s="165"/>
      <c r="O361" s="165"/>
      <c r="P361" s="165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  <c r="AA361" s="165"/>
      <c r="AB361" s="165"/>
      <c r="AC361" s="165"/>
      <c r="AD361" s="165"/>
      <c r="AE361" s="165"/>
      <c r="AF361" s="165"/>
      <c r="AG361" s="165"/>
      <c r="AH361" s="165"/>
      <c r="AI361" s="165"/>
      <c r="AJ361" s="165"/>
      <c r="AK361" s="165"/>
      <c r="AL361" s="165"/>
      <c r="AM361" s="165"/>
      <c r="AN361" s="165"/>
      <c r="AO361" s="165"/>
      <c r="AP361" s="164"/>
      <c r="AQ361" s="164"/>
      <c r="AR361" s="164"/>
      <c r="AS361" s="164"/>
      <c r="AT361" s="164"/>
      <c r="AU361" s="164"/>
      <c r="AV361" s="164"/>
      <c r="AW361" s="164"/>
      <c r="AX361" s="164"/>
      <c r="AY361" s="164"/>
      <c r="AZ361" s="164"/>
      <c r="BA361" s="164"/>
      <c r="BB361" s="164"/>
      <c r="BC361" s="164"/>
      <c r="BD361" s="164"/>
      <c r="BE361" s="164"/>
      <c r="BF361" s="164"/>
      <c r="BG361" s="164"/>
    </row>
    <row r="362" ht="10.5" customHeight="1">
      <c r="A362" s="164"/>
      <c r="B362" s="165"/>
      <c r="C362" s="165"/>
      <c r="D362" s="165"/>
      <c r="E362" s="165"/>
      <c r="F362" s="165"/>
      <c r="G362" s="165"/>
      <c r="H362" s="165"/>
      <c r="I362" s="165"/>
      <c r="J362" s="165"/>
      <c r="K362" s="165"/>
      <c r="L362" s="165"/>
      <c r="M362" s="165"/>
      <c r="N362" s="165"/>
      <c r="O362" s="165"/>
      <c r="P362" s="165"/>
      <c r="Q362" s="165"/>
      <c r="R362" s="165"/>
      <c r="S362" s="165"/>
      <c r="T362" s="165"/>
      <c r="U362" s="165"/>
      <c r="V362" s="165"/>
      <c r="W362" s="165"/>
      <c r="X362" s="165"/>
      <c r="Y362" s="165"/>
      <c r="Z362" s="165"/>
      <c r="AA362" s="165"/>
      <c r="AB362" s="165"/>
      <c r="AC362" s="165"/>
      <c r="AD362" s="165"/>
      <c r="AE362" s="165"/>
      <c r="AF362" s="165"/>
      <c r="AG362" s="165"/>
      <c r="AH362" s="165"/>
      <c r="AI362" s="165"/>
      <c r="AJ362" s="165"/>
      <c r="AK362" s="165"/>
      <c r="AL362" s="165"/>
      <c r="AM362" s="165"/>
      <c r="AN362" s="165"/>
      <c r="AO362" s="165"/>
      <c r="AP362" s="164"/>
      <c r="AQ362" s="164"/>
      <c r="AR362" s="164"/>
      <c r="AS362" s="164"/>
      <c r="AT362" s="164"/>
      <c r="AU362" s="164"/>
      <c r="AV362" s="164"/>
      <c r="AW362" s="164"/>
      <c r="AX362" s="164"/>
      <c r="AY362" s="164"/>
      <c r="AZ362" s="164"/>
      <c r="BA362" s="164"/>
      <c r="BB362" s="164"/>
      <c r="BC362" s="164"/>
      <c r="BD362" s="164"/>
      <c r="BE362" s="164"/>
      <c r="BF362" s="164"/>
      <c r="BG362" s="164"/>
    </row>
    <row r="363" ht="10.5" customHeight="1">
      <c r="A363" s="164"/>
      <c r="B363" s="165"/>
      <c r="C363" s="165"/>
      <c r="D363" s="165"/>
      <c r="E363" s="165"/>
      <c r="F363" s="165"/>
      <c r="G363" s="165"/>
      <c r="H363" s="165"/>
      <c r="I363" s="165"/>
      <c r="J363" s="165"/>
      <c r="K363" s="165"/>
      <c r="L363" s="165"/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  <c r="AA363" s="165"/>
      <c r="AB363" s="165"/>
      <c r="AC363" s="165"/>
      <c r="AD363" s="165"/>
      <c r="AE363" s="165"/>
      <c r="AF363" s="165"/>
      <c r="AG363" s="165"/>
      <c r="AH363" s="165"/>
      <c r="AI363" s="165"/>
      <c r="AJ363" s="165"/>
      <c r="AK363" s="165"/>
      <c r="AL363" s="165"/>
      <c r="AM363" s="165"/>
      <c r="AN363" s="165"/>
      <c r="AO363" s="165"/>
      <c r="AP363" s="164"/>
      <c r="AQ363" s="164"/>
      <c r="AR363" s="164"/>
      <c r="AS363" s="164"/>
      <c r="AT363" s="164"/>
      <c r="AU363" s="164"/>
      <c r="AV363" s="164"/>
      <c r="AW363" s="164"/>
      <c r="AX363" s="164"/>
      <c r="AY363" s="164"/>
      <c r="AZ363" s="164"/>
      <c r="BA363" s="164"/>
      <c r="BB363" s="164"/>
      <c r="BC363" s="164"/>
      <c r="BD363" s="164"/>
      <c r="BE363" s="164"/>
      <c r="BF363" s="164"/>
      <c r="BG363" s="164"/>
    </row>
    <row r="364" ht="10.5" customHeight="1">
      <c r="A364" s="164"/>
      <c r="B364" s="165"/>
      <c r="C364" s="165"/>
      <c r="D364" s="165"/>
      <c r="E364" s="165"/>
      <c r="F364" s="165"/>
      <c r="G364" s="165"/>
      <c r="H364" s="165"/>
      <c r="I364" s="165"/>
      <c r="J364" s="165"/>
      <c r="K364" s="165"/>
      <c r="L364" s="165"/>
      <c r="M364" s="165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  <c r="AA364" s="165"/>
      <c r="AB364" s="165"/>
      <c r="AC364" s="165"/>
      <c r="AD364" s="165"/>
      <c r="AE364" s="165"/>
      <c r="AF364" s="165"/>
      <c r="AG364" s="165"/>
      <c r="AH364" s="165"/>
      <c r="AI364" s="165"/>
      <c r="AJ364" s="165"/>
      <c r="AK364" s="165"/>
      <c r="AL364" s="165"/>
      <c r="AM364" s="165"/>
      <c r="AN364" s="165"/>
      <c r="AO364" s="165"/>
      <c r="AP364" s="164"/>
      <c r="AQ364" s="164"/>
      <c r="AR364" s="164"/>
      <c r="AS364" s="164"/>
      <c r="AT364" s="164"/>
      <c r="AU364" s="164"/>
      <c r="AV364" s="164"/>
      <c r="AW364" s="164"/>
      <c r="AX364" s="164"/>
      <c r="AY364" s="164"/>
      <c r="AZ364" s="164"/>
      <c r="BA364" s="164"/>
      <c r="BB364" s="164"/>
      <c r="BC364" s="164"/>
      <c r="BD364" s="164"/>
      <c r="BE364" s="164"/>
      <c r="BF364" s="164"/>
      <c r="BG364" s="164"/>
    </row>
    <row r="365" ht="10.5" customHeight="1">
      <c r="A365" s="164"/>
      <c r="B365" s="165"/>
      <c r="C365" s="165"/>
      <c r="D365" s="165"/>
      <c r="E365" s="165"/>
      <c r="F365" s="165"/>
      <c r="G365" s="165"/>
      <c r="H365" s="165"/>
      <c r="I365" s="165"/>
      <c r="J365" s="165"/>
      <c r="K365" s="165"/>
      <c r="L365" s="165"/>
      <c r="M365" s="165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  <c r="AA365" s="165"/>
      <c r="AB365" s="165"/>
      <c r="AC365" s="165"/>
      <c r="AD365" s="165"/>
      <c r="AE365" s="165"/>
      <c r="AF365" s="165"/>
      <c r="AG365" s="165"/>
      <c r="AH365" s="165"/>
      <c r="AI365" s="165"/>
      <c r="AJ365" s="165"/>
      <c r="AK365" s="165"/>
      <c r="AL365" s="165"/>
      <c r="AM365" s="165"/>
      <c r="AN365" s="165"/>
      <c r="AO365" s="165"/>
      <c r="AP365" s="164"/>
      <c r="AQ365" s="164"/>
      <c r="AR365" s="164"/>
      <c r="AS365" s="164"/>
      <c r="AT365" s="164"/>
      <c r="AU365" s="164"/>
      <c r="AV365" s="164"/>
      <c r="AW365" s="164"/>
      <c r="AX365" s="164"/>
      <c r="AY365" s="164"/>
      <c r="AZ365" s="164"/>
      <c r="BA365" s="164"/>
      <c r="BB365" s="164"/>
      <c r="BC365" s="164"/>
      <c r="BD365" s="164"/>
      <c r="BE365" s="164"/>
      <c r="BF365" s="164"/>
      <c r="BG365" s="164"/>
    </row>
    <row r="366" ht="10.5" customHeight="1">
      <c r="A366" s="164"/>
      <c r="B366" s="165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5"/>
      <c r="O366" s="165"/>
      <c r="P366" s="165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5"/>
      <c r="AJ366" s="165"/>
      <c r="AK366" s="165"/>
      <c r="AL366" s="165"/>
      <c r="AM366" s="165"/>
      <c r="AN366" s="165"/>
      <c r="AO366" s="165"/>
      <c r="AP366" s="164"/>
      <c r="AQ366" s="164"/>
      <c r="AR366" s="164"/>
      <c r="AS366" s="164"/>
      <c r="AT366" s="164"/>
      <c r="AU366" s="164"/>
      <c r="AV366" s="164"/>
      <c r="AW366" s="164"/>
      <c r="AX366" s="164"/>
      <c r="AY366" s="164"/>
      <c r="AZ366" s="164"/>
      <c r="BA366" s="164"/>
      <c r="BB366" s="164"/>
      <c r="BC366" s="164"/>
      <c r="BD366" s="164"/>
      <c r="BE366" s="164"/>
      <c r="BF366" s="164"/>
      <c r="BG366" s="164"/>
    </row>
    <row r="367" ht="10.5" customHeight="1">
      <c r="A367" s="164"/>
      <c r="B367" s="165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5"/>
      <c r="O367" s="165"/>
      <c r="P367" s="165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5"/>
      <c r="AJ367" s="165"/>
      <c r="AK367" s="165"/>
      <c r="AL367" s="165"/>
      <c r="AM367" s="165"/>
      <c r="AN367" s="165"/>
      <c r="AO367" s="165"/>
      <c r="AP367" s="164"/>
      <c r="AQ367" s="164"/>
      <c r="AR367" s="164"/>
      <c r="AS367" s="164"/>
      <c r="AT367" s="164"/>
      <c r="AU367" s="164"/>
      <c r="AV367" s="164"/>
      <c r="AW367" s="164"/>
      <c r="AX367" s="164"/>
      <c r="AY367" s="164"/>
      <c r="AZ367" s="164"/>
      <c r="BA367" s="164"/>
      <c r="BB367" s="164"/>
      <c r="BC367" s="164"/>
      <c r="BD367" s="164"/>
      <c r="BE367" s="164"/>
      <c r="BF367" s="164"/>
      <c r="BG367" s="164"/>
    </row>
    <row r="368" ht="10.5" customHeight="1">
      <c r="A368" s="164"/>
      <c r="B368" s="165"/>
      <c r="C368" s="165"/>
      <c r="D368" s="165"/>
      <c r="E368" s="165"/>
      <c r="F368" s="165"/>
      <c r="G368" s="165"/>
      <c r="H368" s="165"/>
      <c r="I368" s="165"/>
      <c r="J368" s="165"/>
      <c r="K368" s="165"/>
      <c r="L368" s="165"/>
      <c r="M368" s="165"/>
      <c r="N368" s="165"/>
      <c r="O368" s="165"/>
      <c r="P368" s="165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  <c r="AA368" s="165"/>
      <c r="AB368" s="165"/>
      <c r="AC368" s="165"/>
      <c r="AD368" s="165"/>
      <c r="AE368" s="165"/>
      <c r="AF368" s="165"/>
      <c r="AG368" s="165"/>
      <c r="AH368" s="165"/>
      <c r="AI368" s="165"/>
      <c r="AJ368" s="165"/>
      <c r="AK368" s="165"/>
      <c r="AL368" s="165"/>
      <c r="AM368" s="165"/>
      <c r="AN368" s="165"/>
      <c r="AO368" s="165"/>
      <c r="AP368" s="164"/>
      <c r="AQ368" s="164"/>
      <c r="AR368" s="164"/>
      <c r="AS368" s="164"/>
      <c r="AT368" s="164"/>
      <c r="AU368" s="164"/>
      <c r="AV368" s="164"/>
      <c r="AW368" s="164"/>
      <c r="AX368" s="164"/>
      <c r="AY368" s="164"/>
      <c r="AZ368" s="164"/>
      <c r="BA368" s="164"/>
      <c r="BB368" s="164"/>
      <c r="BC368" s="164"/>
      <c r="BD368" s="164"/>
      <c r="BE368" s="164"/>
      <c r="BF368" s="164"/>
      <c r="BG368" s="164"/>
    </row>
    <row r="369" ht="10.5" customHeight="1">
      <c r="A369" s="164"/>
      <c r="B369" s="165"/>
      <c r="C369" s="165"/>
      <c r="D369" s="165"/>
      <c r="E369" s="165"/>
      <c r="F369" s="165"/>
      <c r="G369" s="165"/>
      <c r="H369" s="165"/>
      <c r="I369" s="165"/>
      <c r="J369" s="165"/>
      <c r="K369" s="165"/>
      <c r="L369" s="165"/>
      <c r="M369" s="165"/>
      <c r="N369" s="165"/>
      <c r="O369" s="165"/>
      <c r="P369" s="165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  <c r="AA369" s="165"/>
      <c r="AB369" s="165"/>
      <c r="AC369" s="165"/>
      <c r="AD369" s="165"/>
      <c r="AE369" s="165"/>
      <c r="AF369" s="165"/>
      <c r="AG369" s="165"/>
      <c r="AH369" s="165"/>
      <c r="AI369" s="165"/>
      <c r="AJ369" s="165"/>
      <c r="AK369" s="165"/>
      <c r="AL369" s="165"/>
      <c r="AM369" s="165"/>
      <c r="AN369" s="165"/>
      <c r="AO369" s="165"/>
      <c r="AP369" s="164"/>
      <c r="AQ369" s="164"/>
      <c r="AR369" s="164"/>
      <c r="AS369" s="164"/>
      <c r="AT369" s="164"/>
      <c r="AU369" s="164"/>
      <c r="AV369" s="164"/>
      <c r="AW369" s="164"/>
      <c r="AX369" s="164"/>
      <c r="AY369" s="164"/>
      <c r="AZ369" s="164"/>
      <c r="BA369" s="164"/>
      <c r="BB369" s="164"/>
      <c r="BC369" s="164"/>
      <c r="BD369" s="164"/>
      <c r="BE369" s="164"/>
      <c r="BF369" s="164"/>
      <c r="BG369" s="164"/>
    </row>
    <row r="370" ht="10.5" customHeight="1">
      <c r="A370" s="164"/>
      <c r="B370" s="165"/>
      <c r="C370" s="165"/>
      <c r="D370" s="165"/>
      <c r="E370" s="165"/>
      <c r="F370" s="165"/>
      <c r="G370" s="165"/>
      <c r="H370" s="165"/>
      <c r="I370" s="165"/>
      <c r="J370" s="165"/>
      <c r="K370" s="165"/>
      <c r="L370" s="165"/>
      <c r="M370" s="165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  <c r="AA370" s="165"/>
      <c r="AB370" s="165"/>
      <c r="AC370" s="165"/>
      <c r="AD370" s="165"/>
      <c r="AE370" s="165"/>
      <c r="AF370" s="165"/>
      <c r="AG370" s="165"/>
      <c r="AH370" s="165"/>
      <c r="AI370" s="165"/>
      <c r="AJ370" s="165"/>
      <c r="AK370" s="165"/>
      <c r="AL370" s="165"/>
      <c r="AM370" s="165"/>
      <c r="AN370" s="165"/>
      <c r="AO370" s="165"/>
      <c r="AP370" s="164"/>
      <c r="AQ370" s="164"/>
      <c r="AR370" s="164"/>
      <c r="AS370" s="164"/>
      <c r="AT370" s="164"/>
      <c r="AU370" s="164"/>
      <c r="AV370" s="164"/>
      <c r="AW370" s="164"/>
      <c r="AX370" s="164"/>
      <c r="AY370" s="164"/>
      <c r="AZ370" s="164"/>
      <c r="BA370" s="164"/>
      <c r="BB370" s="164"/>
      <c r="BC370" s="164"/>
      <c r="BD370" s="164"/>
      <c r="BE370" s="164"/>
      <c r="BF370" s="164"/>
      <c r="BG370" s="164"/>
    </row>
    <row r="371" ht="10.5" customHeight="1">
      <c r="A371" s="164"/>
      <c r="B371" s="165"/>
      <c r="C371" s="165"/>
      <c r="D371" s="165"/>
      <c r="E371" s="165"/>
      <c r="F371" s="165"/>
      <c r="G371" s="165"/>
      <c r="H371" s="165"/>
      <c r="I371" s="165"/>
      <c r="J371" s="165"/>
      <c r="K371" s="165"/>
      <c r="L371" s="165"/>
      <c r="M371" s="165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  <c r="AA371" s="165"/>
      <c r="AB371" s="165"/>
      <c r="AC371" s="165"/>
      <c r="AD371" s="165"/>
      <c r="AE371" s="165"/>
      <c r="AF371" s="165"/>
      <c r="AG371" s="165"/>
      <c r="AH371" s="165"/>
      <c r="AI371" s="165"/>
      <c r="AJ371" s="165"/>
      <c r="AK371" s="165"/>
      <c r="AL371" s="165"/>
      <c r="AM371" s="165"/>
      <c r="AN371" s="165"/>
      <c r="AO371" s="165"/>
      <c r="AP371" s="164"/>
      <c r="AQ371" s="164"/>
      <c r="AR371" s="164"/>
      <c r="AS371" s="164"/>
      <c r="AT371" s="164"/>
      <c r="AU371" s="164"/>
      <c r="AV371" s="164"/>
      <c r="AW371" s="164"/>
      <c r="AX371" s="164"/>
      <c r="AY371" s="164"/>
      <c r="AZ371" s="164"/>
      <c r="BA371" s="164"/>
      <c r="BB371" s="164"/>
      <c r="BC371" s="164"/>
      <c r="BD371" s="164"/>
      <c r="BE371" s="164"/>
      <c r="BF371" s="164"/>
      <c r="BG371" s="164"/>
    </row>
    <row r="372" ht="10.5" customHeight="1">
      <c r="A372" s="164"/>
      <c r="B372" s="165"/>
      <c r="C372" s="165"/>
      <c r="D372" s="165"/>
      <c r="E372" s="165"/>
      <c r="F372" s="165"/>
      <c r="G372" s="165"/>
      <c r="H372" s="165"/>
      <c r="I372" s="165"/>
      <c r="J372" s="165"/>
      <c r="K372" s="165"/>
      <c r="L372" s="165"/>
      <c r="M372" s="165"/>
      <c r="N372" s="165"/>
      <c r="O372" s="165"/>
      <c r="P372" s="165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  <c r="AA372" s="165"/>
      <c r="AB372" s="165"/>
      <c r="AC372" s="165"/>
      <c r="AD372" s="165"/>
      <c r="AE372" s="165"/>
      <c r="AF372" s="165"/>
      <c r="AG372" s="165"/>
      <c r="AH372" s="165"/>
      <c r="AI372" s="165"/>
      <c r="AJ372" s="165"/>
      <c r="AK372" s="165"/>
      <c r="AL372" s="165"/>
      <c r="AM372" s="165"/>
      <c r="AN372" s="165"/>
      <c r="AO372" s="165"/>
      <c r="AP372" s="164"/>
      <c r="AQ372" s="164"/>
      <c r="AR372" s="164"/>
      <c r="AS372" s="164"/>
      <c r="AT372" s="164"/>
      <c r="AU372" s="164"/>
      <c r="AV372" s="164"/>
      <c r="AW372" s="164"/>
      <c r="AX372" s="164"/>
      <c r="AY372" s="164"/>
      <c r="AZ372" s="164"/>
      <c r="BA372" s="164"/>
      <c r="BB372" s="164"/>
      <c r="BC372" s="164"/>
      <c r="BD372" s="164"/>
      <c r="BE372" s="164"/>
      <c r="BF372" s="164"/>
      <c r="BG372" s="164"/>
    </row>
    <row r="373" ht="10.5" customHeight="1">
      <c r="A373" s="164"/>
      <c r="B373" s="165"/>
      <c r="C373" s="165"/>
      <c r="D373" s="165"/>
      <c r="E373" s="165"/>
      <c r="F373" s="165"/>
      <c r="G373" s="165"/>
      <c r="H373" s="165"/>
      <c r="I373" s="165"/>
      <c r="J373" s="165"/>
      <c r="K373" s="165"/>
      <c r="L373" s="165"/>
      <c r="M373" s="165"/>
      <c r="N373" s="165"/>
      <c r="O373" s="165"/>
      <c r="P373" s="165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  <c r="AA373" s="165"/>
      <c r="AB373" s="165"/>
      <c r="AC373" s="165"/>
      <c r="AD373" s="165"/>
      <c r="AE373" s="165"/>
      <c r="AF373" s="165"/>
      <c r="AG373" s="165"/>
      <c r="AH373" s="165"/>
      <c r="AI373" s="165"/>
      <c r="AJ373" s="165"/>
      <c r="AK373" s="165"/>
      <c r="AL373" s="165"/>
      <c r="AM373" s="165"/>
      <c r="AN373" s="165"/>
      <c r="AO373" s="165"/>
      <c r="AP373" s="164"/>
      <c r="AQ373" s="164"/>
      <c r="AR373" s="164"/>
      <c r="AS373" s="164"/>
      <c r="AT373" s="164"/>
      <c r="AU373" s="164"/>
      <c r="AV373" s="164"/>
      <c r="AW373" s="164"/>
      <c r="AX373" s="164"/>
      <c r="AY373" s="164"/>
      <c r="AZ373" s="164"/>
      <c r="BA373" s="164"/>
      <c r="BB373" s="164"/>
      <c r="BC373" s="164"/>
      <c r="BD373" s="164"/>
      <c r="BE373" s="164"/>
      <c r="BF373" s="164"/>
      <c r="BG373" s="164"/>
    </row>
    <row r="374" ht="10.5" customHeight="1">
      <c r="A374" s="164"/>
      <c r="B374" s="165"/>
      <c r="C374" s="165"/>
      <c r="D374" s="165"/>
      <c r="E374" s="165"/>
      <c r="F374" s="165"/>
      <c r="G374" s="165"/>
      <c r="H374" s="165"/>
      <c r="I374" s="165"/>
      <c r="J374" s="165"/>
      <c r="K374" s="165"/>
      <c r="L374" s="165"/>
      <c r="M374" s="165"/>
      <c r="N374" s="165"/>
      <c r="O374" s="165"/>
      <c r="P374" s="165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  <c r="AA374" s="165"/>
      <c r="AB374" s="165"/>
      <c r="AC374" s="165"/>
      <c r="AD374" s="165"/>
      <c r="AE374" s="165"/>
      <c r="AF374" s="165"/>
      <c r="AG374" s="165"/>
      <c r="AH374" s="165"/>
      <c r="AI374" s="165"/>
      <c r="AJ374" s="165"/>
      <c r="AK374" s="165"/>
      <c r="AL374" s="165"/>
      <c r="AM374" s="165"/>
      <c r="AN374" s="165"/>
      <c r="AO374" s="165"/>
      <c r="AP374" s="164"/>
      <c r="AQ374" s="164"/>
      <c r="AR374" s="164"/>
      <c r="AS374" s="164"/>
      <c r="AT374" s="164"/>
      <c r="AU374" s="164"/>
      <c r="AV374" s="164"/>
      <c r="AW374" s="164"/>
      <c r="AX374" s="164"/>
      <c r="AY374" s="164"/>
      <c r="AZ374" s="164"/>
      <c r="BA374" s="164"/>
      <c r="BB374" s="164"/>
      <c r="BC374" s="164"/>
      <c r="BD374" s="164"/>
      <c r="BE374" s="164"/>
      <c r="BF374" s="164"/>
      <c r="BG374" s="164"/>
    </row>
    <row r="375" ht="10.5" customHeight="1">
      <c r="A375" s="164"/>
      <c r="B375" s="165"/>
      <c r="C375" s="165"/>
      <c r="D375" s="165"/>
      <c r="E375" s="165"/>
      <c r="F375" s="165"/>
      <c r="G375" s="165"/>
      <c r="H375" s="165"/>
      <c r="I375" s="165"/>
      <c r="J375" s="165"/>
      <c r="K375" s="165"/>
      <c r="L375" s="165"/>
      <c r="M375" s="165"/>
      <c r="N375" s="165"/>
      <c r="O375" s="165"/>
      <c r="P375" s="165"/>
      <c r="Q375" s="165"/>
      <c r="R375" s="165"/>
      <c r="S375" s="165"/>
      <c r="T375" s="165"/>
      <c r="U375" s="165"/>
      <c r="V375" s="165"/>
      <c r="W375" s="165"/>
      <c r="X375" s="165"/>
      <c r="Y375" s="165"/>
      <c r="Z375" s="165"/>
      <c r="AA375" s="165"/>
      <c r="AB375" s="165"/>
      <c r="AC375" s="165"/>
      <c r="AD375" s="165"/>
      <c r="AE375" s="165"/>
      <c r="AF375" s="165"/>
      <c r="AG375" s="165"/>
      <c r="AH375" s="165"/>
      <c r="AI375" s="165"/>
      <c r="AJ375" s="165"/>
      <c r="AK375" s="165"/>
      <c r="AL375" s="165"/>
      <c r="AM375" s="165"/>
      <c r="AN375" s="165"/>
      <c r="AO375" s="165"/>
      <c r="AP375" s="164"/>
      <c r="AQ375" s="164"/>
      <c r="AR375" s="164"/>
      <c r="AS375" s="164"/>
      <c r="AT375" s="164"/>
      <c r="AU375" s="164"/>
      <c r="AV375" s="164"/>
      <c r="AW375" s="164"/>
      <c r="AX375" s="164"/>
      <c r="AY375" s="164"/>
      <c r="AZ375" s="164"/>
      <c r="BA375" s="164"/>
      <c r="BB375" s="164"/>
      <c r="BC375" s="164"/>
      <c r="BD375" s="164"/>
      <c r="BE375" s="164"/>
      <c r="BF375" s="164"/>
      <c r="BG375" s="164"/>
    </row>
    <row r="376" ht="10.5" customHeight="1">
      <c r="A376" s="164"/>
      <c r="B376" s="165"/>
      <c r="C376" s="165"/>
      <c r="D376" s="165"/>
      <c r="E376" s="165"/>
      <c r="F376" s="165"/>
      <c r="G376" s="165"/>
      <c r="H376" s="165"/>
      <c r="I376" s="165"/>
      <c r="J376" s="165"/>
      <c r="K376" s="165"/>
      <c r="L376" s="165"/>
      <c r="M376" s="165"/>
      <c r="N376" s="165"/>
      <c r="O376" s="165"/>
      <c r="P376" s="165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  <c r="AA376" s="165"/>
      <c r="AB376" s="165"/>
      <c r="AC376" s="165"/>
      <c r="AD376" s="165"/>
      <c r="AE376" s="165"/>
      <c r="AF376" s="165"/>
      <c r="AG376" s="165"/>
      <c r="AH376" s="165"/>
      <c r="AI376" s="165"/>
      <c r="AJ376" s="165"/>
      <c r="AK376" s="165"/>
      <c r="AL376" s="165"/>
      <c r="AM376" s="165"/>
      <c r="AN376" s="165"/>
      <c r="AO376" s="165"/>
      <c r="AP376" s="164"/>
      <c r="AQ376" s="164"/>
      <c r="AR376" s="164"/>
      <c r="AS376" s="164"/>
      <c r="AT376" s="164"/>
      <c r="AU376" s="164"/>
      <c r="AV376" s="164"/>
      <c r="AW376" s="164"/>
      <c r="AX376" s="164"/>
      <c r="AY376" s="164"/>
      <c r="AZ376" s="164"/>
      <c r="BA376" s="164"/>
      <c r="BB376" s="164"/>
      <c r="BC376" s="164"/>
      <c r="BD376" s="164"/>
      <c r="BE376" s="164"/>
      <c r="BF376" s="164"/>
      <c r="BG376" s="164"/>
    </row>
    <row r="377" ht="10.5" customHeight="1">
      <c r="A377" s="164"/>
      <c r="B377" s="165"/>
      <c r="C377" s="165"/>
      <c r="D377" s="165"/>
      <c r="E377" s="165"/>
      <c r="F377" s="165"/>
      <c r="G377" s="165"/>
      <c r="H377" s="165"/>
      <c r="I377" s="165"/>
      <c r="J377" s="165"/>
      <c r="K377" s="165"/>
      <c r="L377" s="165"/>
      <c r="M377" s="165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  <c r="AA377" s="165"/>
      <c r="AB377" s="165"/>
      <c r="AC377" s="165"/>
      <c r="AD377" s="165"/>
      <c r="AE377" s="165"/>
      <c r="AF377" s="165"/>
      <c r="AG377" s="165"/>
      <c r="AH377" s="165"/>
      <c r="AI377" s="165"/>
      <c r="AJ377" s="165"/>
      <c r="AK377" s="165"/>
      <c r="AL377" s="165"/>
      <c r="AM377" s="165"/>
      <c r="AN377" s="165"/>
      <c r="AO377" s="165"/>
      <c r="AP377" s="164"/>
      <c r="AQ377" s="164"/>
      <c r="AR377" s="164"/>
      <c r="AS377" s="164"/>
      <c r="AT377" s="164"/>
      <c r="AU377" s="164"/>
      <c r="AV377" s="164"/>
      <c r="AW377" s="164"/>
      <c r="AX377" s="164"/>
      <c r="AY377" s="164"/>
      <c r="AZ377" s="164"/>
      <c r="BA377" s="164"/>
      <c r="BB377" s="164"/>
      <c r="BC377" s="164"/>
      <c r="BD377" s="164"/>
      <c r="BE377" s="164"/>
      <c r="BF377" s="164"/>
      <c r="BG377" s="164"/>
    </row>
    <row r="378" ht="10.5" customHeight="1">
      <c r="A378" s="164"/>
      <c r="B378" s="165"/>
      <c r="C378" s="165"/>
      <c r="D378" s="165"/>
      <c r="E378" s="165"/>
      <c r="F378" s="165"/>
      <c r="G378" s="165"/>
      <c r="H378" s="165"/>
      <c r="I378" s="165"/>
      <c r="J378" s="165"/>
      <c r="K378" s="165"/>
      <c r="L378" s="165"/>
      <c r="M378" s="165"/>
      <c r="N378" s="165"/>
      <c r="O378" s="165"/>
      <c r="P378" s="165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  <c r="AA378" s="165"/>
      <c r="AB378" s="165"/>
      <c r="AC378" s="165"/>
      <c r="AD378" s="165"/>
      <c r="AE378" s="165"/>
      <c r="AF378" s="165"/>
      <c r="AG378" s="165"/>
      <c r="AH378" s="165"/>
      <c r="AI378" s="165"/>
      <c r="AJ378" s="165"/>
      <c r="AK378" s="165"/>
      <c r="AL378" s="165"/>
      <c r="AM378" s="165"/>
      <c r="AN378" s="165"/>
      <c r="AO378" s="165"/>
      <c r="AP378" s="164"/>
      <c r="AQ378" s="164"/>
      <c r="AR378" s="164"/>
      <c r="AS378" s="164"/>
      <c r="AT378" s="164"/>
      <c r="AU378" s="164"/>
      <c r="AV378" s="164"/>
      <c r="AW378" s="164"/>
      <c r="AX378" s="164"/>
      <c r="AY378" s="164"/>
      <c r="AZ378" s="164"/>
      <c r="BA378" s="164"/>
      <c r="BB378" s="164"/>
      <c r="BC378" s="164"/>
      <c r="BD378" s="164"/>
      <c r="BE378" s="164"/>
      <c r="BF378" s="164"/>
      <c r="BG378" s="164"/>
    </row>
    <row r="379" ht="10.5" customHeight="1">
      <c r="A379" s="164"/>
      <c r="B379" s="165"/>
      <c r="C379" s="165"/>
      <c r="D379" s="165"/>
      <c r="E379" s="165"/>
      <c r="F379" s="165"/>
      <c r="G379" s="165"/>
      <c r="H379" s="165"/>
      <c r="I379" s="165"/>
      <c r="J379" s="165"/>
      <c r="K379" s="165"/>
      <c r="L379" s="165"/>
      <c r="M379" s="165"/>
      <c r="N379" s="165"/>
      <c r="O379" s="165"/>
      <c r="P379" s="165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  <c r="AA379" s="165"/>
      <c r="AB379" s="165"/>
      <c r="AC379" s="165"/>
      <c r="AD379" s="165"/>
      <c r="AE379" s="165"/>
      <c r="AF379" s="165"/>
      <c r="AG379" s="165"/>
      <c r="AH379" s="165"/>
      <c r="AI379" s="165"/>
      <c r="AJ379" s="165"/>
      <c r="AK379" s="165"/>
      <c r="AL379" s="165"/>
      <c r="AM379" s="165"/>
      <c r="AN379" s="165"/>
      <c r="AO379" s="165"/>
      <c r="AP379" s="164"/>
      <c r="AQ379" s="164"/>
      <c r="AR379" s="164"/>
      <c r="AS379" s="164"/>
      <c r="AT379" s="164"/>
      <c r="AU379" s="164"/>
      <c r="AV379" s="164"/>
      <c r="AW379" s="164"/>
      <c r="AX379" s="164"/>
      <c r="AY379" s="164"/>
      <c r="AZ379" s="164"/>
      <c r="BA379" s="164"/>
      <c r="BB379" s="164"/>
      <c r="BC379" s="164"/>
      <c r="BD379" s="164"/>
      <c r="BE379" s="164"/>
      <c r="BF379" s="164"/>
      <c r="BG379" s="164"/>
    </row>
    <row r="380" ht="10.5" customHeight="1">
      <c r="A380" s="164"/>
      <c r="B380" s="165"/>
      <c r="C380" s="165"/>
      <c r="D380" s="165"/>
      <c r="E380" s="165"/>
      <c r="F380" s="165"/>
      <c r="G380" s="165"/>
      <c r="H380" s="165"/>
      <c r="I380" s="165"/>
      <c r="J380" s="165"/>
      <c r="K380" s="165"/>
      <c r="L380" s="165"/>
      <c r="M380" s="165"/>
      <c r="N380" s="165"/>
      <c r="O380" s="165"/>
      <c r="P380" s="165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  <c r="AA380" s="165"/>
      <c r="AB380" s="165"/>
      <c r="AC380" s="165"/>
      <c r="AD380" s="165"/>
      <c r="AE380" s="165"/>
      <c r="AF380" s="165"/>
      <c r="AG380" s="165"/>
      <c r="AH380" s="165"/>
      <c r="AI380" s="165"/>
      <c r="AJ380" s="165"/>
      <c r="AK380" s="165"/>
      <c r="AL380" s="165"/>
      <c r="AM380" s="165"/>
      <c r="AN380" s="165"/>
      <c r="AO380" s="165"/>
      <c r="AP380" s="164"/>
      <c r="AQ380" s="164"/>
      <c r="AR380" s="164"/>
      <c r="AS380" s="164"/>
      <c r="AT380" s="164"/>
      <c r="AU380" s="164"/>
      <c r="AV380" s="164"/>
      <c r="AW380" s="164"/>
      <c r="AX380" s="164"/>
      <c r="AY380" s="164"/>
      <c r="AZ380" s="164"/>
      <c r="BA380" s="164"/>
      <c r="BB380" s="164"/>
      <c r="BC380" s="164"/>
      <c r="BD380" s="164"/>
      <c r="BE380" s="164"/>
      <c r="BF380" s="164"/>
      <c r="BG380" s="164"/>
    </row>
    <row r="381" ht="10.5" customHeight="1">
      <c r="A381" s="164"/>
      <c r="B381" s="165"/>
      <c r="C381" s="165"/>
      <c r="D381" s="165"/>
      <c r="E381" s="165"/>
      <c r="F381" s="165"/>
      <c r="G381" s="165"/>
      <c r="H381" s="165"/>
      <c r="I381" s="165"/>
      <c r="J381" s="165"/>
      <c r="K381" s="165"/>
      <c r="L381" s="165"/>
      <c r="M381" s="165"/>
      <c r="N381" s="165"/>
      <c r="O381" s="165"/>
      <c r="P381" s="165"/>
      <c r="Q381" s="165"/>
      <c r="R381" s="165"/>
      <c r="S381" s="165"/>
      <c r="T381" s="165"/>
      <c r="U381" s="165"/>
      <c r="V381" s="165"/>
      <c r="W381" s="165"/>
      <c r="X381" s="165"/>
      <c r="Y381" s="165"/>
      <c r="Z381" s="165"/>
      <c r="AA381" s="165"/>
      <c r="AB381" s="165"/>
      <c r="AC381" s="165"/>
      <c r="AD381" s="165"/>
      <c r="AE381" s="165"/>
      <c r="AF381" s="165"/>
      <c r="AG381" s="165"/>
      <c r="AH381" s="165"/>
      <c r="AI381" s="165"/>
      <c r="AJ381" s="165"/>
      <c r="AK381" s="165"/>
      <c r="AL381" s="165"/>
      <c r="AM381" s="165"/>
      <c r="AN381" s="165"/>
      <c r="AO381" s="165"/>
      <c r="AP381" s="164"/>
      <c r="AQ381" s="164"/>
      <c r="AR381" s="164"/>
      <c r="AS381" s="164"/>
      <c r="AT381" s="164"/>
      <c r="AU381" s="164"/>
      <c r="AV381" s="164"/>
      <c r="AW381" s="164"/>
      <c r="AX381" s="164"/>
      <c r="AY381" s="164"/>
      <c r="AZ381" s="164"/>
      <c r="BA381" s="164"/>
      <c r="BB381" s="164"/>
      <c r="BC381" s="164"/>
      <c r="BD381" s="164"/>
      <c r="BE381" s="164"/>
      <c r="BF381" s="164"/>
      <c r="BG381" s="164"/>
    </row>
    <row r="382" ht="10.5" customHeight="1">
      <c r="A382" s="164"/>
      <c r="B382" s="165"/>
      <c r="C382" s="165"/>
      <c r="D382" s="165"/>
      <c r="E382" s="165"/>
      <c r="F382" s="165"/>
      <c r="G382" s="165"/>
      <c r="H382" s="165"/>
      <c r="I382" s="165"/>
      <c r="J382" s="165"/>
      <c r="K382" s="165"/>
      <c r="L382" s="165"/>
      <c r="M382" s="165"/>
      <c r="N382" s="165"/>
      <c r="O382" s="165"/>
      <c r="P382" s="165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  <c r="AA382" s="165"/>
      <c r="AB382" s="165"/>
      <c r="AC382" s="165"/>
      <c r="AD382" s="165"/>
      <c r="AE382" s="165"/>
      <c r="AF382" s="165"/>
      <c r="AG382" s="165"/>
      <c r="AH382" s="165"/>
      <c r="AI382" s="165"/>
      <c r="AJ382" s="165"/>
      <c r="AK382" s="165"/>
      <c r="AL382" s="165"/>
      <c r="AM382" s="165"/>
      <c r="AN382" s="165"/>
      <c r="AO382" s="165"/>
      <c r="AP382" s="164"/>
      <c r="AQ382" s="164"/>
      <c r="AR382" s="164"/>
      <c r="AS382" s="164"/>
      <c r="AT382" s="164"/>
      <c r="AU382" s="164"/>
      <c r="AV382" s="164"/>
      <c r="AW382" s="164"/>
      <c r="AX382" s="164"/>
      <c r="AY382" s="164"/>
      <c r="AZ382" s="164"/>
      <c r="BA382" s="164"/>
      <c r="BB382" s="164"/>
      <c r="BC382" s="164"/>
      <c r="BD382" s="164"/>
      <c r="BE382" s="164"/>
      <c r="BF382" s="164"/>
      <c r="BG382" s="164"/>
    </row>
    <row r="383" ht="10.5" customHeight="1">
      <c r="A383" s="164"/>
      <c r="B383" s="165"/>
      <c r="C383" s="165"/>
      <c r="D383" s="165"/>
      <c r="E383" s="165"/>
      <c r="F383" s="165"/>
      <c r="G383" s="165"/>
      <c r="H383" s="165"/>
      <c r="I383" s="165"/>
      <c r="J383" s="165"/>
      <c r="K383" s="165"/>
      <c r="L383" s="165"/>
      <c r="M383" s="165"/>
      <c r="N383" s="165"/>
      <c r="O383" s="165"/>
      <c r="P383" s="165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  <c r="AA383" s="165"/>
      <c r="AB383" s="165"/>
      <c r="AC383" s="165"/>
      <c r="AD383" s="165"/>
      <c r="AE383" s="165"/>
      <c r="AF383" s="165"/>
      <c r="AG383" s="165"/>
      <c r="AH383" s="165"/>
      <c r="AI383" s="165"/>
      <c r="AJ383" s="165"/>
      <c r="AK383" s="165"/>
      <c r="AL383" s="165"/>
      <c r="AM383" s="165"/>
      <c r="AN383" s="165"/>
      <c r="AO383" s="165"/>
      <c r="AP383" s="164"/>
      <c r="AQ383" s="164"/>
      <c r="AR383" s="164"/>
      <c r="AS383" s="164"/>
      <c r="AT383" s="164"/>
      <c r="AU383" s="164"/>
      <c r="AV383" s="164"/>
      <c r="AW383" s="164"/>
      <c r="AX383" s="164"/>
      <c r="AY383" s="164"/>
      <c r="AZ383" s="164"/>
      <c r="BA383" s="164"/>
      <c r="BB383" s="164"/>
      <c r="BC383" s="164"/>
      <c r="BD383" s="164"/>
      <c r="BE383" s="164"/>
      <c r="BF383" s="164"/>
      <c r="BG383" s="164"/>
    </row>
    <row r="384" ht="10.5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5"/>
      <c r="AH384" s="165"/>
      <c r="AI384" s="165"/>
      <c r="AJ384" s="165"/>
      <c r="AK384" s="165"/>
      <c r="AL384" s="165"/>
      <c r="AM384" s="165"/>
      <c r="AN384" s="165"/>
      <c r="AO384" s="165"/>
      <c r="AP384" s="164"/>
      <c r="AQ384" s="164"/>
      <c r="AR384" s="164"/>
      <c r="AS384" s="164"/>
      <c r="AT384" s="164"/>
      <c r="AU384" s="164"/>
      <c r="AV384" s="164"/>
      <c r="AW384" s="164"/>
      <c r="AX384" s="164"/>
      <c r="AY384" s="164"/>
      <c r="AZ384" s="164"/>
      <c r="BA384" s="164"/>
      <c r="BB384" s="164"/>
      <c r="BC384" s="164"/>
      <c r="BD384" s="164"/>
      <c r="BE384" s="164"/>
      <c r="BF384" s="164"/>
      <c r="BG384" s="164"/>
    </row>
    <row r="385" ht="10.5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5"/>
      <c r="AH385" s="165"/>
      <c r="AI385" s="165"/>
      <c r="AJ385" s="165"/>
      <c r="AK385" s="165"/>
      <c r="AL385" s="165"/>
      <c r="AM385" s="165"/>
      <c r="AN385" s="165"/>
      <c r="AO385" s="165"/>
      <c r="AP385" s="164"/>
      <c r="AQ385" s="164"/>
      <c r="AR385" s="164"/>
      <c r="AS385" s="164"/>
      <c r="AT385" s="164"/>
      <c r="AU385" s="164"/>
      <c r="AV385" s="164"/>
      <c r="AW385" s="164"/>
      <c r="AX385" s="164"/>
      <c r="AY385" s="164"/>
      <c r="AZ385" s="164"/>
      <c r="BA385" s="164"/>
      <c r="BB385" s="164"/>
      <c r="BC385" s="164"/>
      <c r="BD385" s="164"/>
      <c r="BE385" s="164"/>
      <c r="BF385" s="164"/>
      <c r="BG385" s="164"/>
    </row>
    <row r="386" ht="10.5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5"/>
      <c r="AH386" s="165"/>
      <c r="AI386" s="165"/>
      <c r="AJ386" s="165"/>
      <c r="AK386" s="165"/>
      <c r="AL386" s="165"/>
      <c r="AM386" s="165"/>
      <c r="AN386" s="165"/>
      <c r="AO386" s="165"/>
      <c r="AP386" s="164"/>
      <c r="AQ386" s="164"/>
      <c r="AR386" s="164"/>
      <c r="AS386" s="164"/>
      <c r="AT386" s="164"/>
      <c r="AU386" s="164"/>
      <c r="AV386" s="164"/>
      <c r="AW386" s="164"/>
      <c r="AX386" s="164"/>
      <c r="AY386" s="164"/>
      <c r="AZ386" s="164"/>
      <c r="BA386" s="164"/>
      <c r="BB386" s="164"/>
      <c r="BC386" s="164"/>
      <c r="BD386" s="164"/>
      <c r="BE386" s="164"/>
      <c r="BF386" s="164"/>
      <c r="BG386" s="164"/>
    </row>
    <row r="387" ht="10.5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5"/>
      <c r="AH387" s="165"/>
      <c r="AI387" s="165"/>
      <c r="AJ387" s="165"/>
      <c r="AK387" s="165"/>
      <c r="AL387" s="165"/>
      <c r="AM387" s="165"/>
      <c r="AN387" s="165"/>
      <c r="AO387" s="165"/>
      <c r="AP387" s="164"/>
      <c r="AQ387" s="164"/>
      <c r="AR387" s="164"/>
      <c r="AS387" s="164"/>
      <c r="AT387" s="164"/>
      <c r="AU387" s="164"/>
      <c r="AV387" s="164"/>
      <c r="AW387" s="164"/>
      <c r="AX387" s="164"/>
      <c r="AY387" s="164"/>
      <c r="AZ387" s="164"/>
      <c r="BA387" s="164"/>
      <c r="BB387" s="164"/>
      <c r="BC387" s="164"/>
      <c r="BD387" s="164"/>
      <c r="BE387" s="164"/>
      <c r="BF387" s="164"/>
      <c r="BG387" s="164"/>
    </row>
    <row r="388" ht="10.5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65"/>
      <c r="K388" s="165"/>
      <c r="L388" s="165"/>
      <c r="M388" s="165"/>
      <c r="N388" s="165"/>
      <c r="O388" s="165"/>
      <c r="P388" s="165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5"/>
      <c r="AH388" s="165"/>
      <c r="AI388" s="165"/>
      <c r="AJ388" s="165"/>
      <c r="AK388" s="165"/>
      <c r="AL388" s="165"/>
      <c r="AM388" s="165"/>
      <c r="AN388" s="165"/>
      <c r="AO388" s="165"/>
      <c r="AP388" s="164"/>
      <c r="AQ388" s="164"/>
      <c r="AR388" s="164"/>
      <c r="AS388" s="164"/>
      <c r="AT388" s="164"/>
      <c r="AU388" s="164"/>
      <c r="AV388" s="164"/>
      <c r="AW388" s="164"/>
      <c r="AX388" s="164"/>
      <c r="AY388" s="164"/>
      <c r="AZ388" s="164"/>
      <c r="BA388" s="164"/>
      <c r="BB388" s="164"/>
      <c r="BC388" s="164"/>
      <c r="BD388" s="164"/>
      <c r="BE388" s="164"/>
      <c r="BF388" s="164"/>
      <c r="BG388" s="164"/>
    </row>
    <row r="389" ht="10.5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65"/>
      <c r="K389" s="165"/>
      <c r="L389" s="165"/>
      <c r="M389" s="165"/>
      <c r="N389" s="165"/>
      <c r="O389" s="165"/>
      <c r="P389" s="165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5"/>
      <c r="AH389" s="165"/>
      <c r="AI389" s="165"/>
      <c r="AJ389" s="165"/>
      <c r="AK389" s="165"/>
      <c r="AL389" s="165"/>
      <c r="AM389" s="165"/>
      <c r="AN389" s="165"/>
      <c r="AO389" s="165"/>
      <c r="AP389" s="164"/>
      <c r="AQ389" s="164"/>
      <c r="AR389" s="164"/>
      <c r="AS389" s="164"/>
      <c r="AT389" s="164"/>
      <c r="AU389" s="164"/>
      <c r="AV389" s="164"/>
      <c r="AW389" s="164"/>
      <c r="AX389" s="164"/>
      <c r="AY389" s="164"/>
      <c r="AZ389" s="164"/>
      <c r="BA389" s="164"/>
      <c r="BB389" s="164"/>
      <c r="BC389" s="164"/>
      <c r="BD389" s="164"/>
      <c r="BE389" s="164"/>
      <c r="BF389" s="164"/>
      <c r="BG389" s="164"/>
    </row>
    <row r="390" ht="10.5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65"/>
      <c r="M390" s="165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5"/>
      <c r="AH390" s="165"/>
      <c r="AI390" s="165"/>
      <c r="AJ390" s="165"/>
      <c r="AK390" s="165"/>
      <c r="AL390" s="165"/>
      <c r="AM390" s="165"/>
      <c r="AN390" s="165"/>
      <c r="AO390" s="165"/>
      <c r="AP390" s="164"/>
      <c r="AQ390" s="164"/>
      <c r="AR390" s="164"/>
      <c r="AS390" s="164"/>
      <c r="AT390" s="164"/>
      <c r="AU390" s="164"/>
      <c r="AV390" s="164"/>
      <c r="AW390" s="164"/>
      <c r="AX390" s="164"/>
      <c r="AY390" s="164"/>
      <c r="AZ390" s="164"/>
      <c r="BA390" s="164"/>
      <c r="BB390" s="164"/>
      <c r="BC390" s="164"/>
      <c r="BD390" s="164"/>
      <c r="BE390" s="164"/>
      <c r="BF390" s="164"/>
      <c r="BG390" s="164"/>
    </row>
    <row r="391" ht="10.5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65"/>
      <c r="M391" s="165"/>
      <c r="N391" s="165"/>
      <c r="O391" s="165"/>
      <c r="P391" s="165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5"/>
      <c r="AH391" s="165"/>
      <c r="AI391" s="165"/>
      <c r="AJ391" s="165"/>
      <c r="AK391" s="165"/>
      <c r="AL391" s="165"/>
      <c r="AM391" s="165"/>
      <c r="AN391" s="165"/>
      <c r="AO391" s="165"/>
      <c r="AP391" s="164"/>
      <c r="AQ391" s="164"/>
      <c r="AR391" s="164"/>
      <c r="AS391" s="164"/>
      <c r="AT391" s="164"/>
      <c r="AU391" s="164"/>
      <c r="AV391" s="164"/>
      <c r="AW391" s="164"/>
      <c r="AX391" s="164"/>
      <c r="AY391" s="164"/>
      <c r="AZ391" s="164"/>
      <c r="BA391" s="164"/>
      <c r="BB391" s="164"/>
      <c r="BC391" s="164"/>
      <c r="BD391" s="164"/>
      <c r="BE391" s="164"/>
      <c r="BF391" s="164"/>
      <c r="BG391" s="164"/>
    </row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5:E5"/>
    <mergeCell ref="G5:J5"/>
    <mergeCell ref="L5:O5"/>
    <mergeCell ref="Q5:T5"/>
    <mergeCell ref="V5:Y5"/>
    <mergeCell ref="AA5:AD5"/>
    <mergeCell ref="AF5:AI5"/>
    <mergeCell ref="AK5:AN5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E6F5"/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 outlineLevelCol="1"/>
  <cols>
    <col customWidth="1" min="1" max="1" width="40.63"/>
    <col customWidth="1" hidden="1" min="2" max="2" width="9.63" outlineLevel="1"/>
    <col collapsed="1" customWidth="1" min="3" max="3" width="9.63"/>
    <col customWidth="1" hidden="1" min="4" max="7" width="9.63" outlineLevel="1"/>
    <col collapsed="1" customWidth="1" min="8" max="8" width="9.63"/>
    <col customWidth="1" hidden="1" min="9" max="12" width="9.63" outlineLevel="1"/>
    <col collapsed="1" customWidth="1" min="13" max="13" width="9.63"/>
    <col customWidth="1" hidden="1" min="14" max="17" width="9.63" outlineLevel="1"/>
    <col collapsed="1" customWidth="1" min="18" max="18" width="9.63"/>
    <col customWidth="1" hidden="1" min="19" max="22" width="9.63" outlineLevel="1"/>
    <col collapsed="1" customWidth="1" min="23" max="23" width="9.63"/>
    <col customWidth="1" hidden="1" min="24" max="27" width="9.63" outlineLevel="1"/>
    <col collapsed="1" customWidth="1" min="28" max="28" width="9.63"/>
    <col customWidth="1" hidden="1" min="29" max="32" width="9.63" outlineLevel="1"/>
    <col collapsed="1" customWidth="1" min="33" max="33" width="9.63"/>
    <col customWidth="1" hidden="1" min="34" max="37" width="9.63" outlineLevel="1"/>
    <col collapsed="1" customWidth="1" min="38" max="38" width="9.63"/>
  </cols>
  <sheetData>
    <row r="1" ht="10.5" customHeight="1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4"/>
      <c r="N1" s="165"/>
      <c r="O1" s="165"/>
      <c r="P1" s="165"/>
      <c r="Q1" s="165"/>
      <c r="R1" s="164"/>
      <c r="S1" s="165"/>
      <c r="T1" s="165"/>
      <c r="U1" s="165"/>
      <c r="V1" s="165"/>
      <c r="W1" s="164"/>
      <c r="X1" s="165"/>
      <c r="Y1" s="165"/>
      <c r="Z1" s="165"/>
      <c r="AA1" s="165"/>
      <c r="AB1" s="164"/>
      <c r="AC1" s="165"/>
      <c r="AD1" s="165"/>
      <c r="AE1" s="165"/>
      <c r="AF1" s="165"/>
      <c r="AG1" s="164"/>
      <c r="AH1" s="165"/>
      <c r="AI1" s="165"/>
      <c r="AJ1" s="165"/>
      <c r="AK1" s="165"/>
      <c r="AL1" s="164"/>
    </row>
    <row r="2" ht="10.5" customHeight="1">
      <c r="A2" s="166" t="s">
        <v>142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</row>
    <row r="3" ht="10.5" customHeight="1">
      <c r="A3" s="168" t="s">
        <v>298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</row>
    <row r="4" ht="10.5" customHeight="1">
      <c r="A4" s="164" t="s">
        <v>299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</row>
    <row r="5" ht="10.5" customHeight="1">
      <c r="A5" s="164"/>
      <c r="B5" s="297"/>
      <c r="C5" s="176" t="s">
        <v>145</v>
      </c>
      <c r="D5" s="173" t="s">
        <v>146</v>
      </c>
      <c r="E5" s="174"/>
      <c r="F5" s="174"/>
      <c r="G5" s="175"/>
      <c r="H5" s="176" t="s">
        <v>146</v>
      </c>
      <c r="I5" s="173" t="s">
        <v>147</v>
      </c>
      <c r="J5" s="174"/>
      <c r="K5" s="174"/>
      <c r="L5" s="175"/>
      <c r="M5" s="177">
        <v>2025.0</v>
      </c>
      <c r="N5" s="178">
        <f>M5+1</f>
        <v>2026</v>
      </c>
      <c r="O5" s="174"/>
      <c r="P5" s="174"/>
      <c r="Q5" s="175"/>
      <c r="R5" s="177">
        <f>N5</f>
        <v>2026</v>
      </c>
      <c r="S5" s="178">
        <f>R5+1</f>
        <v>2027</v>
      </c>
      <c r="T5" s="174"/>
      <c r="U5" s="174"/>
      <c r="V5" s="175"/>
      <c r="W5" s="177">
        <f>S5</f>
        <v>2027</v>
      </c>
      <c r="X5" s="178">
        <f>W5+1</f>
        <v>2028</v>
      </c>
      <c r="Y5" s="174"/>
      <c r="Z5" s="174"/>
      <c r="AA5" s="175"/>
      <c r="AB5" s="177">
        <f>X5</f>
        <v>2028</v>
      </c>
      <c r="AC5" s="178">
        <f>AB5+1</f>
        <v>2029</v>
      </c>
      <c r="AD5" s="174"/>
      <c r="AE5" s="174"/>
      <c r="AF5" s="175"/>
      <c r="AG5" s="177">
        <f>AC5</f>
        <v>2029</v>
      </c>
      <c r="AH5" s="178">
        <f>AG5+1</f>
        <v>2030</v>
      </c>
      <c r="AI5" s="174"/>
      <c r="AJ5" s="174"/>
      <c r="AK5" s="175"/>
      <c r="AL5" s="177">
        <f>AH5</f>
        <v>2030</v>
      </c>
    </row>
    <row r="6" ht="10.5" customHeight="1">
      <c r="A6" s="164"/>
      <c r="B6" s="179" t="s">
        <v>151</v>
      </c>
      <c r="C6" s="180" t="s">
        <v>152</v>
      </c>
      <c r="D6" s="179" t="s">
        <v>148</v>
      </c>
      <c r="E6" s="179" t="s">
        <v>149</v>
      </c>
      <c r="F6" s="179" t="s">
        <v>150</v>
      </c>
      <c r="G6" s="179" t="s">
        <v>151</v>
      </c>
      <c r="H6" s="180" t="s">
        <v>152</v>
      </c>
      <c r="I6" s="179" t="s">
        <v>148</v>
      </c>
      <c r="J6" s="179" t="s">
        <v>149</v>
      </c>
      <c r="K6" s="179" t="s">
        <v>150</v>
      </c>
      <c r="L6" s="179" t="s">
        <v>153</v>
      </c>
      <c r="M6" s="180" t="s">
        <v>152</v>
      </c>
      <c r="N6" s="179" t="s">
        <v>154</v>
      </c>
      <c r="O6" s="179" t="s">
        <v>155</v>
      </c>
      <c r="P6" s="179" t="s">
        <v>156</v>
      </c>
      <c r="Q6" s="179" t="s">
        <v>153</v>
      </c>
      <c r="R6" s="180" t="s">
        <v>152</v>
      </c>
      <c r="S6" s="179" t="s">
        <v>154</v>
      </c>
      <c r="T6" s="179" t="s">
        <v>155</v>
      </c>
      <c r="U6" s="179" t="s">
        <v>156</v>
      </c>
      <c r="V6" s="179" t="s">
        <v>153</v>
      </c>
      <c r="W6" s="180" t="s">
        <v>152</v>
      </c>
      <c r="X6" s="179" t="s">
        <v>154</v>
      </c>
      <c r="Y6" s="179" t="s">
        <v>155</v>
      </c>
      <c r="Z6" s="179" t="s">
        <v>156</v>
      </c>
      <c r="AA6" s="179" t="s">
        <v>153</v>
      </c>
      <c r="AB6" s="180" t="s">
        <v>152</v>
      </c>
      <c r="AC6" s="179" t="s">
        <v>154</v>
      </c>
      <c r="AD6" s="179" t="s">
        <v>155</v>
      </c>
      <c r="AE6" s="179" t="s">
        <v>156</v>
      </c>
      <c r="AF6" s="179" t="s">
        <v>153</v>
      </c>
      <c r="AG6" s="180" t="s">
        <v>152</v>
      </c>
      <c r="AH6" s="179" t="s">
        <v>154</v>
      </c>
      <c r="AI6" s="179" t="s">
        <v>155</v>
      </c>
      <c r="AJ6" s="179" t="s">
        <v>156</v>
      </c>
      <c r="AK6" s="179" t="s">
        <v>153</v>
      </c>
      <c r="AL6" s="180" t="s">
        <v>152</v>
      </c>
    </row>
    <row r="7" ht="10.5" customHeight="1">
      <c r="A7" s="181" t="s">
        <v>300</v>
      </c>
      <c r="B7" s="165"/>
      <c r="C7" s="207"/>
      <c r="D7" s="165"/>
      <c r="E7" s="165"/>
      <c r="F7" s="165"/>
      <c r="G7" s="165"/>
      <c r="H7" s="207"/>
      <c r="I7" s="165"/>
      <c r="J7" s="165"/>
      <c r="K7" s="165"/>
      <c r="L7" s="165"/>
      <c r="M7" s="182"/>
      <c r="N7" s="165"/>
      <c r="O7" s="165"/>
      <c r="P7" s="165"/>
      <c r="Q7" s="165"/>
      <c r="R7" s="182"/>
      <c r="S7" s="165"/>
      <c r="T7" s="165"/>
      <c r="U7" s="165"/>
      <c r="V7" s="165"/>
      <c r="W7" s="182"/>
      <c r="X7" s="165"/>
      <c r="Y7" s="165"/>
      <c r="Z7" s="165"/>
      <c r="AA7" s="165"/>
      <c r="AB7" s="182"/>
      <c r="AC7" s="165"/>
      <c r="AD7" s="165"/>
      <c r="AE7" s="165"/>
      <c r="AF7" s="165"/>
      <c r="AG7" s="182"/>
      <c r="AH7" s="165"/>
      <c r="AI7" s="165"/>
      <c r="AJ7" s="165"/>
      <c r="AK7" s="165"/>
      <c r="AL7" s="182"/>
    </row>
    <row r="8" ht="10.5" customHeight="1">
      <c r="A8" s="181" t="s">
        <v>301</v>
      </c>
      <c r="B8" s="165"/>
      <c r="C8" s="207"/>
      <c r="D8" s="165"/>
      <c r="E8" s="165"/>
      <c r="F8" s="165"/>
      <c r="G8" s="165"/>
      <c r="H8" s="207"/>
      <c r="I8" s="165"/>
      <c r="J8" s="165"/>
      <c r="K8" s="165"/>
      <c r="L8" s="165"/>
      <c r="M8" s="182"/>
      <c r="N8" s="165"/>
      <c r="O8" s="165"/>
      <c r="P8" s="165"/>
      <c r="Q8" s="165"/>
      <c r="R8" s="182"/>
      <c r="S8" s="165"/>
      <c r="T8" s="165"/>
      <c r="U8" s="165"/>
      <c r="V8" s="165"/>
      <c r="W8" s="182"/>
      <c r="X8" s="165"/>
      <c r="Y8" s="165"/>
      <c r="Z8" s="165"/>
      <c r="AA8" s="165"/>
      <c r="AB8" s="182"/>
      <c r="AC8" s="165"/>
      <c r="AD8" s="165"/>
      <c r="AE8" s="165"/>
      <c r="AF8" s="165"/>
      <c r="AG8" s="182"/>
      <c r="AH8" s="165"/>
      <c r="AI8" s="165"/>
      <c r="AJ8" s="165"/>
      <c r="AK8" s="165"/>
      <c r="AL8" s="182"/>
    </row>
    <row r="9" ht="10.5" customHeight="1">
      <c r="A9" s="183" t="s">
        <v>302</v>
      </c>
      <c r="B9" s="184">
        <v>275.842</v>
      </c>
      <c r="C9" s="185">
        <f t="shared" ref="C9:C19" si="1">B9</f>
        <v>275.842</v>
      </c>
      <c r="D9" s="184">
        <v>301.707</v>
      </c>
      <c r="E9" s="184">
        <v>246.961</v>
      </c>
      <c r="F9" s="184">
        <v>298.783</v>
      </c>
      <c r="G9" s="184">
        <v>293.15</v>
      </c>
      <c r="H9" s="185">
        <f>'Cash Flow Statement'!K75-H10</f>
        <v>293.15</v>
      </c>
      <c r="I9" s="184">
        <v>343.91</v>
      </c>
      <c r="J9" s="184">
        <v>335.723</v>
      </c>
      <c r="K9" s="184">
        <v>329.02</v>
      </c>
      <c r="L9" s="186">
        <f>'Cash Flow Statement'!O75-L10</f>
        <v>332.0820827</v>
      </c>
      <c r="M9" s="185">
        <f>'Cash Flow Statement'!P75-M10</f>
        <v>332.0820827</v>
      </c>
      <c r="N9" s="186">
        <f>'Cash Flow Statement'!Q75-N10</f>
        <v>463.8942668</v>
      </c>
      <c r="O9" s="186">
        <f>'Cash Flow Statement'!R75-O10</f>
        <v>523.8657599</v>
      </c>
      <c r="P9" s="186">
        <f>'Cash Flow Statement'!S75-P10</f>
        <v>560.1658214</v>
      </c>
      <c r="Q9" s="186">
        <f>'Cash Flow Statement'!T75-Q10</f>
        <v>607.6850969</v>
      </c>
      <c r="R9" s="185">
        <f>'Cash Flow Statement'!U75-R10</f>
        <v>607.6850969</v>
      </c>
      <c r="S9" s="186">
        <f>'Cash Flow Statement'!V75-S10</f>
        <v>757.3607168</v>
      </c>
      <c r="T9" s="186">
        <f>'Cash Flow Statement'!W75-T10</f>
        <v>822.9975885</v>
      </c>
      <c r="U9" s="186">
        <f>'Cash Flow Statement'!X75-U10</f>
        <v>879.7965932</v>
      </c>
      <c r="V9" s="186">
        <f>'Cash Flow Statement'!Y75-V10</f>
        <v>940.0492375</v>
      </c>
      <c r="W9" s="185">
        <f>'Cash Flow Statement'!Z75-W10</f>
        <v>940.0492375</v>
      </c>
      <c r="X9" s="186">
        <f>'Cash Flow Statement'!AA75-X10</f>
        <v>1111.651751</v>
      </c>
      <c r="Y9" s="186">
        <f>'Cash Flow Statement'!AB75-Y10</f>
        <v>1187.285841</v>
      </c>
      <c r="Z9" s="186">
        <f>'Cash Flow Statement'!AC75-Z10</f>
        <v>1254.235494</v>
      </c>
      <c r="AA9" s="186">
        <f>'Cash Flow Statement'!AD75-AA10</f>
        <v>1322.923518</v>
      </c>
      <c r="AB9" s="185">
        <f>'Cash Flow Statement'!AE75-AB10</f>
        <v>1322.923518</v>
      </c>
      <c r="AC9" s="186">
        <f>'Cash Flow Statement'!AF75-AC10</f>
        <v>1526.02901</v>
      </c>
      <c r="AD9" s="186">
        <f>'Cash Flow Statement'!AG75-AD10</f>
        <v>1616.259444</v>
      </c>
      <c r="AE9" s="186">
        <f>'Cash Flow Statement'!AH75-AE10</f>
        <v>1693.409136</v>
      </c>
      <c r="AF9" s="186">
        <f>'Cash Flow Statement'!AI75-AF10</f>
        <v>1773.150952</v>
      </c>
      <c r="AG9" s="185">
        <f>'Cash Flow Statement'!AJ75-AG10</f>
        <v>1773.150952</v>
      </c>
      <c r="AH9" s="186">
        <f>'Cash Flow Statement'!AK75-AH10</f>
        <v>1996.744823</v>
      </c>
      <c r="AI9" s="186">
        <f>'Cash Flow Statement'!AL75-AI10</f>
        <v>2097.250028</v>
      </c>
      <c r="AJ9" s="186">
        <f>'Cash Flow Statement'!AM75-AJ10</f>
        <v>2183.894744</v>
      </c>
      <c r="AK9" s="186">
        <f>'Cash Flow Statement'!AN75-AK10</f>
        <v>2272.838403</v>
      </c>
      <c r="AL9" s="185">
        <f>'Cash Flow Statement'!AO75-AL10</f>
        <v>2272.838403</v>
      </c>
    </row>
    <row r="10" ht="10.5" customHeight="1">
      <c r="A10" s="183" t="s">
        <v>303</v>
      </c>
      <c r="B10" s="184">
        <v>46.279</v>
      </c>
      <c r="C10" s="185">
        <f t="shared" si="1"/>
        <v>46.279</v>
      </c>
      <c r="D10" s="184">
        <v>46.19</v>
      </c>
      <c r="E10" s="184">
        <v>47.8</v>
      </c>
      <c r="F10" s="184">
        <v>67.766</v>
      </c>
      <c r="G10" s="184">
        <v>56.524</v>
      </c>
      <c r="H10" s="185">
        <f t="shared" ref="H10:H19" si="3">G10</f>
        <v>56.524</v>
      </c>
      <c r="I10" s="184">
        <v>56.581</v>
      </c>
      <c r="J10" s="184">
        <v>56.452</v>
      </c>
      <c r="K10" s="184">
        <v>56.388</v>
      </c>
      <c r="L10" s="186">
        <f t="shared" ref="L10:AL10" si="2">K10</f>
        <v>56.388</v>
      </c>
      <c r="M10" s="185">
        <f t="shared" si="2"/>
        <v>56.388</v>
      </c>
      <c r="N10" s="186">
        <f t="shared" si="2"/>
        <v>56.388</v>
      </c>
      <c r="O10" s="186">
        <f t="shared" si="2"/>
        <v>56.388</v>
      </c>
      <c r="P10" s="186">
        <f t="shared" si="2"/>
        <v>56.388</v>
      </c>
      <c r="Q10" s="186">
        <f t="shared" si="2"/>
        <v>56.388</v>
      </c>
      <c r="R10" s="185">
        <f t="shared" si="2"/>
        <v>56.388</v>
      </c>
      <c r="S10" s="186">
        <f t="shared" si="2"/>
        <v>56.388</v>
      </c>
      <c r="T10" s="186">
        <f t="shared" si="2"/>
        <v>56.388</v>
      </c>
      <c r="U10" s="186">
        <f t="shared" si="2"/>
        <v>56.388</v>
      </c>
      <c r="V10" s="186">
        <f t="shared" si="2"/>
        <v>56.388</v>
      </c>
      <c r="W10" s="185">
        <f t="shared" si="2"/>
        <v>56.388</v>
      </c>
      <c r="X10" s="186">
        <f t="shared" si="2"/>
        <v>56.388</v>
      </c>
      <c r="Y10" s="186">
        <f t="shared" si="2"/>
        <v>56.388</v>
      </c>
      <c r="Z10" s="186">
        <f t="shared" si="2"/>
        <v>56.388</v>
      </c>
      <c r="AA10" s="186">
        <f t="shared" si="2"/>
        <v>56.388</v>
      </c>
      <c r="AB10" s="185">
        <f t="shared" si="2"/>
        <v>56.388</v>
      </c>
      <c r="AC10" s="186">
        <f t="shared" si="2"/>
        <v>56.388</v>
      </c>
      <c r="AD10" s="186">
        <f t="shared" si="2"/>
        <v>56.388</v>
      </c>
      <c r="AE10" s="186">
        <f t="shared" si="2"/>
        <v>56.388</v>
      </c>
      <c r="AF10" s="186">
        <f t="shared" si="2"/>
        <v>56.388</v>
      </c>
      <c r="AG10" s="185">
        <f t="shared" si="2"/>
        <v>56.388</v>
      </c>
      <c r="AH10" s="186">
        <f t="shared" si="2"/>
        <v>56.388</v>
      </c>
      <c r="AI10" s="186">
        <f t="shared" si="2"/>
        <v>56.388</v>
      </c>
      <c r="AJ10" s="186">
        <f t="shared" si="2"/>
        <v>56.388</v>
      </c>
      <c r="AK10" s="186">
        <f t="shared" si="2"/>
        <v>56.388</v>
      </c>
      <c r="AL10" s="185">
        <f t="shared" si="2"/>
        <v>56.388</v>
      </c>
    </row>
    <row r="11" ht="10.5" customHeight="1">
      <c r="A11" s="183" t="s">
        <v>304</v>
      </c>
      <c r="B11" s="184">
        <v>74.901</v>
      </c>
      <c r="C11" s="185">
        <f t="shared" si="1"/>
        <v>74.901</v>
      </c>
      <c r="D11" s="184">
        <v>93.362</v>
      </c>
      <c r="E11" s="184">
        <v>103.197</v>
      </c>
      <c r="F11" s="184">
        <v>108.629</v>
      </c>
      <c r="G11" s="184">
        <v>114.163</v>
      </c>
      <c r="H11" s="185">
        <f t="shared" si="3"/>
        <v>114.163</v>
      </c>
      <c r="I11" s="184">
        <v>109.718</v>
      </c>
      <c r="J11" s="184">
        <v>106.998</v>
      </c>
      <c r="K11" s="184">
        <v>114.363</v>
      </c>
      <c r="L11" s="186">
        <f t="shared" ref="L11:AL11" si="4">K11</f>
        <v>114.363</v>
      </c>
      <c r="M11" s="185">
        <f t="shared" si="4"/>
        <v>114.363</v>
      </c>
      <c r="N11" s="186">
        <f t="shared" si="4"/>
        <v>114.363</v>
      </c>
      <c r="O11" s="186">
        <f t="shared" si="4"/>
        <v>114.363</v>
      </c>
      <c r="P11" s="186">
        <f t="shared" si="4"/>
        <v>114.363</v>
      </c>
      <c r="Q11" s="186">
        <f t="shared" si="4"/>
        <v>114.363</v>
      </c>
      <c r="R11" s="185">
        <f t="shared" si="4"/>
        <v>114.363</v>
      </c>
      <c r="S11" s="186">
        <f t="shared" si="4"/>
        <v>114.363</v>
      </c>
      <c r="T11" s="186">
        <f t="shared" si="4"/>
        <v>114.363</v>
      </c>
      <c r="U11" s="186">
        <f t="shared" si="4"/>
        <v>114.363</v>
      </c>
      <c r="V11" s="186">
        <f t="shared" si="4"/>
        <v>114.363</v>
      </c>
      <c r="W11" s="185">
        <f t="shared" si="4"/>
        <v>114.363</v>
      </c>
      <c r="X11" s="186">
        <f t="shared" si="4"/>
        <v>114.363</v>
      </c>
      <c r="Y11" s="186">
        <f t="shared" si="4"/>
        <v>114.363</v>
      </c>
      <c r="Z11" s="186">
        <f t="shared" si="4"/>
        <v>114.363</v>
      </c>
      <c r="AA11" s="186">
        <f t="shared" si="4"/>
        <v>114.363</v>
      </c>
      <c r="AB11" s="185">
        <f t="shared" si="4"/>
        <v>114.363</v>
      </c>
      <c r="AC11" s="186">
        <f t="shared" si="4"/>
        <v>114.363</v>
      </c>
      <c r="AD11" s="186">
        <f t="shared" si="4"/>
        <v>114.363</v>
      </c>
      <c r="AE11" s="186">
        <f t="shared" si="4"/>
        <v>114.363</v>
      </c>
      <c r="AF11" s="186">
        <f t="shared" si="4"/>
        <v>114.363</v>
      </c>
      <c r="AG11" s="185">
        <f t="shared" si="4"/>
        <v>114.363</v>
      </c>
      <c r="AH11" s="186">
        <f t="shared" si="4"/>
        <v>114.363</v>
      </c>
      <c r="AI11" s="186">
        <f t="shared" si="4"/>
        <v>114.363</v>
      </c>
      <c r="AJ11" s="186">
        <f t="shared" si="4"/>
        <v>114.363</v>
      </c>
      <c r="AK11" s="186">
        <f t="shared" si="4"/>
        <v>114.363</v>
      </c>
      <c r="AL11" s="185">
        <f t="shared" si="4"/>
        <v>114.363</v>
      </c>
    </row>
    <row r="12" ht="10.5" customHeight="1">
      <c r="A12" s="183" t="s">
        <v>305</v>
      </c>
      <c r="B12" s="184">
        <v>41.89</v>
      </c>
      <c r="C12" s="185">
        <f t="shared" si="1"/>
        <v>41.89</v>
      </c>
      <c r="D12" s="184">
        <v>23.837</v>
      </c>
      <c r="E12" s="184">
        <v>41.334</v>
      </c>
      <c r="F12" s="184">
        <v>48.958</v>
      </c>
      <c r="G12" s="184">
        <v>77.145</v>
      </c>
      <c r="H12" s="185">
        <f t="shared" si="3"/>
        <v>77.145</v>
      </c>
      <c r="I12" s="184">
        <v>38.643</v>
      </c>
      <c r="J12" s="184">
        <v>72.847</v>
      </c>
      <c r="K12" s="184">
        <v>70.425</v>
      </c>
      <c r="L12" s="186">
        <f>Assumptions!O162</f>
        <v>85.45987271</v>
      </c>
      <c r="M12" s="185">
        <f>L12</f>
        <v>85.45987271</v>
      </c>
      <c r="N12" s="186">
        <f>Assumptions!Q162</f>
        <v>43.10297514</v>
      </c>
      <c r="O12" s="186">
        <f>Assumptions!R162</f>
        <v>81.38158687</v>
      </c>
      <c r="P12" s="186">
        <f>Assumptions!S162</f>
        <v>46.31556344</v>
      </c>
      <c r="Q12" s="186">
        <f>Assumptions!T162</f>
        <v>162.1232921</v>
      </c>
      <c r="R12" s="185">
        <f>Q12</f>
        <v>162.1232921</v>
      </c>
      <c r="S12" s="186">
        <f>Assumptions!V162</f>
        <v>48.7647407</v>
      </c>
      <c r="T12" s="186">
        <f>Assumptions!W162</f>
        <v>91.42260499</v>
      </c>
      <c r="U12" s="186">
        <f>Assumptions!X162</f>
        <v>51.65459704</v>
      </c>
      <c r="V12" s="186">
        <f>Assumptions!Y162</f>
        <v>182.1476393</v>
      </c>
      <c r="W12" s="185">
        <f>V12</f>
        <v>182.1476393</v>
      </c>
      <c r="X12" s="186">
        <f>Assumptions!AA162</f>
        <v>53.86993363</v>
      </c>
      <c r="Y12" s="186">
        <f>Assumptions!AB162</f>
        <v>100.625698</v>
      </c>
      <c r="Z12" s="186">
        <f>Assumptions!AC162</f>
        <v>56.68145327</v>
      </c>
      <c r="AA12" s="186">
        <f>Assumptions!AD162</f>
        <v>200.2415723</v>
      </c>
      <c r="AB12" s="185">
        <f>AA12</f>
        <v>200.2415723</v>
      </c>
      <c r="AC12" s="186">
        <f>Assumptions!AF162</f>
        <v>58.78295235</v>
      </c>
      <c r="AD12" s="186">
        <f>Assumptions!AG162</f>
        <v>109.5067662</v>
      </c>
      <c r="AE12" s="186">
        <f>Assumptions!AH162</f>
        <v>61.50701028</v>
      </c>
      <c r="AF12" s="186">
        <f>Assumptions!AI162</f>
        <v>217.5225732</v>
      </c>
      <c r="AG12" s="185">
        <f>AF12</f>
        <v>217.5225732</v>
      </c>
      <c r="AH12" s="186">
        <f>Assumptions!AK162</f>
        <v>63.36913785</v>
      </c>
      <c r="AI12" s="186">
        <f>Assumptions!AL162</f>
        <v>117.7220889</v>
      </c>
      <c r="AJ12" s="186">
        <f>Assumptions!AM162</f>
        <v>65.97286248</v>
      </c>
      <c r="AK12" s="186">
        <f>Assumptions!AN162</f>
        <v>233.9722178</v>
      </c>
      <c r="AL12" s="185">
        <f>AK12</f>
        <v>233.9722178</v>
      </c>
    </row>
    <row r="13" ht="10.5" customHeight="1">
      <c r="A13" s="183" t="s">
        <v>306</v>
      </c>
      <c r="B13" s="184">
        <v>0.0</v>
      </c>
      <c r="C13" s="185">
        <f t="shared" si="1"/>
        <v>0</v>
      </c>
      <c r="D13" s="184">
        <v>0.0</v>
      </c>
      <c r="E13" s="184">
        <v>0.0</v>
      </c>
      <c r="F13" s="184">
        <v>0.0</v>
      </c>
      <c r="G13" s="184">
        <v>0.0</v>
      </c>
      <c r="H13" s="185">
        <f t="shared" si="3"/>
        <v>0</v>
      </c>
      <c r="I13" s="184">
        <v>0.0</v>
      </c>
      <c r="J13" s="184">
        <f>I13</f>
        <v>0</v>
      </c>
      <c r="K13" s="184">
        <v>0.0</v>
      </c>
      <c r="L13" s="186">
        <f t="shared" ref="L13:AL13" si="5">K13</f>
        <v>0</v>
      </c>
      <c r="M13" s="185">
        <f t="shared" si="5"/>
        <v>0</v>
      </c>
      <c r="N13" s="186">
        <f t="shared" si="5"/>
        <v>0</v>
      </c>
      <c r="O13" s="186">
        <f t="shared" si="5"/>
        <v>0</v>
      </c>
      <c r="P13" s="186">
        <f t="shared" si="5"/>
        <v>0</v>
      </c>
      <c r="Q13" s="186">
        <f t="shared" si="5"/>
        <v>0</v>
      </c>
      <c r="R13" s="185">
        <f t="shared" si="5"/>
        <v>0</v>
      </c>
      <c r="S13" s="186">
        <f t="shared" si="5"/>
        <v>0</v>
      </c>
      <c r="T13" s="186">
        <f t="shared" si="5"/>
        <v>0</v>
      </c>
      <c r="U13" s="186">
        <f t="shared" si="5"/>
        <v>0</v>
      </c>
      <c r="V13" s="186">
        <f t="shared" si="5"/>
        <v>0</v>
      </c>
      <c r="W13" s="185">
        <f t="shared" si="5"/>
        <v>0</v>
      </c>
      <c r="X13" s="186">
        <f t="shared" si="5"/>
        <v>0</v>
      </c>
      <c r="Y13" s="186">
        <f t="shared" si="5"/>
        <v>0</v>
      </c>
      <c r="Z13" s="186">
        <f t="shared" si="5"/>
        <v>0</v>
      </c>
      <c r="AA13" s="186">
        <f t="shared" si="5"/>
        <v>0</v>
      </c>
      <c r="AB13" s="185">
        <f t="shared" si="5"/>
        <v>0</v>
      </c>
      <c r="AC13" s="186">
        <f t="shared" si="5"/>
        <v>0</v>
      </c>
      <c r="AD13" s="186">
        <f t="shared" si="5"/>
        <v>0</v>
      </c>
      <c r="AE13" s="186">
        <f t="shared" si="5"/>
        <v>0</v>
      </c>
      <c r="AF13" s="186">
        <f t="shared" si="5"/>
        <v>0</v>
      </c>
      <c r="AG13" s="185">
        <f t="shared" si="5"/>
        <v>0</v>
      </c>
      <c r="AH13" s="186">
        <f t="shared" si="5"/>
        <v>0</v>
      </c>
      <c r="AI13" s="186">
        <f t="shared" si="5"/>
        <v>0</v>
      </c>
      <c r="AJ13" s="186">
        <f t="shared" si="5"/>
        <v>0</v>
      </c>
      <c r="AK13" s="186">
        <f t="shared" si="5"/>
        <v>0</v>
      </c>
      <c r="AL13" s="185">
        <f t="shared" si="5"/>
        <v>0</v>
      </c>
    </row>
    <row r="14" ht="10.5" customHeight="1">
      <c r="A14" s="183" t="s">
        <v>75</v>
      </c>
      <c r="B14" s="184">
        <v>4.677</v>
      </c>
      <c r="C14" s="185">
        <f t="shared" si="1"/>
        <v>4.677</v>
      </c>
      <c r="D14" s="184">
        <v>4.959</v>
      </c>
      <c r="E14" s="184">
        <v>5.2</v>
      </c>
      <c r="F14" s="184">
        <v>4.858</v>
      </c>
      <c r="G14" s="184">
        <v>6.146</v>
      </c>
      <c r="H14" s="185">
        <f t="shared" si="3"/>
        <v>6.146</v>
      </c>
      <c r="I14" s="184">
        <v>1.974</v>
      </c>
      <c r="J14" s="184">
        <v>4.347</v>
      </c>
      <c r="K14" s="184">
        <v>6.982</v>
      </c>
      <c r="L14" s="186">
        <f>Assumptions!O167</f>
        <v>7.02911495</v>
      </c>
      <c r="M14" s="185">
        <f>L14</f>
        <v>7.02911495</v>
      </c>
      <c r="N14" s="186">
        <f>Assumptions!Q167</f>
        <v>2.232356286</v>
      </c>
      <c r="O14" s="186">
        <f>Assumptions!R167</f>
        <v>4.860593036</v>
      </c>
      <c r="P14" s="186">
        <f>Assumptions!S167</f>
        <v>4.213417578</v>
      </c>
      <c r="Q14" s="186">
        <f>Assumptions!T167</f>
        <v>14.00709753</v>
      </c>
      <c r="R14" s="185">
        <f>Q14</f>
        <v>14.00709753</v>
      </c>
      <c r="S14" s="186">
        <f>Assumptions!V167</f>
        <v>2.446319456</v>
      </c>
      <c r="T14" s="186">
        <f>Assumptions!W167</f>
        <v>5.295121576</v>
      </c>
      <c r="U14" s="186">
        <f>Assumptions!X167</f>
        <v>4.561048872</v>
      </c>
      <c r="V14" s="186">
        <f>Assumptions!Y167</f>
        <v>15.2331278</v>
      </c>
      <c r="W14" s="185">
        <f>V14</f>
        <v>15.2331278</v>
      </c>
      <c r="X14" s="186">
        <f>Assumptions!AA167</f>
        <v>2.6390659</v>
      </c>
      <c r="Y14" s="186">
        <f>Assumptions!AB167</f>
        <v>5.738141119</v>
      </c>
      <c r="Z14" s="186">
        <f>Assumptions!AC167</f>
        <v>4.964913682</v>
      </c>
      <c r="AA14" s="186">
        <f>Assumptions!AD167</f>
        <v>16.47256879</v>
      </c>
      <c r="AB14" s="185">
        <f>AA14</f>
        <v>16.47256879</v>
      </c>
      <c r="AC14" s="186">
        <f>Assumptions!AF167</f>
        <v>2.878428029</v>
      </c>
      <c r="AD14" s="186">
        <f>Assumptions!AG167</f>
        <v>6.241316296</v>
      </c>
      <c r="AE14" s="186">
        <f>Assumptions!AH167</f>
        <v>5.384269194</v>
      </c>
      <c r="AF14" s="186">
        <f>Assumptions!AI167</f>
        <v>17.86706289</v>
      </c>
      <c r="AG14" s="185">
        <f>AF14</f>
        <v>17.86706289</v>
      </c>
      <c r="AH14" s="186">
        <f>Assumptions!AK167</f>
        <v>3.101851197</v>
      </c>
      <c r="AI14" s="186">
        <f>Assumptions!AL167</f>
        <v>6.706597072</v>
      </c>
      <c r="AJ14" s="186">
        <f>Assumptions!AM167</f>
        <v>5.772225009</v>
      </c>
      <c r="AK14" s="186">
        <f>Assumptions!AN167</f>
        <v>19.18816503</v>
      </c>
      <c r="AL14" s="185">
        <f>AK14</f>
        <v>19.18816503</v>
      </c>
    </row>
    <row r="15" ht="10.5" customHeight="1">
      <c r="A15" s="183" t="s">
        <v>307</v>
      </c>
      <c r="B15" s="184">
        <v>0.0</v>
      </c>
      <c r="C15" s="185">
        <f t="shared" si="1"/>
        <v>0</v>
      </c>
      <c r="D15" s="184">
        <v>17.945</v>
      </c>
      <c r="E15" s="184">
        <v>12.268</v>
      </c>
      <c r="F15" s="184">
        <v>0.363</v>
      </c>
      <c r="G15" s="184">
        <v>0.0</v>
      </c>
      <c r="H15" s="185">
        <f t="shared" si="3"/>
        <v>0</v>
      </c>
      <c r="I15" s="184">
        <v>16.67</v>
      </c>
      <c r="J15" s="184">
        <v>9.071</v>
      </c>
      <c r="K15" s="184">
        <v>0.0</v>
      </c>
      <c r="L15" s="186">
        <f t="shared" ref="L15:AL15" si="6">K15</f>
        <v>0</v>
      </c>
      <c r="M15" s="185">
        <f t="shared" si="6"/>
        <v>0</v>
      </c>
      <c r="N15" s="186">
        <f t="shared" si="6"/>
        <v>0</v>
      </c>
      <c r="O15" s="186">
        <f t="shared" si="6"/>
        <v>0</v>
      </c>
      <c r="P15" s="186">
        <f t="shared" si="6"/>
        <v>0</v>
      </c>
      <c r="Q15" s="186">
        <f t="shared" si="6"/>
        <v>0</v>
      </c>
      <c r="R15" s="185">
        <f t="shared" si="6"/>
        <v>0</v>
      </c>
      <c r="S15" s="186">
        <f t="shared" si="6"/>
        <v>0</v>
      </c>
      <c r="T15" s="186">
        <f t="shared" si="6"/>
        <v>0</v>
      </c>
      <c r="U15" s="186">
        <f t="shared" si="6"/>
        <v>0</v>
      </c>
      <c r="V15" s="186">
        <f t="shared" si="6"/>
        <v>0</v>
      </c>
      <c r="W15" s="185">
        <f t="shared" si="6"/>
        <v>0</v>
      </c>
      <c r="X15" s="186">
        <f t="shared" si="6"/>
        <v>0</v>
      </c>
      <c r="Y15" s="186">
        <f t="shared" si="6"/>
        <v>0</v>
      </c>
      <c r="Z15" s="186">
        <f t="shared" si="6"/>
        <v>0</v>
      </c>
      <c r="AA15" s="186">
        <f t="shared" si="6"/>
        <v>0</v>
      </c>
      <c r="AB15" s="185">
        <f t="shared" si="6"/>
        <v>0</v>
      </c>
      <c r="AC15" s="186">
        <f t="shared" si="6"/>
        <v>0</v>
      </c>
      <c r="AD15" s="186">
        <f t="shared" si="6"/>
        <v>0</v>
      </c>
      <c r="AE15" s="186">
        <f t="shared" si="6"/>
        <v>0</v>
      </c>
      <c r="AF15" s="186">
        <f t="shared" si="6"/>
        <v>0</v>
      </c>
      <c r="AG15" s="185">
        <f t="shared" si="6"/>
        <v>0</v>
      </c>
      <c r="AH15" s="186">
        <f t="shared" si="6"/>
        <v>0</v>
      </c>
      <c r="AI15" s="186">
        <f t="shared" si="6"/>
        <v>0</v>
      </c>
      <c r="AJ15" s="186">
        <f t="shared" si="6"/>
        <v>0</v>
      </c>
      <c r="AK15" s="186">
        <f t="shared" si="6"/>
        <v>0</v>
      </c>
      <c r="AL15" s="185">
        <f t="shared" si="6"/>
        <v>0</v>
      </c>
    </row>
    <row r="16" ht="10.5" customHeight="1">
      <c r="A16" s="183" t="s">
        <v>308</v>
      </c>
      <c r="B16" s="184">
        <v>0.0</v>
      </c>
      <c r="C16" s="185">
        <f t="shared" si="1"/>
        <v>0</v>
      </c>
      <c r="D16" s="184">
        <v>0.0</v>
      </c>
      <c r="E16" s="184">
        <v>0.0</v>
      </c>
      <c r="F16" s="184">
        <v>0.0</v>
      </c>
      <c r="G16" s="184">
        <v>0.0</v>
      </c>
      <c r="H16" s="185">
        <f t="shared" si="3"/>
        <v>0</v>
      </c>
      <c r="I16" s="184">
        <v>0.0</v>
      </c>
      <c r="J16" s="184">
        <f>I16</f>
        <v>0</v>
      </c>
      <c r="K16" s="184">
        <v>0.0</v>
      </c>
      <c r="L16" s="186">
        <f t="shared" ref="L16:AL16" si="7">K16</f>
        <v>0</v>
      </c>
      <c r="M16" s="185">
        <f t="shared" si="7"/>
        <v>0</v>
      </c>
      <c r="N16" s="186">
        <f t="shared" si="7"/>
        <v>0</v>
      </c>
      <c r="O16" s="186">
        <f t="shared" si="7"/>
        <v>0</v>
      </c>
      <c r="P16" s="186">
        <f t="shared" si="7"/>
        <v>0</v>
      </c>
      <c r="Q16" s="186">
        <f t="shared" si="7"/>
        <v>0</v>
      </c>
      <c r="R16" s="185">
        <f t="shared" si="7"/>
        <v>0</v>
      </c>
      <c r="S16" s="186">
        <f t="shared" si="7"/>
        <v>0</v>
      </c>
      <c r="T16" s="186">
        <f t="shared" si="7"/>
        <v>0</v>
      </c>
      <c r="U16" s="186">
        <f t="shared" si="7"/>
        <v>0</v>
      </c>
      <c r="V16" s="186">
        <f t="shared" si="7"/>
        <v>0</v>
      </c>
      <c r="W16" s="185">
        <f t="shared" si="7"/>
        <v>0</v>
      </c>
      <c r="X16" s="186">
        <f t="shared" si="7"/>
        <v>0</v>
      </c>
      <c r="Y16" s="186">
        <f t="shared" si="7"/>
        <v>0</v>
      </c>
      <c r="Z16" s="186">
        <f t="shared" si="7"/>
        <v>0</v>
      </c>
      <c r="AA16" s="186">
        <f t="shared" si="7"/>
        <v>0</v>
      </c>
      <c r="AB16" s="185">
        <f t="shared" si="7"/>
        <v>0</v>
      </c>
      <c r="AC16" s="186">
        <f t="shared" si="7"/>
        <v>0</v>
      </c>
      <c r="AD16" s="186">
        <f t="shared" si="7"/>
        <v>0</v>
      </c>
      <c r="AE16" s="186">
        <f t="shared" si="7"/>
        <v>0</v>
      </c>
      <c r="AF16" s="186">
        <f t="shared" si="7"/>
        <v>0</v>
      </c>
      <c r="AG16" s="185">
        <f t="shared" si="7"/>
        <v>0</v>
      </c>
      <c r="AH16" s="186">
        <f t="shared" si="7"/>
        <v>0</v>
      </c>
      <c r="AI16" s="186">
        <f t="shared" si="7"/>
        <v>0</v>
      </c>
      <c r="AJ16" s="186">
        <f t="shared" si="7"/>
        <v>0</v>
      </c>
      <c r="AK16" s="186">
        <f t="shared" si="7"/>
        <v>0</v>
      </c>
      <c r="AL16" s="185">
        <f t="shared" si="7"/>
        <v>0</v>
      </c>
    </row>
    <row r="17" ht="10.5" customHeight="1">
      <c r="A17" s="183" t="s">
        <v>309</v>
      </c>
      <c r="B17" s="184">
        <v>13.842</v>
      </c>
      <c r="C17" s="185">
        <f t="shared" si="1"/>
        <v>13.842</v>
      </c>
      <c r="D17" s="184">
        <v>18.945</v>
      </c>
      <c r="E17" s="184">
        <v>15.91</v>
      </c>
      <c r="F17" s="184">
        <v>14.432</v>
      </c>
      <c r="G17" s="184">
        <v>21.499</v>
      </c>
      <c r="H17" s="185">
        <f t="shared" si="3"/>
        <v>21.499</v>
      </c>
      <c r="I17" s="184">
        <v>16.547</v>
      </c>
      <c r="J17" s="184">
        <v>19.202</v>
      </c>
      <c r="K17" s="184">
        <v>23.176</v>
      </c>
      <c r="L17" s="186">
        <f>Assumptions!O177</f>
        <v>23.81621367</v>
      </c>
      <c r="M17" s="185">
        <f>L17</f>
        <v>23.81621367</v>
      </c>
      <c r="N17" s="186">
        <f>Assumptions!Q177</f>
        <v>18.45676914</v>
      </c>
      <c r="O17" s="186">
        <f>Assumptions!R177</f>
        <v>21.45166213</v>
      </c>
      <c r="P17" s="186">
        <f>Assumptions!S177</f>
        <v>15.24188141</v>
      </c>
      <c r="Q17" s="186">
        <f>Assumptions!T177</f>
        <v>45.18100533</v>
      </c>
      <c r="R17" s="185">
        <f>Q17</f>
        <v>45.18100533</v>
      </c>
      <c r="S17" s="186">
        <f>Assumptions!V177</f>
        <v>20.88114702</v>
      </c>
      <c r="T17" s="186">
        <f>Assumptions!W177</f>
        <v>24.09840983</v>
      </c>
      <c r="U17" s="186">
        <f>Assumptions!X177</f>
        <v>16.9988916</v>
      </c>
      <c r="V17" s="186">
        <f>Assumptions!Y177</f>
        <v>50.76145049</v>
      </c>
      <c r="W17" s="185">
        <f>V17</f>
        <v>50.76145049</v>
      </c>
      <c r="X17" s="186">
        <f>Assumptions!AA177</f>
        <v>23.06719954</v>
      </c>
      <c r="Y17" s="186">
        <f>Assumptions!AB177</f>
        <v>26.52428588</v>
      </c>
      <c r="Z17" s="186">
        <f>Assumptions!AC177</f>
        <v>18.65316807</v>
      </c>
      <c r="AA17" s="186">
        <f>Assumptions!AD177</f>
        <v>55.80392201</v>
      </c>
      <c r="AB17" s="185">
        <f>AA17</f>
        <v>55.80392201</v>
      </c>
      <c r="AC17" s="186">
        <f>Assumptions!AF177</f>
        <v>25.17096273</v>
      </c>
      <c r="AD17" s="186">
        <f>Assumptions!AG177</f>
        <v>28.86527826</v>
      </c>
      <c r="AE17" s="186">
        <f>Assumptions!AH177</f>
        <v>20.24119943</v>
      </c>
      <c r="AF17" s="186">
        <f>Assumptions!AI177</f>
        <v>60.61984317</v>
      </c>
      <c r="AG17" s="185">
        <f>AF17</f>
        <v>60.61984317</v>
      </c>
      <c r="AH17" s="186">
        <f>Assumptions!AK177</f>
        <v>27.13477535</v>
      </c>
      <c r="AI17" s="186">
        <f>Assumptions!AL177</f>
        <v>31.03078439</v>
      </c>
      <c r="AJ17" s="186">
        <f>Assumptions!AM177</f>
        <v>21.71085638</v>
      </c>
      <c r="AK17" s="186">
        <f>Assumptions!AN177</f>
        <v>65.20407946</v>
      </c>
      <c r="AL17" s="185">
        <f>AK17</f>
        <v>65.20407946</v>
      </c>
    </row>
    <row r="18" ht="10.5" customHeight="1">
      <c r="A18" s="183" t="s">
        <v>310</v>
      </c>
      <c r="B18" s="184">
        <v>11.072</v>
      </c>
      <c r="C18" s="185">
        <f t="shared" si="1"/>
        <v>11.072</v>
      </c>
      <c r="D18" s="184">
        <v>12.513</v>
      </c>
      <c r="E18" s="184">
        <v>15.39</v>
      </c>
      <c r="F18" s="184">
        <v>7.882</v>
      </c>
      <c r="G18" s="184">
        <v>16.776</v>
      </c>
      <c r="H18" s="185">
        <f t="shared" si="3"/>
        <v>16.776</v>
      </c>
      <c r="I18" s="184">
        <v>18.816</v>
      </c>
      <c r="J18" s="184">
        <v>24.954</v>
      </c>
      <c r="K18" s="184">
        <v>15.65</v>
      </c>
      <c r="L18" s="186">
        <f t="shared" ref="L18:AL18" si="8">K18</f>
        <v>15.65</v>
      </c>
      <c r="M18" s="185">
        <f t="shared" si="8"/>
        <v>15.65</v>
      </c>
      <c r="N18" s="186">
        <f t="shared" si="8"/>
        <v>15.65</v>
      </c>
      <c r="O18" s="186">
        <f t="shared" si="8"/>
        <v>15.65</v>
      </c>
      <c r="P18" s="186">
        <f t="shared" si="8"/>
        <v>15.65</v>
      </c>
      <c r="Q18" s="186">
        <f t="shared" si="8"/>
        <v>15.65</v>
      </c>
      <c r="R18" s="185">
        <f t="shared" si="8"/>
        <v>15.65</v>
      </c>
      <c r="S18" s="186">
        <f t="shared" si="8"/>
        <v>15.65</v>
      </c>
      <c r="T18" s="186">
        <f t="shared" si="8"/>
        <v>15.65</v>
      </c>
      <c r="U18" s="186">
        <f t="shared" si="8"/>
        <v>15.65</v>
      </c>
      <c r="V18" s="186">
        <f t="shared" si="8"/>
        <v>15.65</v>
      </c>
      <c r="W18" s="185">
        <f t="shared" si="8"/>
        <v>15.65</v>
      </c>
      <c r="X18" s="186">
        <f t="shared" si="8"/>
        <v>15.65</v>
      </c>
      <c r="Y18" s="186">
        <f t="shared" si="8"/>
        <v>15.65</v>
      </c>
      <c r="Z18" s="186">
        <f t="shared" si="8"/>
        <v>15.65</v>
      </c>
      <c r="AA18" s="186">
        <f t="shared" si="8"/>
        <v>15.65</v>
      </c>
      <c r="AB18" s="185">
        <f t="shared" si="8"/>
        <v>15.65</v>
      </c>
      <c r="AC18" s="186">
        <f t="shared" si="8"/>
        <v>15.65</v>
      </c>
      <c r="AD18" s="186">
        <f t="shared" si="8"/>
        <v>15.65</v>
      </c>
      <c r="AE18" s="186">
        <f t="shared" si="8"/>
        <v>15.65</v>
      </c>
      <c r="AF18" s="186">
        <f t="shared" si="8"/>
        <v>15.65</v>
      </c>
      <c r="AG18" s="185">
        <f t="shared" si="8"/>
        <v>15.65</v>
      </c>
      <c r="AH18" s="186">
        <f t="shared" si="8"/>
        <v>15.65</v>
      </c>
      <c r="AI18" s="186">
        <f t="shared" si="8"/>
        <v>15.65</v>
      </c>
      <c r="AJ18" s="186">
        <f t="shared" si="8"/>
        <v>15.65</v>
      </c>
      <c r="AK18" s="186">
        <f t="shared" si="8"/>
        <v>15.65</v>
      </c>
      <c r="AL18" s="185">
        <f t="shared" si="8"/>
        <v>15.65</v>
      </c>
    </row>
    <row r="19" ht="10.5" customHeight="1">
      <c r="A19" s="189" t="s">
        <v>311</v>
      </c>
      <c r="B19" s="190">
        <v>3.314</v>
      </c>
      <c r="C19" s="191">
        <f t="shared" si="1"/>
        <v>3.314</v>
      </c>
      <c r="D19" s="190">
        <v>1.324</v>
      </c>
      <c r="E19" s="190">
        <v>5.79</v>
      </c>
      <c r="F19" s="190">
        <v>4.773</v>
      </c>
      <c r="G19" s="190">
        <v>2.616</v>
      </c>
      <c r="H19" s="191">
        <f t="shared" si="3"/>
        <v>2.616</v>
      </c>
      <c r="I19" s="190">
        <v>0.734</v>
      </c>
      <c r="J19" s="190">
        <v>7.788</v>
      </c>
      <c r="K19" s="190">
        <v>9.646</v>
      </c>
      <c r="L19" s="192">
        <f t="shared" ref="L19:AL19" si="9">K19</f>
        <v>9.646</v>
      </c>
      <c r="M19" s="191">
        <f t="shared" si="9"/>
        <v>9.646</v>
      </c>
      <c r="N19" s="192">
        <f t="shared" si="9"/>
        <v>9.646</v>
      </c>
      <c r="O19" s="192">
        <f t="shared" si="9"/>
        <v>9.646</v>
      </c>
      <c r="P19" s="192">
        <f t="shared" si="9"/>
        <v>9.646</v>
      </c>
      <c r="Q19" s="192">
        <f t="shared" si="9"/>
        <v>9.646</v>
      </c>
      <c r="R19" s="191">
        <f t="shared" si="9"/>
        <v>9.646</v>
      </c>
      <c r="S19" s="192">
        <f t="shared" si="9"/>
        <v>9.646</v>
      </c>
      <c r="T19" s="192">
        <f t="shared" si="9"/>
        <v>9.646</v>
      </c>
      <c r="U19" s="192">
        <f t="shared" si="9"/>
        <v>9.646</v>
      </c>
      <c r="V19" s="192">
        <f t="shared" si="9"/>
        <v>9.646</v>
      </c>
      <c r="W19" s="191">
        <f t="shared" si="9"/>
        <v>9.646</v>
      </c>
      <c r="X19" s="192">
        <f t="shared" si="9"/>
        <v>9.646</v>
      </c>
      <c r="Y19" s="192">
        <f t="shared" si="9"/>
        <v>9.646</v>
      </c>
      <c r="Z19" s="192">
        <f t="shared" si="9"/>
        <v>9.646</v>
      </c>
      <c r="AA19" s="192">
        <f t="shared" si="9"/>
        <v>9.646</v>
      </c>
      <c r="AB19" s="191">
        <f t="shared" si="9"/>
        <v>9.646</v>
      </c>
      <c r="AC19" s="192">
        <f t="shared" si="9"/>
        <v>9.646</v>
      </c>
      <c r="AD19" s="192">
        <f t="shared" si="9"/>
        <v>9.646</v>
      </c>
      <c r="AE19" s="192">
        <f t="shared" si="9"/>
        <v>9.646</v>
      </c>
      <c r="AF19" s="192">
        <f t="shared" si="9"/>
        <v>9.646</v>
      </c>
      <c r="AG19" s="191">
        <f t="shared" si="9"/>
        <v>9.646</v>
      </c>
      <c r="AH19" s="192">
        <f t="shared" si="9"/>
        <v>9.646</v>
      </c>
      <c r="AI19" s="192">
        <f t="shared" si="9"/>
        <v>9.646</v>
      </c>
      <c r="AJ19" s="192">
        <f t="shared" si="9"/>
        <v>9.646</v>
      </c>
      <c r="AK19" s="192">
        <f t="shared" si="9"/>
        <v>9.646</v>
      </c>
      <c r="AL19" s="191">
        <f t="shared" si="9"/>
        <v>9.646</v>
      </c>
    </row>
    <row r="20" ht="10.5" customHeight="1">
      <c r="A20" s="298" t="s">
        <v>312</v>
      </c>
      <c r="B20" s="199">
        <f t="shared" ref="B20:AL20" si="10">SUM(B9:B19)</f>
        <v>471.817</v>
      </c>
      <c r="C20" s="206">
        <f t="shared" si="10"/>
        <v>471.817</v>
      </c>
      <c r="D20" s="199">
        <f t="shared" si="10"/>
        <v>520.782</v>
      </c>
      <c r="E20" s="199">
        <f t="shared" si="10"/>
        <v>493.85</v>
      </c>
      <c r="F20" s="199">
        <f t="shared" si="10"/>
        <v>556.444</v>
      </c>
      <c r="G20" s="199">
        <f t="shared" si="10"/>
        <v>588.019</v>
      </c>
      <c r="H20" s="206">
        <f t="shared" si="10"/>
        <v>588.019</v>
      </c>
      <c r="I20" s="199">
        <f t="shared" si="10"/>
        <v>603.593</v>
      </c>
      <c r="J20" s="199">
        <f t="shared" si="10"/>
        <v>637.382</v>
      </c>
      <c r="K20" s="199">
        <f t="shared" si="10"/>
        <v>625.65</v>
      </c>
      <c r="L20" s="199">
        <f t="shared" si="10"/>
        <v>644.434284</v>
      </c>
      <c r="M20" s="206">
        <f t="shared" si="10"/>
        <v>644.434284</v>
      </c>
      <c r="N20" s="199">
        <f t="shared" si="10"/>
        <v>723.7333673</v>
      </c>
      <c r="O20" s="199">
        <f t="shared" si="10"/>
        <v>827.606602</v>
      </c>
      <c r="P20" s="199">
        <f t="shared" si="10"/>
        <v>821.9836838</v>
      </c>
      <c r="Q20" s="199">
        <f t="shared" si="10"/>
        <v>1025.043492</v>
      </c>
      <c r="R20" s="206">
        <f t="shared" si="10"/>
        <v>1025.043492</v>
      </c>
      <c r="S20" s="199">
        <f t="shared" si="10"/>
        <v>1025.499924</v>
      </c>
      <c r="T20" s="199">
        <f t="shared" si="10"/>
        <v>1139.860725</v>
      </c>
      <c r="U20" s="199">
        <f t="shared" si="10"/>
        <v>1149.058131</v>
      </c>
      <c r="V20" s="199">
        <f t="shared" si="10"/>
        <v>1384.238455</v>
      </c>
      <c r="W20" s="206">
        <f t="shared" si="10"/>
        <v>1384.238455</v>
      </c>
      <c r="X20" s="199">
        <f t="shared" si="10"/>
        <v>1387.27495</v>
      </c>
      <c r="Y20" s="199">
        <f t="shared" si="10"/>
        <v>1516.220966</v>
      </c>
      <c r="Z20" s="199">
        <f t="shared" si="10"/>
        <v>1530.582029</v>
      </c>
      <c r="AA20" s="199">
        <f t="shared" si="10"/>
        <v>1791.488581</v>
      </c>
      <c r="AB20" s="206">
        <f t="shared" si="10"/>
        <v>1791.488581</v>
      </c>
      <c r="AC20" s="199">
        <f t="shared" si="10"/>
        <v>1808.908353</v>
      </c>
      <c r="AD20" s="199">
        <f t="shared" si="10"/>
        <v>1956.919804</v>
      </c>
      <c r="AE20" s="199">
        <f t="shared" si="10"/>
        <v>1976.588615</v>
      </c>
      <c r="AF20" s="199">
        <f t="shared" si="10"/>
        <v>2265.207432</v>
      </c>
      <c r="AG20" s="206">
        <f t="shared" si="10"/>
        <v>2265.207432</v>
      </c>
      <c r="AH20" s="199">
        <f t="shared" si="10"/>
        <v>2286.397587</v>
      </c>
      <c r="AI20" s="199">
        <f t="shared" si="10"/>
        <v>2448.756498</v>
      </c>
      <c r="AJ20" s="199">
        <f t="shared" si="10"/>
        <v>2473.397688</v>
      </c>
      <c r="AK20" s="199">
        <f t="shared" si="10"/>
        <v>2787.249865</v>
      </c>
      <c r="AL20" s="206">
        <f t="shared" si="10"/>
        <v>2787.249865</v>
      </c>
    </row>
    <row r="21" ht="10.5" customHeight="1">
      <c r="A21" s="164" t="s">
        <v>313</v>
      </c>
      <c r="B21" s="184">
        <v>50.886</v>
      </c>
      <c r="C21" s="185">
        <f t="shared" ref="C21:C28" si="12">B21</f>
        <v>50.886</v>
      </c>
      <c r="D21" s="184">
        <v>45.165</v>
      </c>
      <c r="E21" s="184">
        <v>49.718</v>
      </c>
      <c r="F21" s="184">
        <v>55.535</v>
      </c>
      <c r="G21" s="184">
        <v>65.668</v>
      </c>
      <c r="H21" s="185">
        <f t="shared" ref="H21:H28" si="13">G21</f>
        <v>65.668</v>
      </c>
      <c r="I21" s="184">
        <v>76.091</v>
      </c>
      <c r="J21" s="184">
        <v>83.327</v>
      </c>
      <c r="K21" s="184">
        <v>78.177</v>
      </c>
      <c r="L21" s="186">
        <f t="shared" ref="L21:AL21" si="11">K21</f>
        <v>78.177</v>
      </c>
      <c r="M21" s="185">
        <f t="shared" si="11"/>
        <v>78.177</v>
      </c>
      <c r="N21" s="186">
        <f t="shared" si="11"/>
        <v>78.177</v>
      </c>
      <c r="O21" s="186">
        <f t="shared" si="11"/>
        <v>78.177</v>
      </c>
      <c r="P21" s="186">
        <f t="shared" si="11"/>
        <v>78.177</v>
      </c>
      <c r="Q21" s="186">
        <f t="shared" si="11"/>
        <v>78.177</v>
      </c>
      <c r="R21" s="185">
        <f t="shared" si="11"/>
        <v>78.177</v>
      </c>
      <c r="S21" s="186">
        <f t="shared" si="11"/>
        <v>78.177</v>
      </c>
      <c r="T21" s="186">
        <f t="shared" si="11"/>
        <v>78.177</v>
      </c>
      <c r="U21" s="186">
        <f t="shared" si="11"/>
        <v>78.177</v>
      </c>
      <c r="V21" s="186">
        <f t="shared" si="11"/>
        <v>78.177</v>
      </c>
      <c r="W21" s="185">
        <f t="shared" si="11"/>
        <v>78.177</v>
      </c>
      <c r="X21" s="186">
        <f t="shared" si="11"/>
        <v>78.177</v>
      </c>
      <c r="Y21" s="186">
        <f t="shared" si="11"/>
        <v>78.177</v>
      </c>
      <c r="Z21" s="186">
        <f t="shared" si="11"/>
        <v>78.177</v>
      </c>
      <c r="AA21" s="186">
        <f t="shared" si="11"/>
        <v>78.177</v>
      </c>
      <c r="AB21" s="185">
        <f t="shared" si="11"/>
        <v>78.177</v>
      </c>
      <c r="AC21" s="186">
        <f t="shared" si="11"/>
        <v>78.177</v>
      </c>
      <c r="AD21" s="186">
        <f t="shared" si="11"/>
        <v>78.177</v>
      </c>
      <c r="AE21" s="186">
        <f t="shared" si="11"/>
        <v>78.177</v>
      </c>
      <c r="AF21" s="186">
        <f t="shared" si="11"/>
        <v>78.177</v>
      </c>
      <c r="AG21" s="185">
        <f t="shared" si="11"/>
        <v>78.177</v>
      </c>
      <c r="AH21" s="186">
        <f t="shared" si="11"/>
        <v>78.177</v>
      </c>
      <c r="AI21" s="186">
        <f t="shared" si="11"/>
        <v>78.177</v>
      </c>
      <c r="AJ21" s="186">
        <f t="shared" si="11"/>
        <v>78.177</v>
      </c>
      <c r="AK21" s="186">
        <f t="shared" si="11"/>
        <v>78.177</v>
      </c>
      <c r="AL21" s="185">
        <f t="shared" si="11"/>
        <v>78.177</v>
      </c>
    </row>
    <row r="22" ht="10.5" customHeight="1">
      <c r="A22" s="164" t="s">
        <v>314</v>
      </c>
      <c r="B22" s="184">
        <v>390.405</v>
      </c>
      <c r="C22" s="185">
        <f t="shared" si="12"/>
        <v>390.405</v>
      </c>
      <c r="D22" s="184">
        <v>382.019</v>
      </c>
      <c r="E22" s="184">
        <v>400.239</v>
      </c>
      <c r="F22" s="184">
        <v>421.633</v>
      </c>
      <c r="G22" s="184">
        <v>423.991</v>
      </c>
      <c r="H22" s="185">
        <f t="shared" si="13"/>
        <v>423.991</v>
      </c>
      <c r="I22" s="184">
        <v>419.313</v>
      </c>
      <c r="J22" s="184">
        <v>430.387</v>
      </c>
      <c r="K22" s="184">
        <v>448.324</v>
      </c>
      <c r="L22" s="186">
        <f>Assumptions!O124</f>
        <v>487.7153324</v>
      </c>
      <c r="M22" s="185">
        <f>L22</f>
        <v>487.7153324</v>
      </c>
      <c r="N22" s="186">
        <f>Assumptions!Q124</f>
        <v>488.7455909</v>
      </c>
      <c r="O22" s="186">
        <f>Assumptions!R124</f>
        <v>499.5592125</v>
      </c>
      <c r="P22" s="186">
        <f>Assumptions!S124</f>
        <v>523.2884876</v>
      </c>
      <c r="Q22" s="186">
        <f>Assumptions!T124</f>
        <v>542.4222205</v>
      </c>
      <c r="R22" s="185">
        <f>Q22</f>
        <v>542.4222205</v>
      </c>
      <c r="S22" s="186">
        <f>Assumptions!V124</f>
        <v>546.9216037</v>
      </c>
      <c r="T22" s="186">
        <f>Assumptions!W124</f>
        <v>558.5936831</v>
      </c>
      <c r="U22" s="186">
        <f>Assumptions!X124</f>
        <v>571.2036498</v>
      </c>
      <c r="V22" s="186">
        <f>Assumptions!Y124</f>
        <v>583.8394667</v>
      </c>
      <c r="W22" s="185">
        <f>V22</f>
        <v>583.8394667</v>
      </c>
      <c r="X22" s="186">
        <f>Assumptions!AA124</f>
        <v>589.568655</v>
      </c>
      <c r="Y22" s="186">
        <f>Assumptions!AB124</f>
        <v>602.7639838</v>
      </c>
      <c r="Z22" s="186">
        <f>Assumptions!AC124</f>
        <v>616.9004298</v>
      </c>
      <c r="AA22" s="186">
        <f>Assumptions!AD124</f>
        <v>630.8966451</v>
      </c>
      <c r="AB22" s="185">
        <f>AA22</f>
        <v>630.8966451</v>
      </c>
      <c r="AC22" s="186">
        <f>Assumptions!AF124</f>
        <v>637.534132</v>
      </c>
      <c r="AD22" s="186">
        <f>Assumptions!AG124</f>
        <v>651.8187564</v>
      </c>
      <c r="AE22" s="186">
        <f>Assumptions!AH124</f>
        <v>667.0294496</v>
      </c>
      <c r="AF22" s="186">
        <f>Assumptions!AI124</f>
        <v>681.7894269</v>
      </c>
      <c r="AG22" s="185">
        <f>AF22</f>
        <v>681.7894269</v>
      </c>
      <c r="AH22" s="186">
        <f>Assumptions!AK124</f>
        <v>688.8305411</v>
      </c>
      <c r="AI22" s="186">
        <f>Assumptions!AL124</f>
        <v>703.7641462</v>
      </c>
      <c r="AJ22" s="186">
        <f>Assumptions!AM124</f>
        <v>719.7183047</v>
      </c>
      <c r="AK22" s="186">
        <f>Assumptions!AN124</f>
        <v>735.0188336</v>
      </c>
      <c r="AL22" s="185">
        <f>AK22</f>
        <v>735.0188336</v>
      </c>
    </row>
    <row r="23" ht="10.5" customHeight="1">
      <c r="A23" s="164" t="s">
        <v>315</v>
      </c>
      <c r="B23" s="184">
        <v>77.507</v>
      </c>
      <c r="C23" s="185">
        <f t="shared" si="12"/>
        <v>77.507</v>
      </c>
      <c r="D23" s="184">
        <v>76.36</v>
      </c>
      <c r="E23" s="184">
        <v>75.599</v>
      </c>
      <c r="F23" s="184">
        <v>75.078</v>
      </c>
      <c r="G23" s="184">
        <v>75.65</v>
      </c>
      <c r="H23" s="185">
        <f t="shared" si="13"/>
        <v>75.65</v>
      </c>
      <c r="I23" s="184">
        <v>75.257</v>
      </c>
      <c r="J23" s="184">
        <v>70.896</v>
      </c>
      <c r="K23" s="184">
        <v>70.431</v>
      </c>
      <c r="L23" s="186">
        <f t="shared" ref="L23:AL23" si="14">K23</f>
        <v>70.431</v>
      </c>
      <c r="M23" s="185">
        <f t="shared" si="14"/>
        <v>70.431</v>
      </c>
      <c r="N23" s="186">
        <f t="shared" si="14"/>
        <v>70.431</v>
      </c>
      <c r="O23" s="186">
        <f t="shared" si="14"/>
        <v>70.431</v>
      </c>
      <c r="P23" s="186">
        <f t="shared" si="14"/>
        <v>70.431</v>
      </c>
      <c r="Q23" s="186">
        <f t="shared" si="14"/>
        <v>70.431</v>
      </c>
      <c r="R23" s="185">
        <f t="shared" si="14"/>
        <v>70.431</v>
      </c>
      <c r="S23" s="186">
        <f t="shared" si="14"/>
        <v>70.431</v>
      </c>
      <c r="T23" s="186">
        <f t="shared" si="14"/>
        <v>70.431</v>
      </c>
      <c r="U23" s="186">
        <f t="shared" si="14"/>
        <v>70.431</v>
      </c>
      <c r="V23" s="186">
        <f t="shared" si="14"/>
        <v>70.431</v>
      </c>
      <c r="W23" s="185">
        <f t="shared" si="14"/>
        <v>70.431</v>
      </c>
      <c r="X23" s="186">
        <f t="shared" si="14"/>
        <v>70.431</v>
      </c>
      <c r="Y23" s="186">
        <f t="shared" si="14"/>
        <v>70.431</v>
      </c>
      <c r="Z23" s="186">
        <f t="shared" si="14"/>
        <v>70.431</v>
      </c>
      <c r="AA23" s="186">
        <f t="shared" si="14"/>
        <v>70.431</v>
      </c>
      <c r="AB23" s="185">
        <f t="shared" si="14"/>
        <v>70.431</v>
      </c>
      <c r="AC23" s="186">
        <f t="shared" si="14"/>
        <v>70.431</v>
      </c>
      <c r="AD23" s="186">
        <f t="shared" si="14"/>
        <v>70.431</v>
      </c>
      <c r="AE23" s="186">
        <f t="shared" si="14"/>
        <v>70.431</v>
      </c>
      <c r="AF23" s="186">
        <f t="shared" si="14"/>
        <v>70.431</v>
      </c>
      <c r="AG23" s="185">
        <f t="shared" si="14"/>
        <v>70.431</v>
      </c>
      <c r="AH23" s="186">
        <f t="shared" si="14"/>
        <v>70.431</v>
      </c>
      <c r="AI23" s="186">
        <f t="shared" si="14"/>
        <v>70.431</v>
      </c>
      <c r="AJ23" s="186">
        <f t="shared" si="14"/>
        <v>70.431</v>
      </c>
      <c r="AK23" s="186">
        <f t="shared" si="14"/>
        <v>70.431</v>
      </c>
      <c r="AL23" s="185">
        <f t="shared" si="14"/>
        <v>70.431</v>
      </c>
    </row>
    <row r="24" ht="10.5" customHeight="1">
      <c r="A24" s="164" t="s">
        <v>316</v>
      </c>
      <c r="B24" s="184">
        <v>381.01</v>
      </c>
      <c r="C24" s="185">
        <f t="shared" si="12"/>
        <v>381.01</v>
      </c>
      <c r="D24" s="184">
        <v>385.796</v>
      </c>
      <c r="E24" s="184">
        <v>393.564</v>
      </c>
      <c r="F24" s="184">
        <v>400.246</v>
      </c>
      <c r="G24" s="184">
        <v>395.174</v>
      </c>
      <c r="H24" s="185">
        <f t="shared" si="13"/>
        <v>395.174</v>
      </c>
      <c r="I24" s="184">
        <v>416.237</v>
      </c>
      <c r="J24" s="184">
        <v>417.573</v>
      </c>
      <c r="K24" s="184">
        <v>403.314</v>
      </c>
      <c r="L24" s="186">
        <f t="shared" ref="L24:AL24" si="15">K24</f>
        <v>403.314</v>
      </c>
      <c r="M24" s="185">
        <f t="shared" si="15"/>
        <v>403.314</v>
      </c>
      <c r="N24" s="186">
        <f t="shared" si="15"/>
        <v>403.314</v>
      </c>
      <c r="O24" s="186">
        <f t="shared" si="15"/>
        <v>403.314</v>
      </c>
      <c r="P24" s="186">
        <f t="shared" si="15"/>
        <v>403.314</v>
      </c>
      <c r="Q24" s="186">
        <f t="shared" si="15"/>
        <v>403.314</v>
      </c>
      <c r="R24" s="185">
        <f t="shared" si="15"/>
        <v>403.314</v>
      </c>
      <c r="S24" s="186">
        <f t="shared" si="15"/>
        <v>403.314</v>
      </c>
      <c r="T24" s="186">
        <f t="shared" si="15"/>
        <v>403.314</v>
      </c>
      <c r="U24" s="186">
        <f t="shared" si="15"/>
        <v>403.314</v>
      </c>
      <c r="V24" s="186">
        <f t="shared" si="15"/>
        <v>403.314</v>
      </c>
      <c r="W24" s="185">
        <f t="shared" si="15"/>
        <v>403.314</v>
      </c>
      <c r="X24" s="186">
        <f t="shared" si="15"/>
        <v>403.314</v>
      </c>
      <c r="Y24" s="186">
        <f t="shared" si="15"/>
        <v>403.314</v>
      </c>
      <c r="Z24" s="186">
        <f t="shared" si="15"/>
        <v>403.314</v>
      </c>
      <c r="AA24" s="186">
        <f t="shared" si="15"/>
        <v>403.314</v>
      </c>
      <c r="AB24" s="185">
        <f t="shared" si="15"/>
        <v>403.314</v>
      </c>
      <c r="AC24" s="186">
        <f t="shared" si="15"/>
        <v>403.314</v>
      </c>
      <c r="AD24" s="186">
        <f t="shared" si="15"/>
        <v>403.314</v>
      </c>
      <c r="AE24" s="186">
        <f t="shared" si="15"/>
        <v>403.314</v>
      </c>
      <c r="AF24" s="186">
        <f t="shared" si="15"/>
        <v>403.314</v>
      </c>
      <c r="AG24" s="185">
        <f t="shared" si="15"/>
        <v>403.314</v>
      </c>
      <c r="AH24" s="186">
        <f t="shared" si="15"/>
        <v>403.314</v>
      </c>
      <c r="AI24" s="186">
        <f t="shared" si="15"/>
        <v>403.314</v>
      </c>
      <c r="AJ24" s="186">
        <f t="shared" si="15"/>
        <v>403.314</v>
      </c>
      <c r="AK24" s="186">
        <f t="shared" si="15"/>
        <v>403.314</v>
      </c>
      <c r="AL24" s="185">
        <f t="shared" si="15"/>
        <v>403.314</v>
      </c>
    </row>
    <row r="25" ht="10.5" customHeight="1">
      <c r="A25" s="164" t="s">
        <v>317</v>
      </c>
      <c r="B25" s="184">
        <v>372.507</v>
      </c>
      <c r="C25" s="185">
        <f t="shared" si="12"/>
        <v>372.507</v>
      </c>
      <c r="D25" s="184">
        <v>359.75</v>
      </c>
      <c r="E25" s="184">
        <v>346.993</v>
      </c>
      <c r="F25" s="184">
        <v>334.236</v>
      </c>
      <c r="G25" s="184">
        <v>323.318</v>
      </c>
      <c r="H25" s="185">
        <f t="shared" si="13"/>
        <v>323.318</v>
      </c>
      <c r="I25" s="184">
        <v>314.139</v>
      </c>
      <c r="J25" s="184">
        <v>304.961</v>
      </c>
      <c r="K25" s="184">
        <v>295.587</v>
      </c>
      <c r="L25" s="186">
        <f>Assumptions!O139</f>
        <v>286.40875</v>
      </c>
      <c r="M25" s="185">
        <f>L25</f>
        <v>286.40875</v>
      </c>
      <c r="N25" s="186">
        <f>Assumptions!Q139</f>
        <v>278.389</v>
      </c>
      <c r="O25" s="186">
        <f>Assumptions!R139</f>
        <v>270.36925</v>
      </c>
      <c r="P25" s="186">
        <f>Assumptions!S139</f>
        <v>262.3495</v>
      </c>
      <c r="Q25" s="186">
        <f>Assumptions!T139</f>
        <v>254.32975</v>
      </c>
      <c r="R25" s="185">
        <f>Q25</f>
        <v>254.32975</v>
      </c>
      <c r="S25" s="186">
        <f>Assumptions!V139</f>
        <v>247.34075</v>
      </c>
      <c r="T25" s="186">
        <f>Assumptions!W139</f>
        <v>240.35175</v>
      </c>
      <c r="U25" s="186">
        <f>Assumptions!X139</f>
        <v>233.36275</v>
      </c>
      <c r="V25" s="186">
        <f>Assumptions!Y139</f>
        <v>226.37375</v>
      </c>
      <c r="W25" s="185">
        <f>V25</f>
        <v>226.37375</v>
      </c>
      <c r="X25" s="186">
        <f>Assumptions!AA139</f>
        <v>219.54875</v>
      </c>
      <c r="Y25" s="186">
        <f>Assumptions!AB139</f>
        <v>212.72375</v>
      </c>
      <c r="Z25" s="186">
        <f>Assumptions!AC139</f>
        <v>205.89875</v>
      </c>
      <c r="AA25" s="186">
        <f>Assumptions!AD139</f>
        <v>199.07375</v>
      </c>
      <c r="AB25" s="185">
        <f>AA25</f>
        <v>199.07375</v>
      </c>
      <c r="AC25" s="186">
        <f>Assumptions!AF139</f>
        <v>193.155</v>
      </c>
      <c r="AD25" s="186">
        <f>Assumptions!AG139</f>
        <v>187.23625</v>
      </c>
      <c r="AE25" s="186">
        <f>Assumptions!AH139</f>
        <v>181.3175</v>
      </c>
      <c r="AF25" s="186">
        <f>Assumptions!AI139</f>
        <v>175.39875</v>
      </c>
      <c r="AG25" s="185">
        <f>AF25</f>
        <v>175.39875</v>
      </c>
      <c r="AH25" s="186">
        <f>Assumptions!AK139</f>
        <v>168.15</v>
      </c>
      <c r="AI25" s="186">
        <f>Assumptions!AL139</f>
        <v>160.90125</v>
      </c>
      <c r="AJ25" s="186">
        <f>Assumptions!AM139</f>
        <v>153.6525</v>
      </c>
      <c r="AK25" s="186">
        <f>Assumptions!AN139</f>
        <v>146.40375</v>
      </c>
      <c r="AL25" s="185">
        <f>AK25</f>
        <v>146.40375</v>
      </c>
    </row>
    <row r="26" ht="10.5" customHeight="1">
      <c r="A26" s="164" t="s">
        <v>318</v>
      </c>
      <c r="B26" s="184">
        <v>717.502</v>
      </c>
      <c r="C26" s="185">
        <f t="shared" si="12"/>
        <v>717.502</v>
      </c>
      <c r="D26" s="184">
        <v>719.074</v>
      </c>
      <c r="E26" s="184">
        <v>719.063</v>
      </c>
      <c r="F26" s="184">
        <v>719.127</v>
      </c>
      <c r="G26" s="184">
        <v>720.633</v>
      </c>
      <c r="H26" s="185">
        <f t="shared" si="13"/>
        <v>720.633</v>
      </c>
      <c r="I26" s="184">
        <v>720.834</v>
      </c>
      <c r="J26" s="184">
        <v>721.118</v>
      </c>
      <c r="K26" s="184">
        <v>710.571</v>
      </c>
      <c r="L26" s="186">
        <f t="shared" ref="L26:AL26" si="16">K26</f>
        <v>710.571</v>
      </c>
      <c r="M26" s="185">
        <f t="shared" si="16"/>
        <v>710.571</v>
      </c>
      <c r="N26" s="186">
        <f t="shared" si="16"/>
        <v>710.571</v>
      </c>
      <c r="O26" s="186">
        <f t="shared" si="16"/>
        <v>710.571</v>
      </c>
      <c r="P26" s="186">
        <f t="shared" si="16"/>
        <v>710.571</v>
      </c>
      <c r="Q26" s="186">
        <f t="shared" si="16"/>
        <v>710.571</v>
      </c>
      <c r="R26" s="185">
        <f t="shared" si="16"/>
        <v>710.571</v>
      </c>
      <c r="S26" s="186">
        <f t="shared" si="16"/>
        <v>710.571</v>
      </c>
      <c r="T26" s="186">
        <f t="shared" si="16"/>
        <v>710.571</v>
      </c>
      <c r="U26" s="186">
        <f t="shared" si="16"/>
        <v>710.571</v>
      </c>
      <c r="V26" s="186">
        <f t="shared" si="16"/>
        <v>710.571</v>
      </c>
      <c r="W26" s="185">
        <f t="shared" si="16"/>
        <v>710.571</v>
      </c>
      <c r="X26" s="186">
        <f t="shared" si="16"/>
        <v>710.571</v>
      </c>
      <c r="Y26" s="186">
        <f t="shared" si="16"/>
        <v>710.571</v>
      </c>
      <c r="Z26" s="186">
        <f t="shared" si="16"/>
        <v>710.571</v>
      </c>
      <c r="AA26" s="186">
        <f t="shared" si="16"/>
        <v>710.571</v>
      </c>
      <c r="AB26" s="185">
        <f t="shared" si="16"/>
        <v>710.571</v>
      </c>
      <c r="AC26" s="186">
        <f t="shared" si="16"/>
        <v>710.571</v>
      </c>
      <c r="AD26" s="186">
        <f t="shared" si="16"/>
        <v>710.571</v>
      </c>
      <c r="AE26" s="186">
        <f t="shared" si="16"/>
        <v>710.571</v>
      </c>
      <c r="AF26" s="186">
        <f t="shared" si="16"/>
        <v>710.571</v>
      </c>
      <c r="AG26" s="185">
        <f t="shared" si="16"/>
        <v>710.571</v>
      </c>
      <c r="AH26" s="186">
        <f t="shared" si="16"/>
        <v>710.571</v>
      </c>
      <c r="AI26" s="186">
        <f t="shared" si="16"/>
        <v>710.571</v>
      </c>
      <c r="AJ26" s="186">
        <f t="shared" si="16"/>
        <v>710.571</v>
      </c>
      <c r="AK26" s="186">
        <f t="shared" si="16"/>
        <v>710.571</v>
      </c>
      <c r="AL26" s="185">
        <f t="shared" si="16"/>
        <v>710.571</v>
      </c>
    </row>
    <row r="27" ht="10.5" customHeight="1">
      <c r="A27" s="164" t="s">
        <v>319</v>
      </c>
      <c r="B27" s="184">
        <v>504.188</v>
      </c>
      <c r="C27" s="185">
        <f t="shared" si="12"/>
        <v>504.188</v>
      </c>
      <c r="D27" s="184">
        <v>499.839</v>
      </c>
      <c r="E27" s="184">
        <v>490.912</v>
      </c>
      <c r="F27" s="184">
        <v>481.456</v>
      </c>
      <c r="G27" s="184">
        <v>470.197</v>
      </c>
      <c r="H27" s="185">
        <f t="shared" si="13"/>
        <v>470.197</v>
      </c>
      <c r="I27" s="184">
        <v>459.035</v>
      </c>
      <c r="J27" s="184">
        <v>443.082</v>
      </c>
      <c r="K27" s="184">
        <v>415.673</v>
      </c>
      <c r="L27" s="186">
        <f t="shared" ref="L27:AL27" si="17">K27</f>
        <v>415.673</v>
      </c>
      <c r="M27" s="185">
        <f t="shared" si="17"/>
        <v>415.673</v>
      </c>
      <c r="N27" s="186">
        <f t="shared" si="17"/>
        <v>415.673</v>
      </c>
      <c r="O27" s="186">
        <f t="shared" si="17"/>
        <v>415.673</v>
      </c>
      <c r="P27" s="186">
        <f t="shared" si="17"/>
        <v>415.673</v>
      </c>
      <c r="Q27" s="186">
        <f t="shared" si="17"/>
        <v>415.673</v>
      </c>
      <c r="R27" s="185">
        <f t="shared" si="17"/>
        <v>415.673</v>
      </c>
      <c r="S27" s="186">
        <f t="shared" si="17"/>
        <v>415.673</v>
      </c>
      <c r="T27" s="186">
        <f t="shared" si="17"/>
        <v>415.673</v>
      </c>
      <c r="U27" s="186">
        <f t="shared" si="17"/>
        <v>415.673</v>
      </c>
      <c r="V27" s="186">
        <f t="shared" si="17"/>
        <v>415.673</v>
      </c>
      <c r="W27" s="185">
        <f t="shared" si="17"/>
        <v>415.673</v>
      </c>
      <c r="X27" s="186">
        <f t="shared" si="17"/>
        <v>415.673</v>
      </c>
      <c r="Y27" s="186">
        <f t="shared" si="17"/>
        <v>415.673</v>
      </c>
      <c r="Z27" s="186">
        <f t="shared" si="17"/>
        <v>415.673</v>
      </c>
      <c r="AA27" s="186">
        <f t="shared" si="17"/>
        <v>415.673</v>
      </c>
      <c r="AB27" s="185">
        <f t="shared" si="17"/>
        <v>415.673</v>
      </c>
      <c r="AC27" s="186">
        <f t="shared" si="17"/>
        <v>415.673</v>
      </c>
      <c r="AD27" s="186">
        <f t="shared" si="17"/>
        <v>415.673</v>
      </c>
      <c r="AE27" s="186">
        <f t="shared" si="17"/>
        <v>415.673</v>
      </c>
      <c r="AF27" s="186">
        <f t="shared" si="17"/>
        <v>415.673</v>
      </c>
      <c r="AG27" s="185">
        <f t="shared" si="17"/>
        <v>415.673</v>
      </c>
      <c r="AH27" s="186">
        <f t="shared" si="17"/>
        <v>415.673</v>
      </c>
      <c r="AI27" s="186">
        <f t="shared" si="17"/>
        <v>415.673</v>
      </c>
      <c r="AJ27" s="186">
        <f t="shared" si="17"/>
        <v>415.673</v>
      </c>
      <c r="AK27" s="186">
        <f t="shared" si="17"/>
        <v>415.673</v>
      </c>
      <c r="AL27" s="185">
        <f t="shared" si="17"/>
        <v>415.673</v>
      </c>
    </row>
    <row r="28" ht="10.5" customHeight="1">
      <c r="A28" s="202" t="s">
        <v>320</v>
      </c>
      <c r="B28" s="190">
        <v>3.871</v>
      </c>
      <c r="C28" s="191">
        <f t="shared" si="12"/>
        <v>3.871</v>
      </c>
      <c r="D28" s="190">
        <v>3.993</v>
      </c>
      <c r="E28" s="190">
        <v>4.102</v>
      </c>
      <c r="F28" s="190">
        <v>4.426</v>
      </c>
      <c r="G28" s="190">
        <v>7.058</v>
      </c>
      <c r="H28" s="191">
        <f t="shared" si="13"/>
        <v>7.058</v>
      </c>
      <c r="I28" s="190">
        <v>7.423</v>
      </c>
      <c r="J28" s="190">
        <v>10.426</v>
      </c>
      <c r="K28" s="190">
        <v>10.482</v>
      </c>
      <c r="L28" s="192">
        <f t="shared" ref="L28:AL28" si="18">K28</f>
        <v>10.482</v>
      </c>
      <c r="M28" s="191">
        <f t="shared" si="18"/>
        <v>10.482</v>
      </c>
      <c r="N28" s="192">
        <f t="shared" si="18"/>
        <v>10.482</v>
      </c>
      <c r="O28" s="192">
        <f t="shared" si="18"/>
        <v>10.482</v>
      </c>
      <c r="P28" s="192">
        <f t="shared" si="18"/>
        <v>10.482</v>
      </c>
      <c r="Q28" s="192">
        <f t="shared" si="18"/>
        <v>10.482</v>
      </c>
      <c r="R28" s="191">
        <f t="shared" si="18"/>
        <v>10.482</v>
      </c>
      <c r="S28" s="192">
        <f t="shared" si="18"/>
        <v>10.482</v>
      </c>
      <c r="T28" s="192">
        <f t="shared" si="18"/>
        <v>10.482</v>
      </c>
      <c r="U28" s="192">
        <f t="shared" si="18"/>
        <v>10.482</v>
      </c>
      <c r="V28" s="192">
        <f t="shared" si="18"/>
        <v>10.482</v>
      </c>
      <c r="W28" s="191">
        <f t="shared" si="18"/>
        <v>10.482</v>
      </c>
      <c r="X28" s="192">
        <f t="shared" si="18"/>
        <v>10.482</v>
      </c>
      <c r="Y28" s="192">
        <f t="shared" si="18"/>
        <v>10.482</v>
      </c>
      <c r="Z28" s="192">
        <f t="shared" si="18"/>
        <v>10.482</v>
      </c>
      <c r="AA28" s="192">
        <f t="shared" si="18"/>
        <v>10.482</v>
      </c>
      <c r="AB28" s="191">
        <f t="shared" si="18"/>
        <v>10.482</v>
      </c>
      <c r="AC28" s="192">
        <f t="shared" si="18"/>
        <v>10.482</v>
      </c>
      <c r="AD28" s="192">
        <f t="shared" si="18"/>
        <v>10.482</v>
      </c>
      <c r="AE28" s="192">
        <f t="shared" si="18"/>
        <v>10.482</v>
      </c>
      <c r="AF28" s="192">
        <f t="shared" si="18"/>
        <v>10.482</v>
      </c>
      <c r="AG28" s="191">
        <f t="shared" si="18"/>
        <v>10.482</v>
      </c>
      <c r="AH28" s="192">
        <f t="shared" si="18"/>
        <v>10.482</v>
      </c>
      <c r="AI28" s="192">
        <f t="shared" si="18"/>
        <v>10.482</v>
      </c>
      <c r="AJ28" s="192">
        <f t="shared" si="18"/>
        <v>10.482</v>
      </c>
      <c r="AK28" s="192">
        <f t="shared" si="18"/>
        <v>10.482</v>
      </c>
      <c r="AL28" s="191">
        <f t="shared" si="18"/>
        <v>10.482</v>
      </c>
    </row>
    <row r="29" ht="10.5" customHeight="1">
      <c r="A29" s="259" t="s">
        <v>321</v>
      </c>
      <c r="B29" s="203">
        <f t="shared" ref="B29:AL29" si="19">SUM(B20:B28)</f>
        <v>2969.693</v>
      </c>
      <c r="C29" s="204">
        <f t="shared" si="19"/>
        <v>2969.693</v>
      </c>
      <c r="D29" s="203">
        <f t="shared" si="19"/>
        <v>2992.778</v>
      </c>
      <c r="E29" s="203">
        <f t="shared" si="19"/>
        <v>2974.04</v>
      </c>
      <c r="F29" s="203">
        <f t="shared" si="19"/>
        <v>3048.181</v>
      </c>
      <c r="G29" s="203">
        <f t="shared" si="19"/>
        <v>3069.708</v>
      </c>
      <c r="H29" s="204">
        <f t="shared" si="19"/>
        <v>3069.708</v>
      </c>
      <c r="I29" s="203">
        <f t="shared" si="19"/>
        <v>3091.922</v>
      </c>
      <c r="J29" s="203">
        <f t="shared" si="19"/>
        <v>3119.152</v>
      </c>
      <c r="K29" s="203">
        <f t="shared" si="19"/>
        <v>3058.209</v>
      </c>
      <c r="L29" s="203">
        <f t="shared" si="19"/>
        <v>3107.206366</v>
      </c>
      <c r="M29" s="204">
        <f t="shared" si="19"/>
        <v>3107.206366</v>
      </c>
      <c r="N29" s="203">
        <f t="shared" si="19"/>
        <v>3179.515958</v>
      </c>
      <c r="O29" s="203">
        <f t="shared" si="19"/>
        <v>3286.183064</v>
      </c>
      <c r="P29" s="203">
        <f t="shared" si="19"/>
        <v>3296.269671</v>
      </c>
      <c r="Q29" s="203">
        <f t="shared" si="19"/>
        <v>3510.443462</v>
      </c>
      <c r="R29" s="204">
        <f t="shared" si="19"/>
        <v>3510.443462</v>
      </c>
      <c r="S29" s="203">
        <f t="shared" si="19"/>
        <v>3508.410278</v>
      </c>
      <c r="T29" s="203">
        <f t="shared" si="19"/>
        <v>3627.454158</v>
      </c>
      <c r="U29" s="203">
        <f t="shared" si="19"/>
        <v>3642.272531</v>
      </c>
      <c r="V29" s="203">
        <f t="shared" si="19"/>
        <v>3883.099672</v>
      </c>
      <c r="W29" s="204">
        <f t="shared" si="19"/>
        <v>3883.099672</v>
      </c>
      <c r="X29" s="203">
        <f t="shared" si="19"/>
        <v>3885.040355</v>
      </c>
      <c r="Y29" s="203">
        <f t="shared" si="19"/>
        <v>4020.3567</v>
      </c>
      <c r="Z29" s="203">
        <f t="shared" si="19"/>
        <v>4042.029209</v>
      </c>
      <c r="AA29" s="203">
        <f t="shared" si="19"/>
        <v>4310.106976</v>
      </c>
      <c r="AB29" s="204">
        <f t="shared" si="19"/>
        <v>4310.106976</v>
      </c>
      <c r="AC29" s="203">
        <f t="shared" si="19"/>
        <v>4328.245485</v>
      </c>
      <c r="AD29" s="203">
        <f t="shared" si="19"/>
        <v>4484.622811</v>
      </c>
      <c r="AE29" s="203">
        <f t="shared" si="19"/>
        <v>4513.583564</v>
      </c>
      <c r="AF29" s="203">
        <f t="shared" si="19"/>
        <v>4811.043609</v>
      </c>
      <c r="AG29" s="204">
        <f t="shared" si="19"/>
        <v>4811.043609</v>
      </c>
      <c r="AH29" s="203">
        <f t="shared" si="19"/>
        <v>4832.026128</v>
      </c>
      <c r="AI29" s="203">
        <f t="shared" si="19"/>
        <v>5002.069894</v>
      </c>
      <c r="AJ29" s="203">
        <f t="shared" si="19"/>
        <v>5035.416493</v>
      </c>
      <c r="AK29" s="203">
        <f t="shared" si="19"/>
        <v>5357.320449</v>
      </c>
      <c r="AL29" s="204">
        <f t="shared" si="19"/>
        <v>5357.320449</v>
      </c>
    </row>
    <row r="30" ht="10.5" customHeight="1">
      <c r="A30" s="181"/>
      <c r="B30" s="193"/>
      <c r="C30" s="194"/>
      <c r="D30" s="193"/>
      <c r="E30" s="193"/>
      <c r="F30" s="193"/>
      <c r="G30" s="193"/>
      <c r="H30" s="194"/>
      <c r="I30" s="193"/>
      <c r="J30" s="193"/>
      <c r="K30" s="193"/>
      <c r="L30" s="193"/>
      <c r="M30" s="194"/>
      <c r="N30" s="193"/>
      <c r="O30" s="193"/>
      <c r="P30" s="193"/>
      <c r="Q30" s="193"/>
      <c r="R30" s="194"/>
      <c r="S30" s="193"/>
      <c r="T30" s="193"/>
      <c r="U30" s="193"/>
      <c r="V30" s="193"/>
      <c r="W30" s="194"/>
      <c r="X30" s="193"/>
      <c r="Y30" s="193"/>
      <c r="Z30" s="193"/>
      <c r="AA30" s="193"/>
      <c r="AB30" s="194"/>
      <c r="AC30" s="193"/>
      <c r="AD30" s="193"/>
      <c r="AE30" s="193"/>
      <c r="AF30" s="193"/>
      <c r="AG30" s="194"/>
      <c r="AH30" s="193"/>
      <c r="AI30" s="193"/>
      <c r="AJ30" s="193"/>
      <c r="AK30" s="193"/>
      <c r="AL30" s="194"/>
    </row>
    <row r="31" ht="10.5" customHeight="1">
      <c r="A31" s="181" t="s">
        <v>322</v>
      </c>
      <c r="B31" s="186"/>
      <c r="C31" s="185"/>
      <c r="D31" s="186"/>
      <c r="E31" s="186"/>
      <c r="F31" s="186"/>
      <c r="G31" s="186"/>
      <c r="H31" s="185"/>
      <c r="I31" s="186"/>
      <c r="J31" s="186"/>
      <c r="K31" s="186"/>
      <c r="L31" s="186"/>
      <c r="M31" s="185"/>
      <c r="N31" s="186"/>
      <c r="O31" s="186"/>
      <c r="P31" s="186"/>
      <c r="Q31" s="186"/>
      <c r="R31" s="185"/>
      <c r="S31" s="186"/>
      <c r="T31" s="186"/>
      <c r="U31" s="186"/>
      <c r="V31" s="186"/>
      <c r="W31" s="185"/>
      <c r="X31" s="186"/>
      <c r="Y31" s="186"/>
      <c r="Z31" s="186"/>
      <c r="AA31" s="186"/>
      <c r="AB31" s="185"/>
      <c r="AC31" s="186"/>
      <c r="AD31" s="186"/>
      <c r="AE31" s="186"/>
      <c r="AF31" s="186"/>
      <c r="AG31" s="185"/>
      <c r="AH31" s="186"/>
      <c r="AI31" s="186"/>
      <c r="AJ31" s="186"/>
      <c r="AK31" s="186"/>
      <c r="AL31" s="185"/>
    </row>
    <row r="32" ht="10.5" customHeight="1">
      <c r="A32" s="181" t="s">
        <v>323</v>
      </c>
      <c r="B32" s="186"/>
      <c r="C32" s="185"/>
      <c r="D32" s="186"/>
      <c r="E32" s="186"/>
      <c r="F32" s="186"/>
      <c r="G32" s="186"/>
      <c r="H32" s="185"/>
      <c r="I32" s="186"/>
      <c r="J32" s="186"/>
      <c r="K32" s="186"/>
      <c r="L32" s="186"/>
      <c r="M32" s="185"/>
      <c r="N32" s="186"/>
      <c r="O32" s="186"/>
      <c r="P32" s="186"/>
      <c r="Q32" s="186"/>
      <c r="R32" s="185"/>
      <c r="S32" s="186"/>
      <c r="T32" s="186"/>
      <c r="U32" s="186"/>
      <c r="V32" s="186"/>
      <c r="W32" s="185"/>
      <c r="X32" s="186"/>
      <c r="Y32" s="186"/>
      <c r="Z32" s="186"/>
      <c r="AA32" s="186"/>
      <c r="AB32" s="185"/>
      <c r="AC32" s="186"/>
      <c r="AD32" s="186"/>
      <c r="AE32" s="186"/>
      <c r="AF32" s="186"/>
      <c r="AG32" s="185"/>
      <c r="AH32" s="186"/>
      <c r="AI32" s="186"/>
      <c r="AJ32" s="186"/>
      <c r="AK32" s="186"/>
      <c r="AL32" s="185"/>
    </row>
    <row r="33" ht="10.5" customHeight="1">
      <c r="A33" s="183" t="s">
        <v>324</v>
      </c>
      <c r="B33" s="184">
        <v>20.75</v>
      </c>
      <c r="C33" s="185">
        <f t="shared" ref="C33:C45" si="21">B33</f>
        <v>20.75</v>
      </c>
      <c r="D33" s="184">
        <v>20.75</v>
      </c>
      <c r="E33" s="184">
        <v>20.5</v>
      </c>
      <c r="F33" s="184">
        <v>22.5</v>
      </c>
      <c r="G33" s="184">
        <v>22.5</v>
      </c>
      <c r="H33" s="185">
        <f t="shared" ref="H33:H45" si="22">G33</f>
        <v>22.5</v>
      </c>
      <c r="I33" s="184">
        <v>22.5</v>
      </c>
      <c r="J33" s="184">
        <v>22.5</v>
      </c>
      <c r="K33" s="184">
        <v>22.5</v>
      </c>
      <c r="L33" s="186">
        <f t="shared" ref="L33:AL33" si="20">K33</f>
        <v>22.5</v>
      </c>
      <c r="M33" s="185">
        <f t="shared" si="20"/>
        <v>22.5</v>
      </c>
      <c r="N33" s="186">
        <f t="shared" si="20"/>
        <v>22.5</v>
      </c>
      <c r="O33" s="186">
        <f t="shared" si="20"/>
        <v>22.5</v>
      </c>
      <c r="P33" s="186">
        <f t="shared" si="20"/>
        <v>22.5</v>
      </c>
      <c r="Q33" s="186">
        <f t="shared" si="20"/>
        <v>22.5</v>
      </c>
      <c r="R33" s="185">
        <f t="shared" si="20"/>
        <v>22.5</v>
      </c>
      <c r="S33" s="186">
        <f t="shared" si="20"/>
        <v>22.5</v>
      </c>
      <c r="T33" s="186">
        <f t="shared" si="20"/>
        <v>22.5</v>
      </c>
      <c r="U33" s="186">
        <f t="shared" si="20"/>
        <v>22.5</v>
      </c>
      <c r="V33" s="186">
        <f t="shared" si="20"/>
        <v>22.5</v>
      </c>
      <c r="W33" s="185">
        <f t="shared" si="20"/>
        <v>22.5</v>
      </c>
      <c r="X33" s="186">
        <f t="shared" si="20"/>
        <v>22.5</v>
      </c>
      <c r="Y33" s="186">
        <f t="shared" si="20"/>
        <v>22.5</v>
      </c>
      <c r="Z33" s="186">
        <f t="shared" si="20"/>
        <v>22.5</v>
      </c>
      <c r="AA33" s="186">
        <f t="shared" si="20"/>
        <v>22.5</v>
      </c>
      <c r="AB33" s="185">
        <f t="shared" si="20"/>
        <v>22.5</v>
      </c>
      <c r="AC33" s="186">
        <f t="shared" si="20"/>
        <v>22.5</v>
      </c>
      <c r="AD33" s="186">
        <f t="shared" si="20"/>
        <v>22.5</v>
      </c>
      <c r="AE33" s="186">
        <f t="shared" si="20"/>
        <v>22.5</v>
      </c>
      <c r="AF33" s="186">
        <f t="shared" si="20"/>
        <v>22.5</v>
      </c>
      <c r="AG33" s="185">
        <f t="shared" si="20"/>
        <v>22.5</v>
      </c>
      <c r="AH33" s="186">
        <f t="shared" si="20"/>
        <v>22.5</v>
      </c>
      <c r="AI33" s="186">
        <f t="shared" si="20"/>
        <v>22.5</v>
      </c>
      <c r="AJ33" s="186">
        <f t="shared" si="20"/>
        <v>22.5</v>
      </c>
      <c r="AK33" s="186">
        <f t="shared" si="20"/>
        <v>22.5</v>
      </c>
      <c r="AL33" s="185">
        <f t="shared" si="20"/>
        <v>22.5</v>
      </c>
    </row>
    <row r="34" ht="10.5" customHeight="1">
      <c r="A34" s="183" t="s">
        <v>325</v>
      </c>
      <c r="B34" s="184">
        <v>0.0</v>
      </c>
      <c r="C34" s="185">
        <f t="shared" si="21"/>
        <v>0</v>
      </c>
      <c r="D34" s="184">
        <v>0.0</v>
      </c>
      <c r="E34" s="184">
        <v>0.0</v>
      </c>
      <c r="F34" s="184">
        <v>0.0</v>
      </c>
      <c r="G34" s="184">
        <v>0.0</v>
      </c>
      <c r="H34" s="185">
        <f t="shared" si="22"/>
        <v>0</v>
      </c>
      <c r="I34" s="184">
        <v>0.0</v>
      </c>
      <c r="J34" s="184">
        <f t="shared" ref="J34:AL34" si="23">I34</f>
        <v>0</v>
      </c>
      <c r="K34" s="184">
        <f t="shared" si="23"/>
        <v>0</v>
      </c>
      <c r="L34" s="186">
        <f t="shared" si="23"/>
        <v>0</v>
      </c>
      <c r="M34" s="185">
        <f t="shared" si="23"/>
        <v>0</v>
      </c>
      <c r="N34" s="186">
        <f t="shared" si="23"/>
        <v>0</v>
      </c>
      <c r="O34" s="186">
        <f t="shared" si="23"/>
        <v>0</v>
      </c>
      <c r="P34" s="186">
        <f t="shared" si="23"/>
        <v>0</v>
      </c>
      <c r="Q34" s="186">
        <f t="shared" si="23"/>
        <v>0</v>
      </c>
      <c r="R34" s="185">
        <f t="shared" si="23"/>
        <v>0</v>
      </c>
      <c r="S34" s="186">
        <f t="shared" si="23"/>
        <v>0</v>
      </c>
      <c r="T34" s="186">
        <f t="shared" si="23"/>
        <v>0</v>
      </c>
      <c r="U34" s="186">
        <f t="shared" si="23"/>
        <v>0</v>
      </c>
      <c r="V34" s="186">
        <f t="shared" si="23"/>
        <v>0</v>
      </c>
      <c r="W34" s="185">
        <f t="shared" si="23"/>
        <v>0</v>
      </c>
      <c r="X34" s="186">
        <f t="shared" si="23"/>
        <v>0</v>
      </c>
      <c r="Y34" s="186">
        <f t="shared" si="23"/>
        <v>0</v>
      </c>
      <c r="Z34" s="186">
        <f t="shared" si="23"/>
        <v>0</v>
      </c>
      <c r="AA34" s="186">
        <f t="shared" si="23"/>
        <v>0</v>
      </c>
      <c r="AB34" s="185">
        <f t="shared" si="23"/>
        <v>0</v>
      </c>
      <c r="AC34" s="186">
        <f t="shared" si="23"/>
        <v>0</v>
      </c>
      <c r="AD34" s="186">
        <f t="shared" si="23"/>
        <v>0</v>
      </c>
      <c r="AE34" s="186">
        <f t="shared" si="23"/>
        <v>0</v>
      </c>
      <c r="AF34" s="186">
        <f t="shared" si="23"/>
        <v>0</v>
      </c>
      <c r="AG34" s="185">
        <f t="shared" si="23"/>
        <v>0</v>
      </c>
      <c r="AH34" s="186">
        <f t="shared" si="23"/>
        <v>0</v>
      </c>
      <c r="AI34" s="186">
        <f t="shared" si="23"/>
        <v>0</v>
      </c>
      <c r="AJ34" s="186">
        <f t="shared" si="23"/>
        <v>0</v>
      </c>
      <c r="AK34" s="186">
        <f t="shared" si="23"/>
        <v>0</v>
      </c>
      <c r="AL34" s="185">
        <f t="shared" si="23"/>
        <v>0</v>
      </c>
    </row>
    <row r="35" ht="10.5" customHeight="1">
      <c r="A35" s="183" t="s">
        <v>326</v>
      </c>
      <c r="B35" s="184">
        <v>23.788</v>
      </c>
      <c r="C35" s="185">
        <f t="shared" si="21"/>
        <v>23.788</v>
      </c>
      <c r="D35" s="184">
        <v>20.56</v>
      </c>
      <c r="E35" s="184">
        <v>29.728</v>
      </c>
      <c r="F35" s="184">
        <v>31.844</v>
      </c>
      <c r="G35" s="184">
        <v>32.887</v>
      </c>
      <c r="H35" s="185">
        <f t="shared" si="22"/>
        <v>32.887</v>
      </c>
      <c r="I35" s="184">
        <v>25.757</v>
      </c>
      <c r="J35" s="184">
        <v>49.128</v>
      </c>
      <c r="K35" s="184">
        <v>48.013</v>
      </c>
      <c r="L35" s="186">
        <f>Assumptions!O172</f>
        <v>37.61251275</v>
      </c>
      <c r="M35" s="185">
        <f>L35</f>
        <v>37.61251275</v>
      </c>
      <c r="N35" s="186">
        <f>Assumptions!Q172</f>
        <v>29.12806528</v>
      </c>
      <c r="O35" s="186">
        <f>Assumptions!R172</f>
        <v>54.93241653</v>
      </c>
      <c r="P35" s="186">
        <f>Assumptions!S172</f>
        <v>28.9743366</v>
      </c>
      <c r="Q35" s="186">
        <f>Assumptions!T172</f>
        <v>74.95141824</v>
      </c>
      <c r="R35" s="185">
        <f>Q35</f>
        <v>74.95141824</v>
      </c>
      <c r="S35" s="186">
        <f>Assumptions!V172</f>
        <v>31.9198836</v>
      </c>
      <c r="T35" s="186">
        <f>Assumptions!W172</f>
        <v>59.84327877</v>
      </c>
      <c r="U35" s="186">
        <f>Assumptions!X172</f>
        <v>31.36488678</v>
      </c>
      <c r="V35" s="186">
        <f>Assumptions!Y172</f>
        <v>81.51185712</v>
      </c>
      <c r="W35" s="185">
        <f>V35</f>
        <v>81.51185712</v>
      </c>
      <c r="X35" s="186">
        <f>Assumptions!AA172</f>
        <v>34.43486342</v>
      </c>
      <c r="Y35" s="186">
        <f>Assumptions!AB172</f>
        <v>64.8501028</v>
      </c>
      <c r="Z35" s="186">
        <f>Assumptions!AC172</f>
        <v>34.14213701</v>
      </c>
      <c r="AA35" s="186">
        <f>Assumptions!AD172</f>
        <v>88.14405629</v>
      </c>
      <c r="AB35" s="185">
        <f>AA35</f>
        <v>88.14405629</v>
      </c>
      <c r="AC35" s="186">
        <f>Assumptions!AF172</f>
        <v>37.55809055</v>
      </c>
      <c r="AD35" s="186">
        <f>Assumptions!AG172</f>
        <v>70.536781</v>
      </c>
      <c r="AE35" s="186">
        <f>Assumptions!AH172</f>
        <v>37.02591189</v>
      </c>
      <c r="AF35" s="186">
        <f>Assumptions!AI172</f>
        <v>95.6059384</v>
      </c>
      <c r="AG35" s="185">
        <f>AF35</f>
        <v>95.6059384</v>
      </c>
      <c r="AH35" s="186">
        <f>Assumptions!AK172</f>
        <v>40.47334411</v>
      </c>
      <c r="AI35" s="186">
        <f>Assumptions!AL172</f>
        <v>75.79519231</v>
      </c>
      <c r="AJ35" s="186">
        <f>Assumptions!AM172</f>
        <v>39.69376101</v>
      </c>
      <c r="AK35" s="186">
        <f>Assumptions!AN172</f>
        <v>102.6751031</v>
      </c>
      <c r="AL35" s="185">
        <f>AK35</f>
        <v>102.6751031</v>
      </c>
    </row>
    <row r="36" ht="10.5" customHeight="1">
      <c r="A36" s="183" t="s">
        <v>327</v>
      </c>
      <c r="B36" s="184">
        <v>0.0</v>
      </c>
      <c r="C36" s="185">
        <f t="shared" si="21"/>
        <v>0</v>
      </c>
      <c r="D36" s="184">
        <v>0.0</v>
      </c>
      <c r="E36" s="184">
        <v>0.0</v>
      </c>
      <c r="F36" s="184">
        <v>0.0</v>
      </c>
      <c r="G36" s="184">
        <v>0.0</v>
      </c>
      <c r="H36" s="185">
        <f t="shared" si="22"/>
        <v>0</v>
      </c>
      <c r="I36" s="184">
        <v>0.0</v>
      </c>
      <c r="J36" s="184">
        <f t="shared" ref="J36:AL36" si="24">I36</f>
        <v>0</v>
      </c>
      <c r="K36" s="184">
        <f t="shared" si="24"/>
        <v>0</v>
      </c>
      <c r="L36" s="186">
        <f t="shared" si="24"/>
        <v>0</v>
      </c>
      <c r="M36" s="185">
        <f t="shared" si="24"/>
        <v>0</v>
      </c>
      <c r="N36" s="186">
        <f t="shared" si="24"/>
        <v>0</v>
      </c>
      <c r="O36" s="186">
        <f t="shared" si="24"/>
        <v>0</v>
      </c>
      <c r="P36" s="186">
        <f t="shared" si="24"/>
        <v>0</v>
      </c>
      <c r="Q36" s="186">
        <f t="shared" si="24"/>
        <v>0</v>
      </c>
      <c r="R36" s="185">
        <f t="shared" si="24"/>
        <v>0</v>
      </c>
      <c r="S36" s="186">
        <f t="shared" si="24"/>
        <v>0</v>
      </c>
      <c r="T36" s="186">
        <f t="shared" si="24"/>
        <v>0</v>
      </c>
      <c r="U36" s="186">
        <f t="shared" si="24"/>
        <v>0</v>
      </c>
      <c r="V36" s="186">
        <f t="shared" si="24"/>
        <v>0</v>
      </c>
      <c r="W36" s="185">
        <f t="shared" si="24"/>
        <v>0</v>
      </c>
      <c r="X36" s="186">
        <f t="shared" si="24"/>
        <v>0</v>
      </c>
      <c r="Y36" s="186">
        <f t="shared" si="24"/>
        <v>0</v>
      </c>
      <c r="Z36" s="186">
        <f t="shared" si="24"/>
        <v>0</v>
      </c>
      <c r="AA36" s="186">
        <f t="shared" si="24"/>
        <v>0</v>
      </c>
      <c r="AB36" s="185">
        <f t="shared" si="24"/>
        <v>0</v>
      </c>
      <c r="AC36" s="186">
        <f t="shared" si="24"/>
        <v>0</v>
      </c>
      <c r="AD36" s="186">
        <f t="shared" si="24"/>
        <v>0</v>
      </c>
      <c r="AE36" s="186">
        <f t="shared" si="24"/>
        <v>0</v>
      </c>
      <c r="AF36" s="186">
        <f t="shared" si="24"/>
        <v>0</v>
      </c>
      <c r="AG36" s="185">
        <f t="shared" si="24"/>
        <v>0</v>
      </c>
      <c r="AH36" s="186">
        <f t="shared" si="24"/>
        <v>0</v>
      </c>
      <c r="AI36" s="186">
        <f t="shared" si="24"/>
        <v>0</v>
      </c>
      <c r="AJ36" s="186">
        <f t="shared" si="24"/>
        <v>0</v>
      </c>
      <c r="AK36" s="186">
        <f t="shared" si="24"/>
        <v>0</v>
      </c>
      <c r="AL36" s="185">
        <f t="shared" si="24"/>
        <v>0</v>
      </c>
    </row>
    <row r="37" ht="10.5" customHeight="1">
      <c r="A37" s="183" t="s">
        <v>328</v>
      </c>
      <c r="B37" s="184">
        <v>66.299</v>
      </c>
      <c r="C37" s="185">
        <f t="shared" si="21"/>
        <v>66.299</v>
      </c>
      <c r="D37" s="184">
        <v>43.709</v>
      </c>
      <c r="E37" s="184">
        <v>56.898</v>
      </c>
      <c r="F37" s="184">
        <v>66.53</v>
      </c>
      <c r="G37" s="184">
        <v>67.895</v>
      </c>
      <c r="H37" s="185">
        <f t="shared" si="22"/>
        <v>67.895</v>
      </c>
      <c r="I37" s="184">
        <v>61.538</v>
      </c>
      <c r="J37" s="184">
        <v>57.768</v>
      </c>
      <c r="K37" s="184">
        <v>61.159</v>
      </c>
      <c r="L37" s="186">
        <f t="shared" ref="L37:AL37" si="25">K37</f>
        <v>61.159</v>
      </c>
      <c r="M37" s="185">
        <f t="shared" si="25"/>
        <v>61.159</v>
      </c>
      <c r="N37" s="186">
        <f t="shared" si="25"/>
        <v>61.159</v>
      </c>
      <c r="O37" s="186">
        <f t="shared" si="25"/>
        <v>61.159</v>
      </c>
      <c r="P37" s="186">
        <f t="shared" si="25"/>
        <v>61.159</v>
      </c>
      <c r="Q37" s="186">
        <f t="shared" si="25"/>
        <v>61.159</v>
      </c>
      <c r="R37" s="185">
        <f t="shared" si="25"/>
        <v>61.159</v>
      </c>
      <c r="S37" s="186">
        <f t="shared" si="25"/>
        <v>61.159</v>
      </c>
      <c r="T37" s="186">
        <f t="shared" si="25"/>
        <v>61.159</v>
      </c>
      <c r="U37" s="186">
        <f t="shared" si="25"/>
        <v>61.159</v>
      </c>
      <c r="V37" s="186">
        <f t="shared" si="25"/>
        <v>61.159</v>
      </c>
      <c r="W37" s="185">
        <f t="shared" si="25"/>
        <v>61.159</v>
      </c>
      <c r="X37" s="186">
        <f t="shared" si="25"/>
        <v>61.159</v>
      </c>
      <c r="Y37" s="186">
        <f t="shared" si="25"/>
        <v>61.159</v>
      </c>
      <c r="Z37" s="186">
        <f t="shared" si="25"/>
        <v>61.159</v>
      </c>
      <c r="AA37" s="186">
        <f t="shared" si="25"/>
        <v>61.159</v>
      </c>
      <c r="AB37" s="185">
        <f t="shared" si="25"/>
        <v>61.159</v>
      </c>
      <c r="AC37" s="186">
        <f t="shared" si="25"/>
        <v>61.159</v>
      </c>
      <c r="AD37" s="186">
        <f t="shared" si="25"/>
        <v>61.159</v>
      </c>
      <c r="AE37" s="186">
        <f t="shared" si="25"/>
        <v>61.159</v>
      </c>
      <c r="AF37" s="186">
        <f t="shared" si="25"/>
        <v>61.159</v>
      </c>
      <c r="AG37" s="185">
        <f t="shared" si="25"/>
        <v>61.159</v>
      </c>
      <c r="AH37" s="186">
        <f t="shared" si="25"/>
        <v>61.159</v>
      </c>
      <c r="AI37" s="186">
        <f t="shared" si="25"/>
        <v>61.159</v>
      </c>
      <c r="AJ37" s="186">
        <f t="shared" si="25"/>
        <v>61.159</v>
      </c>
      <c r="AK37" s="186">
        <f t="shared" si="25"/>
        <v>61.159</v>
      </c>
      <c r="AL37" s="185">
        <f t="shared" si="25"/>
        <v>61.159</v>
      </c>
    </row>
    <row r="38" ht="10.5" customHeight="1">
      <c r="A38" s="183" t="s">
        <v>329</v>
      </c>
      <c r="B38" s="184">
        <v>0.0</v>
      </c>
      <c r="C38" s="185">
        <f t="shared" si="21"/>
        <v>0</v>
      </c>
      <c r="D38" s="184">
        <v>0.0</v>
      </c>
      <c r="E38" s="184">
        <v>0.0</v>
      </c>
      <c r="F38" s="184">
        <v>0.0</v>
      </c>
      <c r="G38" s="184">
        <v>0.0</v>
      </c>
      <c r="H38" s="185">
        <f t="shared" si="22"/>
        <v>0</v>
      </c>
      <c r="I38" s="184">
        <v>0.0</v>
      </c>
      <c r="J38" s="184">
        <f t="shared" ref="J38:AL38" si="26">I38</f>
        <v>0</v>
      </c>
      <c r="K38" s="184">
        <f t="shared" si="26"/>
        <v>0</v>
      </c>
      <c r="L38" s="186">
        <f t="shared" si="26"/>
        <v>0</v>
      </c>
      <c r="M38" s="185">
        <f t="shared" si="26"/>
        <v>0</v>
      </c>
      <c r="N38" s="186">
        <f t="shared" si="26"/>
        <v>0</v>
      </c>
      <c r="O38" s="186">
        <f t="shared" si="26"/>
        <v>0</v>
      </c>
      <c r="P38" s="186">
        <f t="shared" si="26"/>
        <v>0</v>
      </c>
      <c r="Q38" s="186">
        <f t="shared" si="26"/>
        <v>0</v>
      </c>
      <c r="R38" s="185">
        <f t="shared" si="26"/>
        <v>0</v>
      </c>
      <c r="S38" s="186">
        <f t="shared" si="26"/>
        <v>0</v>
      </c>
      <c r="T38" s="186">
        <f t="shared" si="26"/>
        <v>0</v>
      </c>
      <c r="U38" s="186">
        <f t="shared" si="26"/>
        <v>0</v>
      </c>
      <c r="V38" s="186">
        <f t="shared" si="26"/>
        <v>0</v>
      </c>
      <c r="W38" s="185">
        <f t="shared" si="26"/>
        <v>0</v>
      </c>
      <c r="X38" s="186">
        <f t="shared" si="26"/>
        <v>0</v>
      </c>
      <c r="Y38" s="186">
        <f t="shared" si="26"/>
        <v>0</v>
      </c>
      <c r="Z38" s="186">
        <f t="shared" si="26"/>
        <v>0</v>
      </c>
      <c r="AA38" s="186">
        <f t="shared" si="26"/>
        <v>0</v>
      </c>
      <c r="AB38" s="185">
        <f t="shared" si="26"/>
        <v>0</v>
      </c>
      <c r="AC38" s="186">
        <f t="shared" si="26"/>
        <v>0</v>
      </c>
      <c r="AD38" s="186">
        <f t="shared" si="26"/>
        <v>0</v>
      </c>
      <c r="AE38" s="186">
        <f t="shared" si="26"/>
        <v>0</v>
      </c>
      <c r="AF38" s="186">
        <f t="shared" si="26"/>
        <v>0</v>
      </c>
      <c r="AG38" s="185">
        <f t="shared" si="26"/>
        <v>0</v>
      </c>
      <c r="AH38" s="186">
        <f t="shared" si="26"/>
        <v>0</v>
      </c>
      <c r="AI38" s="186">
        <f t="shared" si="26"/>
        <v>0</v>
      </c>
      <c r="AJ38" s="186">
        <f t="shared" si="26"/>
        <v>0</v>
      </c>
      <c r="AK38" s="186">
        <f t="shared" si="26"/>
        <v>0</v>
      </c>
      <c r="AL38" s="185">
        <f t="shared" si="26"/>
        <v>0</v>
      </c>
    </row>
    <row r="39" ht="10.5" customHeight="1">
      <c r="A39" s="183" t="s">
        <v>330</v>
      </c>
      <c r="B39" s="184">
        <v>0.0</v>
      </c>
      <c r="C39" s="185">
        <f t="shared" si="21"/>
        <v>0</v>
      </c>
      <c r="D39" s="184">
        <v>0.0</v>
      </c>
      <c r="E39" s="184">
        <v>0.0</v>
      </c>
      <c r="F39" s="184">
        <v>0.0</v>
      </c>
      <c r="G39" s="184">
        <v>0.0</v>
      </c>
      <c r="H39" s="185">
        <f t="shared" si="22"/>
        <v>0</v>
      </c>
      <c r="I39" s="184">
        <v>0.0</v>
      </c>
      <c r="J39" s="184">
        <f t="shared" ref="J39:AL39" si="27">I39</f>
        <v>0</v>
      </c>
      <c r="K39" s="184">
        <f t="shared" si="27"/>
        <v>0</v>
      </c>
      <c r="L39" s="186">
        <f t="shared" si="27"/>
        <v>0</v>
      </c>
      <c r="M39" s="185">
        <f t="shared" si="27"/>
        <v>0</v>
      </c>
      <c r="N39" s="186">
        <f t="shared" si="27"/>
        <v>0</v>
      </c>
      <c r="O39" s="186">
        <f t="shared" si="27"/>
        <v>0</v>
      </c>
      <c r="P39" s="186">
        <f t="shared" si="27"/>
        <v>0</v>
      </c>
      <c r="Q39" s="186">
        <f t="shared" si="27"/>
        <v>0</v>
      </c>
      <c r="R39" s="185">
        <f t="shared" si="27"/>
        <v>0</v>
      </c>
      <c r="S39" s="186">
        <f t="shared" si="27"/>
        <v>0</v>
      </c>
      <c r="T39" s="186">
        <f t="shared" si="27"/>
        <v>0</v>
      </c>
      <c r="U39" s="186">
        <f t="shared" si="27"/>
        <v>0</v>
      </c>
      <c r="V39" s="186">
        <f t="shared" si="27"/>
        <v>0</v>
      </c>
      <c r="W39" s="185">
        <f t="shared" si="27"/>
        <v>0</v>
      </c>
      <c r="X39" s="186">
        <f t="shared" si="27"/>
        <v>0</v>
      </c>
      <c r="Y39" s="186">
        <f t="shared" si="27"/>
        <v>0</v>
      </c>
      <c r="Z39" s="186">
        <f t="shared" si="27"/>
        <v>0</v>
      </c>
      <c r="AA39" s="186">
        <f t="shared" si="27"/>
        <v>0</v>
      </c>
      <c r="AB39" s="185">
        <f t="shared" si="27"/>
        <v>0</v>
      </c>
      <c r="AC39" s="186">
        <f t="shared" si="27"/>
        <v>0</v>
      </c>
      <c r="AD39" s="186">
        <f t="shared" si="27"/>
        <v>0</v>
      </c>
      <c r="AE39" s="186">
        <f t="shared" si="27"/>
        <v>0</v>
      </c>
      <c r="AF39" s="186">
        <f t="shared" si="27"/>
        <v>0</v>
      </c>
      <c r="AG39" s="185">
        <f t="shared" si="27"/>
        <v>0</v>
      </c>
      <c r="AH39" s="186">
        <f t="shared" si="27"/>
        <v>0</v>
      </c>
      <c r="AI39" s="186">
        <f t="shared" si="27"/>
        <v>0</v>
      </c>
      <c r="AJ39" s="186">
        <f t="shared" si="27"/>
        <v>0</v>
      </c>
      <c r="AK39" s="186">
        <f t="shared" si="27"/>
        <v>0</v>
      </c>
      <c r="AL39" s="185">
        <f t="shared" si="27"/>
        <v>0</v>
      </c>
    </row>
    <row r="40" ht="10.5" customHeight="1">
      <c r="A40" s="183" t="s">
        <v>331</v>
      </c>
      <c r="B40" s="184">
        <v>4.506</v>
      </c>
      <c r="C40" s="185">
        <f t="shared" si="21"/>
        <v>4.506</v>
      </c>
      <c r="D40" s="184">
        <v>7.594</v>
      </c>
      <c r="E40" s="184">
        <v>5.138</v>
      </c>
      <c r="F40" s="184">
        <v>10.345</v>
      </c>
      <c r="G40" s="184">
        <v>1.851</v>
      </c>
      <c r="H40" s="185">
        <f t="shared" si="22"/>
        <v>1.851</v>
      </c>
      <c r="I40" s="184">
        <v>2.489</v>
      </c>
      <c r="J40" s="184">
        <v>7.86</v>
      </c>
      <c r="K40" s="184">
        <v>11.177</v>
      </c>
      <c r="L40" s="186">
        <f t="shared" ref="L40:AL40" si="28">K40</f>
        <v>11.177</v>
      </c>
      <c r="M40" s="185">
        <f t="shared" si="28"/>
        <v>11.177</v>
      </c>
      <c r="N40" s="186">
        <f t="shared" si="28"/>
        <v>11.177</v>
      </c>
      <c r="O40" s="186">
        <f t="shared" si="28"/>
        <v>11.177</v>
      </c>
      <c r="P40" s="186">
        <f t="shared" si="28"/>
        <v>11.177</v>
      </c>
      <c r="Q40" s="186">
        <f t="shared" si="28"/>
        <v>11.177</v>
      </c>
      <c r="R40" s="185">
        <f t="shared" si="28"/>
        <v>11.177</v>
      </c>
      <c r="S40" s="186">
        <f t="shared" si="28"/>
        <v>11.177</v>
      </c>
      <c r="T40" s="186">
        <f t="shared" si="28"/>
        <v>11.177</v>
      </c>
      <c r="U40" s="186">
        <f t="shared" si="28"/>
        <v>11.177</v>
      </c>
      <c r="V40" s="186">
        <f t="shared" si="28"/>
        <v>11.177</v>
      </c>
      <c r="W40" s="185">
        <f t="shared" si="28"/>
        <v>11.177</v>
      </c>
      <c r="X40" s="186">
        <f t="shared" si="28"/>
        <v>11.177</v>
      </c>
      <c r="Y40" s="186">
        <f t="shared" si="28"/>
        <v>11.177</v>
      </c>
      <c r="Z40" s="186">
        <f t="shared" si="28"/>
        <v>11.177</v>
      </c>
      <c r="AA40" s="186">
        <f t="shared" si="28"/>
        <v>11.177</v>
      </c>
      <c r="AB40" s="185">
        <f t="shared" si="28"/>
        <v>11.177</v>
      </c>
      <c r="AC40" s="186">
        <f t="shared" si="28"/>
        <v>11.177</v>
      </c>
      <c r="AD40" s="186">
        <f t="shared" si="28"/>
        <v>11.177</v>
      </c>
      <c r="AE40" s="186">
        <f t="shared" si="28"/>
        <v>11.177</v>
      </c>
      <c r="AF40" s="186">
        <f t="shared" si="28"/>
        <v>11.177</v>
      </c>
      <c r="AG40" s="185">
        <f t="shared" si="28"/>
        <v>11.177</v>
      </c>
      <c r="AH40" s="186">
        <f t="shared" si="28"/>
        <v>11.177</v>
      </c>
      <c r="AI40" s="186">
        <f t="shared" si="28"/>
        <v>11.177</v>
      </c>
      <c r="AJ40" s="186">
        <f t="shared" si="28"/>
        <v>11.177</v>
      </c>
      <c r="AK40" s="186">
        <f t="shared" si="28"/>
        <v>11.177</v>
      </c>
      <c r="AL40" s="185">
        <f t="shared" si="28"/>
        <v>11.177</v>
      </c>
    </row>
    <row r="41" ht="10.5" customHeight="1">
      <c r="A41" s="183" t="s">
        <v>332</v>
      </c>
      <c r="B41" s="184">
        <v>0.0</v>
      </c>
      <c r="C41" s="185">
        <f t="shared" si="21"/>
        <v>0</v>
      </c>
      <c r="D41" s="184">
        <v>0.0</v>
      </c>
      <c r="E41" s="184">
        <v>0.0</v>
      </c>
      <c r="F41" s="184">
        <v>0.0</v>
      </c>
      <c r="G41" s="184">
        <v>0.0</v>
      </c>
      <c r="H41" s="185">
        <f t="shared" si="22"/>
        <v>0</v>
      </c>
      <c r="I41" s="184">
        <v>0.0</v>
      </c>
      <c r="J41" s="184">
        <f>I41</f>
        <v>0</v>
      </c>
      <c r="K41" s="184">
        <v>2.613</v>
      </c>
      <c r="L41" s="186">
        <f t="shared" ref="L41:AL41" si="29">K41</f>
        <v>2.613</v>
      </c>
      <c r="M41" s="185">
        <f t="shared" si="29"/>
        <v>2.613</v>
      </c>
      <c r="N41" s="186">
        <f t="shared" si="29"/>
        <v>2.613</v>
      </c>
      <c r="O41" s="186">
        <f t="shared" si="29"/>
        <v>2.613</v>
      </c>
      <c r="P41" s="186">
        <f t="shared" si="29"/>
        <v>2.613</v>
      </c>
      <c r="Q41" s="186">
        <f t="shared" si="29"/>
        <v>2.613</v>
      </c>
      <c r="R41" s="185">
        <f t="shared" si="29"/>
        <v>2.613</v>
      </c>
      <c r="S41" s="186">
        <f t="shared" si="29"/>
        <v>2.613</v>
      </c>
      <c r="T41" s="186">
        <f t="shared" si="29"/>
        <v>2.613</v>
      </c>
      <c r="U41" s="186">
        <f t="shared" si="29"/>
        <v>2.613</v>
      </c>
      <c r="V41" s="186">
        <f t="shared" si="29"/>
        <v>2.613</v>
      </c>
      <c r="W41" s="185">
        <f t="shared" si="29"/>
        <v>2.613</v>
      </c>
      <c r="X41" s="186">
        <f t="shared" si="29"/>
        <v>2.613</v>
      </c>
      <c r="Y41" s="186">
        <f t="shared" si="29"/>
        <v>2.613</v>
      </c>
      <c r="Z41" s="186">
        <f t="shared" si="29"/>
        <v>2.613</v>
      </c>
      <c r="AA41" s="186">
        <f t="shared" si="29"/>
        <v>2.613</v>
      </c>
      <c r="AB41" s="185">
        <f t="shared" si="29"/>
        <v>2.613</v>
      </c>
      <c r="AC41" s="186">
        <f t="shared" si="29"/>
        <v>2.613</v>
      </c>
      <c r="AD41" s="186">
        <f t="shared" si="29"/>
        <v>2.613</v>
      </c>
      <c r="AE41" s="186">
        <f t="shared" si="29"/>
        <v>2.613</v>
      </c>
      <c r="AF41" s="186">
        <f t="shared" si="29"/>
        <v>2.613</v>
      </c>
      <c r="AG41" s="185">
        <f t="shared" si="29"/>
        <v>2.613</v>
      </c>
      <c r="AH41" s="186">
        <f t="shared" si="29"/>
        <v>2.613</v>
      </c>
      <c r="AI41" s="186">
        <f t="shared" si="29"/>
        <v>2.613</v>
      </c>
      <c r="AJ41" s="186">
        <f t="shared" si="29"/>
        <v>2.613</v>
      </c>
      <c r="AK41" s="186">
        <f t="shared" si="29"/>
        <v>2.613</v>
      </c>
      <c r="AL41" s="185">
        <f t="shared" si="29"/>
        <v>2.613</v>
      </c>
    </row>
    <row r="42" ht="10.5" customHeight="1">
      <c r="A42" s="183" t="s">
        <v>289</v>
      </c>
      <c r="B42" s="184">
        <v>59.591</v>
      </c>
      <c r="C42" s="185">
        <f t="shared" si="21"/>
        <v>59.591</v>
      </c>
      <c r="D42" s="184">
        <v>77.263</v>
      </c>
      <c r="E42" s="184">
        <v>76.052</v>
      </c>
      <c r="F42" s="184">
        <v>67.517</v>
      </c>
      <c r="G42" s="184">
        <v>62.111</v>
      </c>
      <c r="H42" s="185">
        <f t="shared" si="22"/>
        <v>62.111</v>
      </c>
      <c r="I42" s="184">
        <v>80.755</v>
      </c>
      <c r="J42" s="184">
        <v>77.309</v>
      </c>
      <c r="K42" s="184">
        <v>65.219</v>
      </c>
      <c r="L42" s="186">
        <f>Assumptions!O181</f>
        <v>68.80547221</v>
      </c>
      <c r="M42" s="185">
        <f>L42</f>
        <v>68.80547221</v>
      </c>
      <c r="N42" s="186">
        <f>Assumptions!Q181</f>
        <v>90.07532432</v>
      </c>
      <c r="O42" s="186">
        <f>Assumptions!R181</f>
        <v>86.36634452</v>
      </c>
      <c r="P42" s="186">
        <f>Assumptions!S181</f>
        <v>42.89179598</v>
      </c>
      <c r="Q42" s="186">
        <f>Assumptions!T181</f>
        <v>130.5287419</v>
      </c>
      <c r="R42" s="185">
        <f>Q42</f>
        <v>130.5287419</v>
      </c>
      <c r="S42" s="186">
        <f>Assumptions!V181</f>
        <v>101.9071147</v>
      </c>
      <c r="T42" s="186">
        <f>Assumptions!W181</f>
        <v>97.02239172</v>
      </c>
      <c r="U42" s="186">
        <f>Assumptions!X181</f>
        <v>47.83615427</v>
      </c>
      <c r="V42" s="186">
        <f>Assumptions!Y181</f>
        <v>146.6507489</v>
      </c>
      <c r="W42" s="185">
        <f>V42</f>
        <v>146.6507489</v>
      </c>
      <c r="X42" s="186">
        <f>Assumptions!AA181</f>
        <v>112.5757961</v>
      </c>
      <c r="Y42" s="186">
        <f>Assumptions!AB181</f>
        <v>106.7891895</v>
      </c>
      <c r="Z42" s="186">
        <f>Assumptions!AC181</f>
        <v>52.49141215</v>
      </c>
      <c r="AA42" s="186">
        <f>Assumptions!AD181</f>
        <v>161.2185404</v>
      </c>
      <c r="AB42" s="185">
        <f>AA42</f>
        <v>161.2185404</v>
      </c>
      <c r="AC42" s="186">
        <f>Assumptions!AF181</f>
        <v>122.8428776</v>
      </c>
      <c r="AD42" s="186">
        <f>Assumptions!AG181</f>
        <v>116.2142379</v>
      </c>
      <c r="AE42" s="186">
        <f>Assumptions!AH181</f>
        <v>56.96025138</v>
      </c>
      <c r="AF42" s="186">
        <f>Assumptions!AI181</f>
        <v>175.1318238</v>
      </c>
      <c r="AG42" s="185">
        <f>AF42</f>
        <v>175.1318238</v>
      </c>
      <c r="AH42" s="186">
        <f>Assumptions!AK181</f>
        <v>132.4269525</v>
      </c>
      <c r="AI42" s="186">
        <f>Assumptions!AL181</f>
        <v>124.9327628</v>
      </c>
      <c r="AJ42" s="186">
        <f>Assumptions!AM181</f>
        <v>61.09597612</v>
      </c>
      <c r="AK42" s="186">
        <f>Assumptions!AN181</f>
        <v>188.3757653</v>
      </c>
      <c r="AL42" s="185">
        <f>AK42</f>
        <v>188.3757653</v>
      </c>
    </row>
    <row r="43" ht="10.5" customHeight="1">
      <c r="A43" s="183" t="s">
        <v>333</v>
      </c>
      <c r="B43" s="184">
        <v>41.294</v>
      </c>
      <c r="C43" s="185">
        <f t="shared" si="21"/>
        <v>41.294</v>
      </c>
      <c r="D43" s="184">
        <v>41.294</v>
      </c>
      <c r="E43" s="184">
        <v>49.181</v>
      </c>
      <c r="F43" s="184">
        <v>48.553</v>
      </c>
      <c r="G43" s="184">
        <v>55.556</v>
      </c>
      <c r="H43" s="185">
        <f t="shared" si="22"/>
        <v>55.556</v>
      </c>
      <c r="I43" s="184">
        <v>55.556</v>
      </c>
      <c r="J43" s="184">
        <v>55.044</v>
      </c>
      <c r="K43" s="184">
        <v>49.672</v>
      </c>
      <c r="L43" s="186">
        <f t="shared" ref="L43:AL43" si="30">K43</f>
        <v>49.672</v>
      </c>
      <c r="M43" s="185">
        <f t="shared" si="30"/>
        <v>49.672</v>
      </c>
      <c r="N43" s="186">
        <f t="shared" si="30"/>
        <v>49.672</v>
      </c>
      <c r="O43" s="186">
        <f t="shared" si="30"/>
        <v>49.672</v>
      </c>
      <c r="P43" s="186">
        <f t="shared" si="30"/>
        <v>49.672</v>
      </c>
      <c r="Q43" s="186">
        <f t="shared" si="30"/>
        <v>49.672</v>
      </c>
      <c r="R43" s="185">
        <f t="shared" si="30"/>
        <v>49.672</v>
      </c>
      <c r="S43" s="186">
        <f t="shared" si="30"/>
        <v>49.672</v>
      </c>
      <c r="T43" s="186">
        <f t="shared" si="30"/>
        <v>49.672</v>
      </c>
      <c r="U43" s="186">
        <f t="shared" si="30"/>
        <v>49.672</v>
      </c>
      <c r="V43" s="186">
        <f t="shared" si="30"/>
        <v>49.672</v>
      </c>
      <c r="W43" s="185">
        <f t="shared" si="30"/>
        <v>49.672</v>
      </c>
      <c r="X43" s="186">
        <f t="shared" si="30"/>
        <v>49.672</v>
      </c>
      <c r="Y43" s="186">
        <f t="shared" si="30"/>
        <v>49.672</v>
      </c>
      <c r="Z43" s="186">
        <f t="shared" si="30"/>
        <v>49.672</v>
      </c>
      <c r="AA43" s="186">
        <f t="shared" si="30"/>
        <v>49.672</v>
      </c>
      <c r="AB43" s="185">
        <f t="shared" si="30"/>
        <v>49.672</v>
      </c>
      <c r="AC43" s="186">
        <f t="shared" si="30"/>
        <v>49.672</v>
      </c>
      <c r="AD43" s="186">
        <f t="shared" si="30"/>
        <v>49.672</v>
      </c>
      <c r="AE43" s="186">
        <f t="shared" si="30"/>
        <v>49.672</v>
      </c>
      <c r="AF43" s="186">
        <f t="shared" si="30"/>
        <v>49.672</v>
      </c>
      <c r="AG43" s="185">
        <f t="shared" si="30"/>
        <v>49.672</v>
      </c>
      <c r="AH43" s="186">
        <f t="shared" si="30"/>
        <v>49.672</v>
      </c>
      <c r="AI43" s="186">
        <f t="shared" si="30"/>
        <v>49.672</v>
      </c>
      <c r="AJ43" s="186">
        <f t="shared" si="30"/>
        <v>49.672</v>
      </c>
      <c r="AK43" s="186">
        <f t="shared" si="30"/>
        <v>49.672</v>
      </c>
      <c r="AL43" s="185">
        <f t="shared" si="30"/>
        <v>49.672</v>
      </c>
    </row>
    <row r="44" ht="10.5" customHeight="1">
      <c r="A44" s="183" t="s">
        <v>334</v>
      </c>
      <c r="B44" s="184">
        <v>0.0</v>
      </c>
      <c r="C44" s="185">
        <f t="shared" si="21"/>
        <v>0</v>
      </c>
      <c r="D44" s="184">
        <v>0.0</v>
      </c>
      <c r="E44" s="184">
        <v>0.0</v>
      </c>
      <c r="F44" s="184">
        <v>0.0</v>
      </c>
      <c r="G44" s="184">
        <v>0.0</v>
      </c>
      <c r="H44" s="185">
        <f t="shared" si="22"/>
        <v>0</v>
      </c>
      <c r="I44" s="184">
        <v>0.0</v>
      </c>
      <c r="J44" s="184">
        <f t="shared" ref="J44:AL44" si="31">I44</f>
        <v>0</v>
      </c>
      <c r="K44" s="184">
        <f t="shared" si="31"/>
        <v>0</v>
      </c>
      <c r="L44" s="186">
        <f t="shared" si="31"/>
        <v>0</v>
      </c>
      <c r="M44" s="185">
        <f t="shared" si="31"/>
        <v>0</v>
      </c>
      <c r="N44" s="186">
        <f t="shared" si="31"/>
        <v>0</v>
      </c>
      <c r="O44" s="186">
        <f t="shared" si="31"/>
        <v>0</v>
      </c>
      <c r="P44" s="186">
        <f t="shared" si="31"/>
        <v>0</v>
      </c>
      <c r="Q44" s="186">
        <f t="shared" si="31"/>
        <v>0</v>
      </c>
      <c r="R44" s="185">
        <f t="shared" si="31"/>
        <v>0</v>
      </c>
      <c r="S44" s="186">
        <f t="shared" si="31"/>
        <v>0</v>
      </c>
      <c r="T44" s="186">
        <f t="shared" si="31"/>
        <v>0</v>
      </c>
      <c r="U44" s="186">
        <f t="shared" si="31"/>
        <v>0</v>
      </c>
      <c r="V44" s="186">
        <f t="shared" si="31"/>
        <v>0</v>
      </c>
      <c r="W44" s="185">
        <f t="shared" si="31"/>
        <v>0</v>
      </c>
      <c r="X44" s="186">
        <f t="shared" si="31"/>
        <v>0</v>
      </c>
      <c r="Y44" s="186">
        <f t="shared" si="31"/>
        <v>0</v>
      </c>
      <c r="Z44" s="186">
        <f t="shared" si="31"/>
        <v>0</v>
      </c>
      <c r="AA44" s="186">
        <f t="shared" si="31"/>
        <v>0</v>
      </c>
      <c r="AB44" s="185">
        <f t="shared" si="31"/>
        <v>0</v>
      </c>
      <c r="AC44" s="186">
        <f t="shared" si="31"/>
        <v>0</v>
      </c>
      <c r="AD44" s="186">
        <f t="shared" si="31"/>
        <v>0</v>
      </c>
      <c r="AE44" s="186">
        <f t="shared" si="31"/>
        <v>0</v>
      </c>
      <c r="AF44" s="186">
        <f t="shared" si="31"/>
        <v>0</v>
      </c>
      <c r="AG44" s="185">
        <f t="shared" si="31"/>
        <v>0</v>
      </c>
      <c r="AH44" s="186">
        <f t="shared" si="31"/>
        <v>0</v>
      </c>
      <c r="AI44" s="186">
        <f t="shared" si="31"/>
        <v>0</v>
      </c>
      <c r="AJ44" s="186">
        <f t="shared" si="31"/>
        <v>0</v>
      </c>
      <c r="AK44" s="186">
        <f t="shared" si="31"/>
        <v>0</v>
      </c>
      <c r="AL44" s="185">
        <f t="shared" si="31"/>
        <v>0</v>
      </c>
    </row>
    <row r="45" ht="10.5" customHeight="1">
      <c r="A45" s="189" t="s">
        <v>335</v>
      </c>
      <c r="B45" s="190">
        <v>35.101</v>
      </c>
      <c r="C45" s="191">
        <f t="shared" si="21"/>
        <v>35.101</v>
      </c>
      <c r="D45" s="190">
        <v>35.331</v>
      </c>
      <c r="E45" s="190">
        <v>34.629</v>
      </c>
      <c r="F45" s="190">
        <v>39.001</v>
      </c>
      <c r="G45" s="190">
        <v>39.695</v>
      </c>
      <c r="H45" s="191">
        <f t="shared" si="22"/>
        <v>39.695</v>
      </c>
      <c r="I45" s="190">
        <v>38.858</v>
      </c>
      <c r="J45" s="190">
        <v>40.581</v>
      </c>
      <c r="K45" s="190">
        <v>40.091</v>
      </c>
      <c r="L45" s="192">
        <f t="shared" ref="L45:AL45" si="32">K45</f>
        <v>40.091</v>
      </c>
      <c r="M45" s="191">
        <f t="shared" si="32"/>
        <v>40.091</v>
      </c>
      <c r="N45" s="192">
        <f t="shared" si="32"/>
        <v>40.091</v>
      </c>
      <c r="O45" s="192">
        <f t="shared" si="32"/>
        <v>40.091</v>
      </c>
      <c r="P45" s="192">
        <f t="shared" si="32"/>
        <v>40.091</v>
      </c>
      <c r="Q45" s="192">
        <f t="shared" si="32"/>
        <v>40.091</v>
      </c>
      <c r="R45" s="191">
        <f t="shared" si="32"/>
        <v>40.091</v>
      </c>
      <c r="S45" s="192">
        <f t="shared" si="32"/>
        <v>40.091</v>
      </c>
      <c r="T45" s="192">
        <f t="shared" si="32"/>
        <v>40.091</v>
      </c>
      <c r="U45" s="192">
        <f t="shared" si="32"/>
        <v>40.091</v>
      </c>
      <c r="V45" s="192">
        <f t="shared" si="32"/>
        <v>40.091</v>
      </c>
      <c r="W45" s="191">
        <f t="shared" si="32"/>
        <v>40.091</v>
      </c>
      <c r="X45" s="192">
        <f t="shared" si="32"/>
        <v>40.091</v>
      </c>
      <c r="Y45" s="192">
        <f t="shared" si="32"/>
        <v>40.091</v>
      </c>
      <c r="Z45" s="192">
        <f t="shared" si="32"/>
        <v>40.091</v>
      </c>
      <c r="AA45" s="192">
        <f t="shared" si="32"/>
        <v>40.091</v>
      </c>
      <c r="AB45" s="191">
        <f t="shared" si="32"/>
        <v>40.091</v>
      </c>
      <c r="AC45" s="192">
        <f t="shared" si="32"/>
        <v>40.091</v>
      </c>
      <c r="AD45" s="192">
        <f t="shared" si="32"/>
        <v>40.091</v>
      </c>
      <c r="AE45" s="192">
        <f t="shared" si="32"/>
        <v>40.091</v>
      </c>
      <c r="AF45" s="192">
        <f t="shared" si="32"/>
        <v>40.091</v>
      </c>
      <c r="AG45" s="191">
        <f t="shared" si="32"/>
        <v>40.091</v>
      </c>
      <c r="AH45" s="192">
        <f t="shared" si="32"/>
        <v>40.091</v>
      </c>
      <c r="AI45" s="192">
        <f t="shared" si="32"/>
        <v>40.091</v>
      </c>
      <c r="AJ45" s="192">
        <f t="shared" si="32"/>
        <v>40.091</v>
      </c>
      <c r="AK45" s="192">
        <f t="shared" si="32"/>
        <v>40.091</v>
      </c>
      <c r="AL45" s="191">
        <f t="shared" si="32"/>
        <v>40.091</v>
      </c>
    </row>
    <row r="46" ht="10.5" customHeight="1">
      <c r="A46" s="298" t="s">
        <v>336</v>
      </c>
      <c r="B46" s="199">
        <f t="shared" ref="B46:AL46" si="33">SUM(B33:B45)</f>
        <v>251.329</v>
      </c>
      <c r="C46" s="206">
        <f t="shared" si="33"/>
        <v>251.329</v>
      </c>
      <c r="D46" s="199">
        <f t="shared" si="33"/>
        <v>246.501</v>
      </c>
      <c r="E46" s="199">
        <f t="shared" si="33"/>
        <v>272.126</v>
      </c>
      <c r="F46" s="199">
        <f t="shared" si="33"/>
        <v>286.29</v>
      </c>
      <c r="G46" s="199">
        <f t="shared" si="33"/>
        <v>282.495</v>
      </c>
      <c r="H46" s="206">
        <f t="shared" si="33"/>
        <v>282.495</v>
      </c>
      <c r="I46" s="199">
        <f t="shared" si="33"/>
        <v>287.453</v>
      </c>
      <c r="J46" s="199">
        <f t="shared" si="33"/>
        <v>310.19</v>
      </c>
      <c r="K46" s="199">
        <f t="shared" si="33"/>
        <v>300.444</v>
      </c>
      <c r="L46" s="199">
        <f t="shared" si="33"/>
        <v>293.629985</v>
      </c>
      <c r="M46" s="206">
        <f t="shared" si="33"/>
        <v>293.629985</v>
      </c>
      <c r="N46" s="199">
        <f t="shared" si="33"/>
        <v>306.4153896</v>
      </c>
      <c r="O46" s="199">
        <f t="shared" si="33"/>
        <v>328.510761</v>
      </c>
      <c r="P46" s="199">
        <f t="shared" si="33"/>
        <v>259.0781326</v>
      </c>
      <c r="Q46" s="199">
        <f t="shared" si="33"/>
        <v>392.6921601</v>
      </c>
      <c r="R46" s="206">
        <f t="shared" si="33"/>
        <v>392.6921601</v>
      </c>
      <c r="S46" s="199">
        <f t="shared" si="33"/>
        <v>321.0389984</v>
      </c>
      <c r="T46" s="199">
        <f t="shared" si="33"/>
        <v>344.0776705</v>
      </c>
      <c r="U46" s="199">
        <f t="shared" si="33"/>
        <v>266.413041</v>
      </c>
      <c r="V46" s="199">
        <f t="shared" si="33"/>
        <v>415.3746061</v>
      </c>
      <c r="W46" s="206">
        <f t="shared" si="33"/>
        <v>415.3746061</v>
      </c>
      <c r="X46" s="199">
        <f t="shared" si="33"/>
        <v>334.2226596</v>
      </c>
      <c r="Y46" s="199">
        <f t="shared" si="33"/>
        <v>358.8512923</v>
      </c>
      <c r="Z46" s="199">
        <f t="shared" si="33"/>
        <v>273.8455492</v>
      </c>
      <c r="AA46" s="199">
        <f t="shared" si="33"/>
        <v>436.5745967</v>
      </c>
      <c r="AB46" s="206">
        <f t="shared" si="33"/>
        <v>436.5745967</v>
      </c>
      <c r="AC46" s="199">
        <f t="shared" si="33"/>
        <v>347.6129681</v>
      </c>
      <c r="AD46" s="199">
        <f t="shared" si="33"/>
        <v>373.9630189</v>
      </c>
      <c r="AE46" s="199">
        <f t="shared" si="33"/>
        <v>281.1981633</v>
      </c>
      <c r="AF46" s="199">
        <f t="shared" si="33"/>
        <v>457.9497622</v>
      </c>
      <c r="AG46" s="206">
        <f t="shared" si="33"/>
        <v>457.9497622</v>
      </c>
      <c r="AH46" s="199">
        <f t="shared" si="33"/>
        <v>360.1122967</v>
      </c>
      <c r="AI46" s="199">
        <f t="shared" si="33"/>
        <v>387.9399551</v>
      </c>
      <c r="AJ46" s="199">
        <f t="shared" si="33"/>
        <v>288.0017371</v>
      </c>
      <c r="AK46" s="199">
        <f t="shared" si="33"/>
        <v>478.2628684</v>
      </c>
      <c r="AL46" s="206">
        <f t="shared" si="33"/>
        <v>478.2628684</v>
      </c>
    </row>
    <row r="47" ht="10.5" customHeight="1">
      <c r="A47" s="164" t="s">
        <v>337</v>
      </c>
      <c r="B47" s="184">
        <v>1962.874</v>
      </c>
      <c r="C47" s="185">
        <f t="shared" ref="C47:C55" si="34">B47</f>
        <v>1962.874</v>
      </c>
      <c r="D47" s="184">
        <v>1959.032</v>
      </c>
      <c r="E47" s="184">
        <v>2156.551</v>
      </c>
      <c r="F47" s="184">
        <v>2152.276</v>
      </c>
      <c r="G47" s="184">
        <v>2148.029</v>
      </c>
      <c r="H47" s="185">
        <f t="shared" ref="H47:H55" si="35">G47</f>
        <v>2148.029</v>
      </c>
      <c r="I47" s="184">
        <v>2143.718</v>
      </c>
      <c r="J47" s="184">
        <v>2139.418</v>
      </c>
      <c r="K47" s="184">
        <v>2135.129</v>
      </c>
      <c r="L47" s="186">
        <f>Assumptions!O149-'Balance Sheet'!L33</f>
        <v>2129.504</v>
      </c>
      <c r="M47" s="185">
        <f>L47</f>
        <v>2129.504</v>
      </c>
      <c r="N47" s="186">
        <f>Assumptions!Q149-'Balance Sheet'!N33</f>
        <v>2129.504</v>
      </c>
      <c r="O47" s="186">
        <f>Assumptions!R149-'Balance Sheet'!O33</f>
        <v>2129.504</v>
      </c>
      <c r="P47" s="186">
        <f>Assumptions!S149-'Balance Sheet'!P33</f>
        <v>2129.504</v>
      </c>
      <c r="Q47" s="186">
        <f>Assumptions!T149-'Balance Sheet'!Q33</f>
        <v>2129.504</v>
      </c>
      <c r="R47" s="185">
        <f>Q47</f>
        <v>2129.504</v>
      </c>
      <c r="S47" s="186">
        <f>Assumptions!V149-'Balance Sheet'!S33</f>
        <v>2124.9415</v>
      </c>
      <c r="T47" s="186">
        <f>Assumptions!W149-'Balance Sheet'!T33</f>
        <v>2120.379</v>
      </c>
      <c r="U47" s="186">
        <f>Assumptions!X149-'Balance Sheet'!U33</f>
        <v>2115.8165</v>
      </c>
      <c r="V47" s="186">
        <f>Assumptions!Y149-'Balance Sheet'!V33</f>
        <v>2111.254</v>
      </c>
      <c r="W47" s="185">
        <f>V47</f>
        <v>2111.254</v>
      </c>
      <c r="X47" s="186">
        <f>Assumptions!AA149-'Balance Sheet'!X33</f>
        <v>2106.6915</v>
      </c>
      <c r="Y47" s="186">
        <f>Assumptions!AB149-'Balance Sheet'!Y33</f>
        <v>2102.129</v>
      </c>
      <c r="Z47" s="186">
        <f>Assumptions!AC149-'Balance Sheet'!Z33</f>
        <v>2097.5665</v>
      </c>
      <c r="AA47" s="186">
        <f>Assumptions!AD149-'Balance Sheet'!AA33</f>
        <v>2093.004</v>
      </c>
      <c r="AB47" s="185">
        <f>AA47</f>
        <v>2093.004</v>
      </c>
      <c r="AC47" s="186">
        <f>Assumptions!AF149-'Balance Sheet'!AC33</f>
        <v>2093.004</v>
      </c>
      <c r="AD47" s="186">
        <f>Assumptions!AG149-'Balance Sheet'!AD33</f>
        <v>2093.004</v>
      </c>
      <c r="AE47" s="186">
        <f>Assumptions!AH149-'Balance Sheet'!AE33</f>
        <v>2093.004</v>
      </c>
      <c r="AF47" s="186">
        <f>Assumptions!AI149-'Balance Sheet'!AF33</f>
        <v>2093.004</v>
      </c>
      <c r="AG47" s="185">
        <f>AF47</f>
        <v>2093.004</v>
      </c>
      <c r="AH47" s="186">
        <f>Assumptions!AK149-'Balance Sheet'!AH33</f>
        <v>2093.004</v>
      </c>
      <c r="AI47" s="186">
        <f>Assumptions!AL149-'Balance Sheet'!AI33</f>
        <v>2093.004</v>
      </c>
      <c r="AJ47" s="186">
        <f>Assumptions!AM149-'Balance Sheet'!AJ33</f>
        <v>2093.004</v>
      </c>
      <c r="AK47" s="186">
        <f>Assumptions!AN149-'Balance Sheet'!AK33</f>
        <v>2093.004</v>
      </c>
      <c r="AL47" s="185">
        <f>AK47</f>
        <v>2093.004</v>
      </c>
    </row>
    <row r="48" ht="10.5" customHeight="1">
      <c r="A48" s="164" t="s">
        <v>338</v>
      </c>
      <c r="B48" s="184">
        <v>0.0</v>
      </c>
      <c r="C48" s="185">
        <f t="shared" si="34"/>
        <v>0</v>
      </c>
      <c r="D48" s="184">
        <v>0.0</v>
      </c>
      <c r="E48" s="184">
        <v>0.0</v>
      </c>
      <c r="F48" s="184">
        <v>0.0</v>
      </c>
      <c r="G48" s="184">
        <v>0.0</v>
      </c>
      <c r="H48" s="185">
        <f t="shared" si="35"/>
        <v>0</v>
      </c>
      <c r="I48" s="184">
        <v>0.0</v>
      </c>
      <c r="J48" s="184">
        <f t="shared" ref="J48:AL48" si="36">I48</f>
        <v>0</v>
      </c>
      <c r="K48" s="184">
        <f t="shared" si="36"/>
        <v>0</v>
      </c>
      <c r="L48" s="186">
        <f t="shared" si="36"/>
        <v>0</v>
      </c>
      <c r="M48" s="185">
        <f t="shared" si="36"/>
        <v>0</v>
      </c>
      <c r="N48" s="186">
        <f t="shared" si="36"/>
        <v>0</v>
      </c>
      <c r="O48" s="186">
        <f t="shared" si="36"/>
        <v>0</v>
      </c>
      <c r="P48" s="186">
        <f t="shared" si="36"/>
        <v>0</v>
      </c>
      <c r="Q48" s="186">
        <f t="shared" si="36"/>
        <v>0</v>
      </c>
      <c r="R48" s="185">
        <f t="shared" si="36"/>
        <v>0</v>
      </c>
      <c r="S48" s="186">
        <f t="shared" si="36"/>
        <v>0</v>
      </c>
      <c r="T48" s="186">
        <f t="shared" si="36"/>
        <v>0</v>
      </c>
      <c r="U48" s="186">
        <f t="shared" si="36"/>
        <v>0</v>
      </c>
      <c r="V48" s="186">
        <f t="shared" si="36"/>
        <v>0</v>
      </c>
      <c r="W48" s="185">
        <f t="shared" si="36"/>
        <v>0</v>
      </c>
      <c r="X48" s="186">
        <f t="shared" si="36"/>
        <v>0</v>
      </c>
      <c r="Y48" s="186">
        <f t="shared" si="36"/>
        <v>0</v>
      </c>
      <c r="Z48" s="186">
        <f t="shared" si="36"/>
        <v>0</v>
      </c>
      <c r="AA48" s="186">
        <f t="shared" si="36"/>
        <v>0</v>
      </c>
      <c r="AB48" s="185">
        <f t="shared" si="36"/>
        <v>0</v>
      </c>
      <c r="AC48" s="186">
        <f t="shared" si="36"/>
        <v>0</v>
      </c>
      <c r="AD48" s="186">
        <f t="shared" si="36"/>
        <v>0</v>
      </c>
      <c r="AE48" s="186">
        <f t="shared" si="36"/>
        <v>0</v>
      </c>
      <c r="AF48" s="186">
        <f t="shared" si="36"/>
        <v>0</v>
      </c>
      <c r="AG48" s="185">
        <f t="shared" si="36"/>
        <v>0</v>
      </c>
      <c r="AH48" s="186">
        <f t="shared" si="36"/>
        <v>0</v>
      </c>
      <c r="AI48" s="186">
        <f t="shared" si="36"/>
        <v>0</v>
      </c>
      <c r="AJ48" s="186">
        <f t="shared" si="36"/>
        <v>0</v>
      </c>
      <c r="AK48" s="186">
        <f t="shared" si="36"/>
        <v>0</v>
      </c>
      <c r="AL48" s="185">
        <f t="shared" si="36"/>
        <v>0</v>
      </c>
    </row>
    <row r="49" ht="10.5" customHeight="1">
      <c r="A49" s="164" t="s">
        <v>339</v>
      </c>
      <c r="B49" s="184">
        <v>0.0</v>
      </c>
      <c r="C49" s="185">
        <f t="shared" si="34"/>
        <v>0</v>
      </c>
      <c r="D49" s="184">
        <v>0.0</v>
      </c>
      <c r="E49" s="184">
        <v>0.0</v>
      </c>
      <c r="F49" s="184">
        <v>0.0</v>
      </c>
      <c r="G49" s="184">
        <v>0.0</v>
      </c>
      <c r="H49" s="185">
        <f t="shared" si="35"/>
        <v>0</v>
      </c>
      <c r="I49" s="184">
        <v>0.0</v>
      </c>
      <c r="J49" s="184">
        <f t="shared" ref="J49:AL49" si="37">I49</f>
        <v>0</v>
      </c>
      <c r="K49" s="184">
        <f t="shared" si="37"/>
        <v>0</v>
      </c>
      <c r="L49" s="186">
        <f t="shared" si="37"/>
        <v>0</v>
      </c>
      <c r="M49" s="185">
        <f t="shared" si="37"/>
        <v>0</v>
      </c>
      <c r="N49" s="186">
        <f t="shared" si="37"/>
        <v>0</v>
      </c>
      <c r="O49" s="186">
        <f t="shared" si="37"/>
        <v>0</v>
      </c>
      <c r="P49" s="186">
        <f t="shared" si="37"/>
        <v>0</v>
      </c>
      <c r="Q49" s="186">
        <f t="shared" si="37"/>
        <v>0</v>
      </c>
      <c r="R49" s="185">
        <f t="shared" si="37"/>
        <v>0</v>
      </c>
      <c r="S49" s="186">
        <f t="shared" si="37"/>
        <v>0</v>
      </c>
      <c r="T49" s="186">
        <f t="shared" si="37"/>
        <v>0</v>
      </c>
      <c r="U49" s="186">
        <f t="shared" si="37"/>
        <v>0</v>
      </c>
      <c r="V49" s="186">
        <f t="shared" si="37"/>
        <v>0</v>
      </c>
      <c r="W49" s="185">
        <f t="shared" si="37"/>
        <v>0</v>
      </c>
      <c r="X49" s="186">
        <f t="shared" si="37"/>
        <v>0</v>
      </c>
      <c r="Y49" s="186">
        <f t="shared" si="37"/>
        <v>0</v>
      </c>
      <c r="Z49" s="186">
        <f t="shared" si="37"/>
        <v>0</v>
      </c>
      <c r="AA49" s="186">
        <f t="shared" si="37"/>
        <v>0</v>
      </c>
      <c r="AB49" s="185">
        <f t="shared" si="37"/>
        <v>0</v>
      </c>
      <c r="AC49" s="186">
        <f t="shared" si="37"/>
        <v>0</v>
      </c>
      <c r="AD49" s="186">
        <f t="shared" si="37"/>
        <v>0</v>
      </c>
      <c r="AE49" s="186">
        <f t="shared" si="37"/>
        <v>0</v>
      </c>
      <c r="AF49" s="186">
        <f t="shared" si="37"/>
        <v>0</v>
      </c>
      <c r="AG49" s="185">
        <f t="shared" si="37"/>
        <v>0</v>
      </c>
      <c r="AH49" s="186">
        <f t="shared" si="37"/>
        <v>0</v>
      </c>
      <c r="AI49" s="186">
        <f t="shared" si="37"/>
        <v>0</v>
      </c>
      <c r="AJ49" s="186">
        <f t="shared" si="37"/>
        <v>0</v>
      </c>
      <c r="AK49" s="186">
        <f t="shared" si="37"/>
        <v>0</v>
      </c>
      <c r="AL49" s="185">
        <f t="shared" si="37"/>
        <v>0</v>
      </c>
    </row>
    <row r="50" ht="10.5" customHeight="1">
      <c r="A50" s="164" t="s">
        <v>325</v>
      </c>
      <c r="B50" s="184">
        <v>0.0</v>
      </c>
      <c r="C50" s="185">
        <f t="shared" si="34"/>
        <v>0</v>
      </c>
      <c r="D50" s="184">
        <v>0.0</v>
      </c>
      <c r="E50" s="184">
        <v>0.0</v>
      </c>
      <c r="F50" s="184">
        <v>0.0</v>
      </c>
      <c r="G50" s="184">
        <v>0.0</v>
      </c>
      <c r="H50" s="185">
        <f t="shared" si="35"/>
        <v>0</v>
      </c>
      <c r="I50" s="184">
        <v>0.0</v>
      </c>
      <c r="J50" s="184">
        <f t="shared" ref="J50:AL50" si="38">I50</f>
        <v>0</v>
      </c>
      <c r="K50" s="184">
        <f t="shared" si="38"/>
        <v>0</v>
      </c>
      <c r="L50" s="186">
        <f t="shared" si="38"/>
        <v>0</v>
      </c>
      <c r="M50" s="185">
        <f t="shared" si="38"/>
        <v>0</v>
      </c>
      <c r="N50" s="186">
        <f t="shared" si="38"/>
        <v>0</v>
      </c>
      <c r="O50" s="186">
        <f t="shared" si="38"/>
        <v>0</v>
      </c>
      <c r="P50" s="186">
        <f t="shared" si="38"/>
        <v>0</v>
      </c>
      <c r="Q50" s="186">
        <f t="shared" si="38"/>
        <v>0</v>
      </c>
      <c r="R50" s="185">
        <f t="shared" si="38"/>
        <v>0</v>
      </c>
      <c r="S50" s="186">
        <f t="shared" si="38"/>
        <v>0</v>
      </c>
      <c r="T50" s="186">
        <f t="shared" si="38"/>
        <v>0</v>
      </c>
      <c r="U50" s="186">
        <f t="shared" si="38"/>
        <v>0</v>
      </c>
      <c r="V50" s="186">
        <f t="shared" si="38"/>
        <v>0</v>
      </c>
      <c r="W50" s="185">
        <f t="shared" si="38"/>
        <v>0</v>
      </c>
      <c r="X50" s="186">
        <f t="shared" si="38"/>
        <v>0</v>
      </c>
      <c r="Y50" s="186">
        <f t="shared" si="38"/>
        <v>0</v>
      </c>
      <c r="Z50" s="186">
        <f t="shared" si="38"/>
        <v>0</v>
      </c>
      <c r="AA50" s="186">
        <f t="shared" si="38"/>
        <v>0</v>
      </c>
      <c r="AB50" s="185">
        <f t="shared" si="38"/>
        <v>0</v>
      </c>
      <c r="AC50" s="186">
        <f t="shared" si="38"/>
        <v>0</v>
      </c>
      <c r="AD50" s="186">
        <f t="shared" si="38"/>
        <v>0</v>
      </c>
      <c r="AE50" s="186">
        <f t="shared" si="38"/>
        <v>0</v>
      </c>
      <c r="AF50" s="186">
        <f t="shared" si="38"/>
        <v>0</v>
      </c>
      <c r="AG50" s="185">
        <f t="shared" si="38"/>
        <v>0</v>
      </c>
      <c r="AH50" s="186">
        <f t="shared" si="38"/>
        <v>0</v>
      </c>
      <c r="AI50" s="186">
        <f t="shared" si="38"/>
        <v>0</v>
      </c>
      <c r="AJ50" s="186">
        <f t="shared" si="38"/>
        <v>0</v>
      </c>
      <c r="AK50" s="186">
        <f t="shared" si="38"/>
        <v>0</v>
      </c>
      <c r="AL50" s="185">
        <f t="shared" si="38"/>
        <v>0</v>
      </c>
    </row>
    <row r="51" ht="10.5" customHeight="1">
      <c r="A51" s="164" t="s">
        <v>340</v>
      </c>
      <c r="B51" s="184">
        <v>381.589</v>
      </c>
      <c r="C51" s="185">
        <f t="shared" si="34"/>
        <v>381.589</v>
      </c>
      <c r="D51" s="184">
        <v>390.399</v>
      </c>
      <c r="E51" s="184">
        <v>401.405</v>
      </c>
      <c r="F51" s="184">
        <v>408.588</v>
      </c>
      <c r="G51" s="184">
        <v>405.324</v>
      </c>
      <c r="H51" s="185">
        <f t="shared" si="35"/>
        <v>405.324</v>
      </c>
      <c r="I51" s="184">
        <v>433.151</v>
      </c>
      <c r="J51" s="184">
        <v>432.95</v>
      </c>
      <c r="K51" s="184">
        <v>417.624</v>
      </c>
      <c r="L51" s="186">
        <f t="shared" ref="L51:AL51" si="39">K51</f>
        <v>417.624</v>
      </c>
      <c r="M51" s="185">
        <f t="shared" si="39"/>
        <v>417.624</v>
      </c>
      <c r="N51" s="186">
        <f t="shared" si="39"/>
        <v>417.624</v>
      </c>
      <c r="O51" s="186">
        <f t="shared" si="39"/>
        <v>417.624</v>
      </c>
      <c r="P51" s="186">
        <f t="shared" si="39"/>
        <v>417.624</v>
      </c>
      <c r="Q51" s="186">
        <f t="shared" si="39"/>
        <v>417.624</v>
      </c>
      <c r="R51" s="185">
        <f t="shared" si="39"/>
        <v>417.624</v>
      </c>
      <c r="S51" s="186">
        <f t="shared" si="39"/>
        <v>417.624</v>
      </c>
      <c r="T51" s="186">
        <f t="shared" si="39"/>
        <v>417.624</v>
      </c>
      <c r="U51" s="186">
        <f t="shared" si="39"/>
        <v>417.624</v>
      </c>
      <c r="V51" s="186">
        <f t="shared" si="39"/>
        <v>417.624</v>
      </c>
      <c r="W51" s="185">
        <f t="shared" si="39"/>
        <v>417.624</v>
      </c>
      <c r="X51" s="186">
        <f t="shared" si="39"/>
        <v>417.624</v>
      </c>
      <c r="Y51" s="186">
        <f t="shared" si="39"/>
        <v>417.624</v>
      </c>
      <c r="Z51" s="186">
        <f t="shared" si="39"/>
        <v>417.624</v>
      </c>
      <c r="AA51" s="186">
        <f t="shared" si="39"/>
        <v>417.624</v>
      </c>
      <c r="AB51" s="185">
        <f t="shared" si="39"/>
        <v>417.624</v>
      </c>
      <c r="AC51" s="186">
        <f t="shared" si="39"/>
        <v>417.624</v>
      </c>
      <c r="AD51" s="186">
        <f t="shared" si="39"/>
        <v>417.624</v>
      </c>
      <c r="AE51" s="186">
        <f t="shared" si="39"/>
        <v>417.624</v>
      </c>
      <c r="AF51" s="186">
        <f t="shared" si="39"/>
        <v>417.624</v>
      </c>
      <c r="AG51" s="185">
        <f t="shared" si="39"/>
        <v>417.624</v>
      </c>
      <c r="AH51" s="186">
        <f t="shared" si="39"/>
        <v>417.624</v>
      </c>
      <c r="AI51" s="186">
        <f t="shared" si="39"/>
        <v>417.624</v>
      </c>
      <c r="AJ51" s="186">
        <f t="shared" si="39"/>
        <v>417.624</v>
      </c>
      <c r="AK51" s="186">
        <f t="shared" si="39"/>
        <v>417.624</v>
      </c>
      <c r="AL51" s="185">
        <f t="shared" si="39"/>
        <v>417.624</v>
      </c>
    </row>
    <row r="52" ht="10.5" customHeight="1">
      <c r="A52" s="164" t="s">
        <v>341</v>
      </c>
      <c r="B52" s="184">
        <v>32.047</v>
      </c>
      <c r="C52" s="185">
        <f t="shared" si="34"/>
        <v>32.047</v>
      </c>
      <c r="D52" s="184">
        <v>33.82</v>
      </c>
      <c r="E52" s="184">
        <v>34.114</v>
      </c>
      <c r="F52" s="184">
        <v>33.578</v>
      </c>
      <c r="G52" s="184">
        <v>31.99</v>
      </c>
      <c r="H52" s="185">
        <f t="shared" si="35"/>
        <v>31.99</v>
      </c>
      <c r="I52" s="184">
        <v>31.163</v>
      </c>
      <c r="J52" s="184">
        <v>30.752</v>
      </c>
      <c r="K52" s="184">
        <v>30.167</v>
      </c>
      <c r="L52" s="186">
        <f t="shared" ref="L52:AL52" si="40">K52</f>
        <v>30.167</v>
      </c>
      <c r="M52" s="185">
        <f t="shared" si="40"/>
        <v>30.167</v>
      </c>
      <c r="N52" s="186">
        <f t="shared" si="40"/>
        <v>30.167</v>
      </c>
      <c r="O52" s="186">
        <f t="shared" si="40"/>
        <v>30.167</v>
      </c>
      <c r="P52" s="186">
        <f t="shared" si="40"/>
        <v>30.167</v>
      </c>
      <c r="Q52" s="186">
        <f t="shared" si="40"/>
        <v>30.167</v>
      </c>
      <c r="R52" s="185">
        <f t="shared" si="40"/>
        <v>30.167</v>
      </c>
      <c r="S52" s="186">
        <f t="shared" si="40"/>
        <v>30.167</v>
      </c>
      <c r="T52" s="186">
        <f t="shared" si="40"/>
        <v>30.167</v>
      </c>
      <c r="U52" s="186">
        <f t="shared" si="40"/>
        <v>30.167</v>
      </c>
      <c r="V52" s="186">
        <f t="shared" si="40"/>
        <v>30.167</v>
      </c>
      <c r="W52" s="185">
        <f t="shared" si="40"/>
        <v>30.167</v>
      </c>
      <c r="X52" s="186">
        <f t="shared" si="40"/>
        <v>30.167</v>
      </c>
      <c r="Y52" s="186">
        <f t="shared" si="40"/>
        <v>30.167</v>
      </c>
      <c r="Z52" s="186">
        <f t="shared" si="40"/>
        <v>30.167</v>
      </c>
      <c r="AA52" s="186">
        <f t="shared" si="40"/>
        <v>30.167</v>
      </c>
      <c r="AB52" s="185">
        <f t="shared" si="40"/>
        <v>30.167</v>
      </c>
      <c r="AC52" s="186">
        <f t="shared" si="40"/>
        <v>30.167</v>
      </c>
      <c r="AD52" s="186">
        <f t="shared" si="40"/>
        <v>30.167</v>
      </c>
      <c r="AE52" s="186">
        <f t="shared" si="40"/>
        <v>30.167</v>
      </c>
      <c r="AF52" s="186">
        <f t="shared" si="40"/>
        <v>30.167</v>
      </c>
      <c r="AG52" s="185">
        <f t="shared" si="40"/>
        <v>30.167</v>
      </c>
      <c r="AH52" s="186">
        <f t="shared" si="40"/>
        <v>30.167</v>
      </c>
      <c r="AI52" s="186">
        <f t="shared" si="40"/>
        <v>30.167</v>
      </c>
      <c r="AJ52" s="186">
        <f t="shared" si="40"/>
        <v>30.167</v>
      </c>
      <c r="AK52" s="186">
        <f t="shared" si="40"/>
        <v>30.167</v>
      </c>
      <c r="AL52" s="185">
        <f t="shared" si="40"/>
        <v>30.167</v>
      </c>
    </row>
    <row r="53" ht="10.5" customHeight="1">
      <c r="A53" s="164" t="s">
        <v>342</v>
      </c>
      <c r="B53" s="184">
        <v>1.644</v>
      </c>
      <c r="C53" s="185">
        <f t="shared" si="34"/>
        <v>1.644</v>
      </c>
      <c r="D53" s="184">
        <v>1.666</v>
      </c>
      <c r="E53" s="184">
        <v>1.599</v>
      </c>
      <c r="F53" s="184">
        <v>1.566</v>
      </c>
      <c r="G53" s="184">
        <v>1.386</v>
      </c>
      <c r="H53" s="185">
        <f t="shared" si="35"/>
        <v>1.386</v>
      </c>
      <c r="I53" s="184">
        <v>1.323</v>
      </c>
      <c r="J53" s="184">
        <v>1.25</v>
      </c>
      <c r="K53" s="184">
        <v>0.62</v>
      </c>
      <c r="L53" s="186">
        <f t="shared" ref="L53:AL53" si="41">K53</f>
        <v>0.62</v>
      </c>
      <c r="M53" s="185">
        <f t="shared" si="41"/>
        <v>0.62</v>
      </c>
      <c r="N53" s="186">
        <f t="shared" si="41"/>
        <v>0.62</v>
      </c>
      <c r="O53" s="186">
        <f t="shared" si="41"/>
        <v>0.62</v>
      </c>
      <c r="P53" s="186">
        <f t="shared" si="41"/>
        <v>0.62</v>
      </c>
      <c r="Q53" s="186">
        <f t="shared" si="41"/>
        <v>0.62</v>
      </c>
      <c r="R53" s="185">
        <f t="shared" si="41"/>
        <v>0.62</v>
      </c>
      <c r="S53" s="186">
        <f t="shared" si="41"/>
        <v>0.62</v>
      </c>
      <c r="T53" s="186">
        <f t="shared" si="41"/>
        <v>0.62</v>
      </c>
      <c r="U53" s="186">
        <f t="shared" si="41"/>
        <v>0.62</v>
      </c>
      <c r="V53" s="186">
        <f t="shared" si="41"/>
        <v>0.62</v>
      </c>
      <c r="W53" s="185">
        <f t="shared" si="41"/>
        <v>0.62</v>
      </c>
      <c r="X53" s="186">
        <f t="shared" si="41"/>
        <v>0.62</v>
      </c>
      <c r="Y53" s="186">
        <f t="shared" si="41"/>
        <v>0.62</v>
      </c>
      <c r="Z53" s="186">
        <f t="shared" si="41"/>
        <v>0.62</v>
      </c>
      <c r="AA53" s="186">
        <f t="shared" si="41"/>
        <v>0.62</v>
      </c>
      <c r="AB53" s="185">
        <f t="shared" si="41"/>
        <v>0.62</v>
      </c>
      <c r="AC53" s="186">
        <f t="shared" si="41"/>
        <v>0.62</v>
      </c>
      <c r="AD53" s="186">
        <f t="shared" si="41"/>
        <v>0.62</v>
      </c>
      <c r="AE53" s="186">
        <f t="shared" si="41"/>
        <v>0.62</v>
      </c>
      <c r="AF53" s="186">
        <f t="shared" si="41"/>
        <v>0.62</v>
      </c>
      <c r="AG53" s="185">
        <f t="shared" si="41"/>
        <v>0.62</v>
      </c>
      <c r="AH53" s="186">
        <f t="shared" si="41"/>
        <v>0.62</v>
      </c>
      <c r="AI53" s="186">
        <f t="shared" si="41"/>
        <v>0.62</v>
      </c>
      <c r="AJ53" s="186">
        <f t="shared" si="41"/>
        <v>0.62</v>
      </c>
      <c r="AK53" s="186">
        <f t="shared" si="41"/>
        <v>0.62</v>
      </c>
      <c r="AL53" s="185">
        <f t="shared" si="41"/>
        <v>0.62</v>
      </c>
    </row>
    <row r="54" ht="10.5" customHeight="1">
      <c r="A54" s="164" t="s">
        <v>343</v>
      </c>
      <c r="B54" s="184">
        <v>454.368</v>
      </c>
      <c r="C54" s="185">
        <f t="shared" si="34"/>
        <v>454.368</v>
      </c>
      <c r="D54" s="184">
        <v>456.7</v>
      </c>
      <c r="E54" s="184">
        <v>424.107</v>
      </c>
      <c r="F54" s="184">
        <v>428.858</v>
      </c>
      <c r="G54" s="184">
        <v>411.36</v>
      </c>
      <c r="H54" s="185">
        <f t="shared" si="35"/>
        <v>411.36</v>
      </c>
      <c r="I54" s="184">
        <v>411.276</v>
      </c>
      <c r="J54" s="184">
        <v>358.569</v>
      </c>
      <c r="K54" s="184">
        <v>363.429</v>
      </c>
      <c r="L54" s="186">
        <f t="shared" ref="L54:AL54" si="42">K54</f>
        <v>363.429</v>
      </c>
      <c r="M54" s="185">
        <f t="shared" si="42"/>
        <v>363.429</v>
      </c>
      <c r="N54" s="186">
        <f t="shared" si="42"/>
        <v>363.429</v>
      </c>
      <c r="O54" s="186">
        <f t="shared" si="42"/>
        <v>363.429</v>
      </c>
      <c r="P54" s="186">
        <f t="shared" si="42"/>
        <v>363.429</v>
      </c>
      <c r="Q54" s="186">
        <f t="shared" si="42"/>
        <v>363.429</v>
      </c>
      <c r="R54" s="185">
        <f t="shared" si="42"/>
        <v>363.429</v>
      </c>
      <c r="S54" s="186">
        <f t="shared" si="42"/>
        <v>363.429</v>
      </c>
      <c r="T54" s="186">
        <f t="shared" si="42"/>
        <v>363.429</v>
      </c>
      <c r="U54" s="186">
        <f t="shared" si="42"/>
        <v>363.429</v>
      </c>
      <c r="V54" s="186">
        <f t="shared" si="42"/>
        <v>363.429</v>
      </c>
      <c r="W54" s="185">
        <f t="shared" si="42"/>
        <v>363.429</v>
      </c>
      <c r="X54" s="186">
        <f t="shared" si="42"/>
        <v>363.429</v>
      </c>
      <c r="Y54" s="186">
        <f t="shared" si="42"/>
        <v>363.429</v>
      </c>
      <c r="Z54" s="186">
        <f t="shared" si="42"/>
        <v>363.429</v>
      </c>
      <c r="AA54" s="186">
        <f t="shared" si="42"/>
        <v>363.429</v>
      </c>
      <c r="AB54" s="185">
        <f t="shared" si="42"/>
        <v>363.429</v>
      </c>
      <c r="AC54" s="186">
        <f t="shared" si="42"/>
        <v>363.429</v>
      </c>
      <c r="AD54" s="186">
        <f t="shared" si="42"/>
        <v>363.429</v>
      </c>
      <c r="AE54" s="186">
        <f t="shared" si="42"/>
        <v>363.429</v>
      </c>
      <c r="AF54" s="186">
        <f t="shared" si="42"/>
        <v>363.429</v>
      </c>
      <c r="AG54" s="185">
        <f t="shared" si="42"/>
        <v>363.429</v>
      </c>
      <c r="AH54" s="186">
        <f t="shared" si="42"/>
        <v>363.429</v>
      </c>
      <c r="AI54" s="186">
        <f t="shared" si="42"/>
        <v>363.429</v>
      </c>
      <c r="AJ54" s="186">
        <f t="shared" si="42"/>
        <v>363.429</v>
      </c>
      <c r="AK54" s="186">
        <f t="shared" si="42"/>
        <v>363.429</v>
      </c>
      <c r="AL54" s="185">
        <f t="shared" si="42"/>
        <v>363.429</v>
      </c>
    </row>
    <row r="55" ht="10.5" customHeight="1">
      <c r="A55" s="202" t="s">
        <v>344</v>
      </c>
      <c r="B55" s="190">
        <v>4.833</v>
      </c>
      <c r="C55" s="191">
        <f t="shared" si="34"/>
        <v>4.833</v>
      </c>
      <c r="D55" s="190">
        <v>3.891</v>
      </c>
      <c r="E55" s="190">
        <v>3.968</v>
      </c>
      <c r="F55" s="190">
        <v>4.139</v>
      </c>
      <c r="G55" s="190">
        <v>4.497</v>
      </c>
      <c r="H55" s="191">
        <f t="shared" si="35"/>
        <v>4.497</v>
      </c>
      <c r="I55" s="190">
        <v>3.702</v>
      </c>
      <c r="J55" s="190">
        <v>4.304</v>
      </c>
      <c r="K55" s="190">
        <v>5.153</v>
      </c>
      <c r="L55" s="192">
        <f t="shared" ref="L55:AL55" si="43">K55</f>
        <v>5.153</v>
      </c>
      <c r="M55" s="191">
        <f t="shared" si="43"/>
        <v>5.153</v>
      </c>
      <c r="N55" s="192">
        <f t="shared" si="43"/>
        <v>5.153</v>
      </c>
      <c r="O55" s="192">
        <f t="shared" si="43"/>
        <v>5.153</v>
      </c>
      <c r="P55" s="192">
        <f t="shared" si="43"/>
        <v>5.153</v>
      </c>
      <c r="Q55" s="192">
        <f t="shared" si="43"/>
        <v>5.153</v>
      </c>
      <c r="R55" s="191">
        <f t="shared" si="43"/>
        <v>5.153</v>
      </c>
      <c r="S55" s="192">
        <f t="shared" si="43"/>
        <v>5.153</v>
      </c>
      <c r="T55" s="192">
        <f t="shared" si="43"/>
        <v>5.153</v>
      </c>
      <c r="U55" s="192">
        <f t="shared" si="43"/>
        <v>5.153</v>
      </c>
      <c r="V55" s="192">
        <f t="shared" si="43"/>
        <v>5.153</v>
      </c>
      <c r="W55" s="191">
        <f t="shared" si="43"/>
        <v>5.153</v>
      </c>
      <c r="X55" s="192">
        <f t="shared" si="43"/>
        <v>5.153</v>
      </c>
      <c r="Y55" s="192">
        <f t="shared" si="43"/>
        <v>5.153</v>
      </c>
      <c r="Z55" s="192">
        <f t="shared" si="43"/>
        <v>5.153</v>
      </c>
      <c r="AA55" s="192">
        <f t="shared" si="43"/>
        <v>5.153</v>
      </c>
      <c r="AB55" s="191">
        <f t="shared" si="43"/>
        <v>5.153</v>
      </c>
      <c r="AC55" s="192">
        <f t="shared" si="43"/>
        <v>5.153</v>
      </c>
      <c r="AD55" s="192">
        <f t="shared" si="43"/>
        <v>5.153</v>
      </c>
      <c r="AE55" s="192">
        <f t="shared" si="43"/>
        <v>5.153</v>
      </c>
      <c r="AF55" s="192">
        <f t="shared" si="43"/>
        <v>5.153</v>
      </c>
      <c r="AG55" s="191">
        <f t="shared" si="43"/>
        <v>5.153</v>
      </c>
      <c r="AH55" s="192">
        <f t="shared" si="43"/>
        <v>5.153</v>
      </c>
      <c r="AI55" s="192">
        <f t="shared" si="43"/>
        <v>5.153</v>
      </c>
      <c r="AJ55" s="192">
        <f t="shared" si="43"/>
        <v>5.153</v>
      </c>
      <c r="AK55" s="192">
        <f t="shared" si="43"/>
        <v>5.153</v>
      </c>
      <c r="AL55" s="191">
        <f t="shared" si="43"/>
        <v>5.153</v>
      </c>
    </row>
    <row r="56" ht="10.5" customHeight="1">
      <c r="A56" s="298" t="s">
        <v>345</v>
      </c>
      <c r="B56" s="199">
        <f t="shared" ref="B56:AL56" si="44">SUM(B47:B55)</f>
        <v>2837.355</v>
      </c>
      <c r="C56" s="206">
        <f t="shared" si="44"/>
        <v>2837.355</v>
      </c>
      <c r="D56" s="199">
        <f t="shared" si="44"/>
        <v>2845.508</v>
      </c>
      <c r="E56" s="199">
        <f t="shared" si="44"/>
        <v>3021.744</v>
      </c>
      <c r="F56" s="199">
        <f t="shared" si="44"/>
        <v>3029.005</v>
      </c>
      <c r="G56" s="199">
        <f t="shared" si="44"/>
        <v>3002.586</v>
      </c>
      <c r="H56" s="206">
        <f t="shared" si="44"/>
        <v>3002.586</v>
      </c>
      <c r="I56" s="199">
        <f t="shared" si="44"/>
        <v>3024.333</v>
      </c>
      <c r="J56" s="199">
        <f t="shared" si="44"/>
        <v>2967.243</v>
      </c>
      <c r="K56" s="199">
        <f t="shared" si="44"/>
        <v>2952.122</v>
      </c>
      <c r="L56" s="199">
        <f t="shared" si="44"/>
        <v>2946.497</v>
      </c>
      <c r="M56" s="206">
        <f t="shared" si="44"/>
        <v>2946.497</v>
      </c>
      <c r="N56" s="199">
        <f t="shared" si="44"/>
        <v>2946.497</v>
      </c>
      <c r="O56" s="199">
        <f t="shared" si="44"/>
        <v>2946.497</v>
      </c>
      <c r="P56" s="199">
        <f t="shared" si="44"/>
        <v>2946.497</v>
      </c>
      <c r="Q56" s="199">
        <f t="shared" si="44"/>
        <v>2946.497</v>
      </c>
      <c r="R56" s="206">
        <f t="shared" si="44"/>
        <v>2946.497</v>
      </c>
      <c r="S56" s="199">
        <f t="shared" si="44"/>
        <v>2941.9345</v>
      </c>
      <c r="T56" s="199">
        <f t="shared" si="44"/>
        <v>2937.372</v>
      </c>
      <c r="U56" s="199">
        <f t="shared" si="44"/>
        <v>2932.8095</v>
      </c>
      <c r="V56" s="199">
        <f t="shared" si="44"/>
        <v>2928.247</v>
      </c>
      <c r="W56" s="206">
        <f t="shared" si="44"/>
        <v>2928.247</v>
      </c>
      <c r="X56" s="199">
        <f t="shared" si="44"/>
        <v>2923.6845</v>
      </c>
      <c r="Y56" s="199">
        <f t="shared" si="44"/>
        <v>2919.122</v>
      </c>
      <c r="Z56" s="199">
        <f t="shared" si="44"/>
        <v>2914.5595</v>
      </c>
      <c r="AA56" s="199">
        <f t="shared" si="44"/>
        <v>2909.997</v>
      </c>
      <c r="AB56" s="206">
        <f t="shared" si="44"/>
        <v>2909.997</v>
      </c>
      <c r="AC56" s="199">
        <f t="shared" si="44"/>
        <v>2909.997</v>
      </c>
      <c r="AD56" s="199">
        <f t="shared" si="44"/>
        <v>2909.997</v>
      </c>
      <c r="AE56" s="199">
        <f t="shared" si="44"/>
        <v>2909.997</v>
      </c>
      <c r="AF56" s="199">
        <f t="shared" si="44"/>
        <v>2909.997</v>
      </c>
      <c r="AG56" s="206">
        <f t="shared" si="44"/>
        <v>2909.997</v>
      </c>
      <c r="AH56" s="199">
        <f t="shared" si="44"/>
        <v>2909.997</v>
      </c>
      <c r="AI56" s="199">
        <f t="shared" si="44"/>
        <v>2909.997</v>
      </c>
      <c r="AJ56" s="199">
        <f t="shared" si="44"/>
        <v>2909.997</v>
      </c>
      <c r="AK56" s="199">
        <f t="shared" si="44"/>
        <v>2909.997</v>
      </c>
      <c r="AL56" s="206">
        <f t="shared" si="44"/>
        <v>2909.997</v>
      </c>
    </row>
    <row r="57" ht="10.5" customHeight="1">
      <c r="A57" s="181"/>
      <c r="B57" s="193"/>
      <c r="C57" s="194"/>
      <c r="D57" s="193"/>
      <c r="E57" s="193"/>
      <c r="F57" s="193"/>
      <c r="G57" s="186"/>
      <c r="H57" s="185"/>
      <c r="I57" s="193"/>
      <c r="J57" s="193"/>
      <c r="K57" s="186"/>
      <c r="L57" s="186"/>
      <c r="M57" s="185"/>
      <c r="N57" s="186"/>
      <c r="O57" s="186"/>
      <c r="P57" s="186"/>
      <c r="Q57" s="186"/>
      <c r="R57" s="185"/>
      <c r="S57" s="186"/>
      <c r="T57" s="186"/>
      <c r="U57" s="186"/>
      <c r="V57" s="186"/>
      <c r="W57" s="185"/>
      <c r="X57" s="186"/>
      <c r="Y57" s="186"/>
      <c r="Z57" s="186"/>
      <c r="AA57" s="186"/>
      <c r="AB57" s="185"/>
      <c r="AC57" s="186"/>
      <c r="AD57" s="186"/>
      <c r="AE57" s="186"/>
      <c r="AF57" s="186"/>
      <c r="AG57" s="185"/>
      <c r="AH57" s="186"/>
      <c r="AI57" s="186"/>
      <c r="AJ57" s="186"/>
      <c r="AK57" s="186"/>
      <c r="AL57" s="185"/>
    </row>
    <row r="58" ht="10.5" customHeight="1">
      <c r="A58" s="164" t="s">
        <v>346</v>
      </c>
      <c r="B58" s="186"/>
      <c r="C58" s="185"/>
      <c r="D58" s="186"/>
      <c r="E58" s="186"/>
      <c r="F58" s="186"/>
      <c r="G58" s="186"/>
      <c r="H58" s="185"/>
      <c r="I58" s="186"/>
      <c r="J58" s="186"/>
      <c r="K58" s="186"/>
      <c r="L58" s="186"/>
      <c r="M58" s="185"/>
      <c r="N58" s="186"/>
      <c r="O58" s="186"/>
      <c r="P58" s="186"/>
      <c r="Q58" s="186"/>
      <c r="R58" s="185"/>
      <c r="S58" s="186"/>
      <c r="T58" s="186"/>
      <c r="U58" s="186"/>
      <c r="V58" s="186"/>
      <c r="W58" s="185"/>
      <c r="X58" s="186"/>
      <c r="Y58" s="186"/>
      <c r="Z58" s="186"/>
      <c r="AA58" s="186"/>
      <c r="AB58" s="185"/>
      <c r="AC58" s="186"/>
      <c r="AD58" s="186"/>
      <c r="AE58" s="186"/>
      <c r="AF58" s="186"/>
      <c r="AG58" s="185"/>
      <c r="AH58" s="186"/>
      <c r="AI58" s="186"/>
      <c r="AJ58" s="186"/>
      <c r="AK58" s="186"/>
      <c r="AL58" s="185"/>
    </row>
    <row r="59" ht="10.5" customHeight="1">
      <c r="A59" s="181" t="s">
        <v>347</v>
      </c>
      <c r="B59" s="186"/>
      <c r="C59" s="185"/>
      <c r="D59" s="186"/>
      <c r="E59" s="186"/>
      <c r="F59" s="186"/>
      <c r="G59" s="186"/>
      <c r="H59" s="185"/>
      <c r="I59" s="186"/>
      <c r="J59" s="186"/>
      <c r="K59" s="186"/>
      <c r="L59" s="186"/>
      <c r="M59" s="185"/>
      <c r="N59" s="186"/>
      <c r="O59" s="186"/>
      <c r="P59" s="186"/>
      <c r="Q59" s="186"/>
      <c r="R59" s="185"/>
      <c r="S59" s="186"/>
      <c r="T59" s="186"/>
      <c r="U59" s="186"/>
      <c r="V59" s="186"/>
      <c r="W59" s="185"/>
      <c r="X59" s="186"/>
      <c r="Y59" s="186"/>
      <c r="Z59" s="186"/>
      <c r="AA59" s="186"/>
      <c r="AB59" s="185"/>
      <c r="AC59" s="186"/>
      <c r="AD59" s="186"/>
      <c r="AE59" s="186"/>
      <c r="AF59" s="186"/>
      <c r="AG59" s="185"/>
      <c r="AH59" s="186"/>
      <c r="AI59" s="186"/>
      <c r="AJ59" s="186"/>
      <c r="AK59" s="186"/>
      <c r="AL59" s="185"/>
    </row>
    <row r="60" ht="10.5" customHeight="1">
      <c r="A60" s="183" t="s">
        <v>348</v>
      </c>
      <c r="B60" s="184">
        <v>0.0</v>
      </c>
      <c r="C60" s="185">
        <f t="shared" ref="C60:C65" si="47">B60</f>
        <v>0</v>
      </c>
      <c r="D60" s="184">
        <v>0.0</v>
      </c>
      <c r="E60" s="184">
        <v>0.0</v>
      </c>
      <c r="F60" s="184">
        <v>0.0</v>
      </c>
      <c r="G60" s="184">
        <v>0.0</v>
      </c>
      <c r="H60" s="185">
        <f t="shared" ref="H60:H65" si="48">G60</f>
        <v>0</v>
      </c>
      <c r="I60" s="184">
        <v>0.0</v>
      </c>
      <c r="J60" s="184">
        <f t="shared" ref="J60:M60" si="45">I60</f>
        <v>0</v>
      </c>
      <c r="K60" s="184">
        <f t="shared" si="45"/>
        <v>0</v>
      </c>
      <c r="L60" s="186">
        <f t="shared" si="45"/>
        <v>0</v>
      </c>
      <c r="M60" s="185">
        <f t="shared" si="45"/>
        <v>0</v>
      </c>
      <c r="N60" s="186">
        <v>0.0570000000006985</v>
      </c>
      <c r="O60" s="186">
        <f t="shared" ref="O60:AL60" si="46">N60</f>
        <v>0.057</v>
      </c>
      <c r="P60" s="186">
        <f t="shared" si="46"/>
        <v>0.057</v>
      </c>
      <c r="Q60" s="186">
        <f t="shared" si="46"/>
        <v>0.057</v>
      </c>
      <c r="R60" s="185">
        <f t="shared" si="46"/>
        <v>0.057</v>
      </c>
      <c r="S60" s="186">
        <f t="shared" si="46"/>
        <v>0.057</v>
      </c>
      <c r="T60" s="186">
        <f t="shared" si="46"/>
        <v>0.057</v>
      </c>
      <c r="U60" s="186">
        <f t="shared" si="46"/>
        <v>0.057</v>
      </c>
      <c r="V60" s="186">
        <f t="shared" si="46"/>
        <v>0.057</v>
      </c>
      <c r="W60" s="185">
        <f t="shared" si="46"/>
        <v>0.057</v>
      </c>
      <c r="X60" s="186">
        <f t="shared" si="46"/>
        <v>0.057</v>
      </c>
      <c r="Y60" s="186">
        <f t="shared" si="46"/>
        <v>0.057</v>
      </c>
      <c r="Z60" s="186">
        <f t="shared" si="46"/>
        <v>0.057</v>
      </c>
      <c r="AA60" s="186">
        <f t="shared" si="46"/>
        <v>0.057</v>
      </c>
      <c r="AB60" s="185">
        <f t="shared" si="46"/>
        <v>0.057</v>
      </c>
      <c r="AC60" s="186">
        <f t="shared" si="46"/>
        <v>0.057</v>
      </c>
      <c r="AD60" s="186">
        <f t="shared" si="46"/>
        <v>0.057</v>
      </c>
      <c r="AE60" s="186">
        <f t="shared" si="46"/>
        <v>0.057</v>
      </c>
      <c r="AF60" s="186">
        <f t="shared" si="46"/>
        <v>0.057</v>
      </c>
      <c r="AG60" s="185">
        <f t="shared" si="46"/>
        <v>0.057</v>
      </c>
      <c r="AH60" s="186">
        <f t="shared" si="46"/>
        <v>0.057</v>
      </c>
      <c r="AI60" s="186">
        <f t="shared" si="46"/>
        <v>0.057</v>
      </c>
      <c r="AJ60" s="186">
        <f t="shared" si="46"/>
        <v>0.057</v>
      </c>
      <c r="AK60" s="186">
        <f t="shared" si="46"/>
        <v>0.057</v>
      </c>
      <c r="AL60" s="185">
        <f t="shared" si="46"/>
        <v>0.057</v>
      </c>
    </row>
    <row r="61" ht="10.5" customHeight="1">
      <c r="A61" s="183" t="s">
        <v>349</v>
      </c>
      <c r="B61" s="184">
        <v>0.009</v>
      </c>
      <c r="C61" s="185">
        <f t="shared" si="47"/>
        <v>0.009</v>
      </c>
      <c r="D61" s="184">
        <v>0.009</v>
      </c>
      <c r="E61" s="184">
        <v>0.009</v>
      </c>
      <c r="F61" s="184">
        <v>0.009</v>
      </c>
      <c r="G61" s="184">
        <v>0.009</v>
      </c>
      <c r="H61" s="185">
        <f t="shared" si="48"/>
        <v>0.009</v>
      </c>
      <c r="I61" s="184">
        <v>0.009</v>
      </c>
      <c r="J61" s="184">
        <v>0.009</v>
      </c>
      <c r="K61" s="184">
        <v>0.009</v>
      </c>
      <c r="L61" s="186">
        <f t="shared" ref="L61:AL61" si="49">K61</f>
        <v>0.009</v>
      </c>
      <c r="M61" s="185">
        <f t="shared" si="49"/>
        <v>0.009</v>
      </c>
      <c r="N61" s="186">
        <f t="shared" si="49"/>
        <v>0.009</v>
      </c>
      <c r="O61" s="186">
        <f t="shared" si="49"/>
        <v>0.009</v>
      </c>
      <c r="P61" s="186">
        <f t="shared" si="49"/>
        <v>0.009</v>
      </c>
      <c r="Q61" s="186">
        <f t="shared" si="49"/>
        <v>0.009</v>
      </c>
      <c r="R61" s="185">
        <f t="shared" si="49"/>
        <v>0.009</v>
      </c>
      <c r="S61" s="186">
        <f t="shared" si="49"/>
        <v>0.009</v>
      </c>
      <c r="T61" s="186">
        <f t="shared" si="49"/>
        <v>0.009</v>
      </c>
      <c r="U61" s="186">
        <f t="shared" si="49"/>
        <v>0.009</v>
      </c>
      <c r="V61" s="186">
        <f t="shared" si="49"/>
        <v>0.009</v>
      </c>
      <c r="W61" s="185">
        <f t="shared" si="49"/>
        <v>0.009</v>
      </c>
      <c r="X61" s="186">
        <f t="shared" si="49"/>
        <v>0.009</v>
      </c>
      <c r="Y61" s="186">
        <f t="shared" si="49"/>
        <v>0.009</v>
      </c>
      <c r="Z61" s="186">
        <f t="shared" si="49"/>
        <v>0.009</v>
      </c>
      <c r="AA61" s="186">
        <f t="shared" si="49"/>
        <v>0.009</v>
      </c>
      <c r="AB61" s="185">
        <f t="shared" si="49"/>
        <v>0.009</v>
      </c>
      <c r="AC61" s="186">
        <f t="shared" si="49"/>
        <v>0.009</v>
      </c>
      <c r="AD61" s="186">
        <f t="shared" si="49"/>
        <v>0.009</v>
      </c>
      <c r="AE61" s="186">
        <f t="shared" si="49"/>
        <v>0.009</v>
      </c>
      <c r="AF61" s="186">
        <f t="shared" si="49"/>
        <v>0.009</v>
      </c>
      <c r="AG61" s="185">
        <f t="shared" si="49"/>
        <v>0.009</v>
      </c>
      <c r="AH61" s="186">
        <f t="shared" si="49"/>
        <v>0.009</v>
      </c>
      <c r="AI61" s="186">
        <f t="shared" si="49"/>
        <v>0.009</v>
      </c>
      <c r="AJ61" s="186">
        <f t="shared" si="49"/>
        <v>0.009</v>
      </c>
      <c r="AK61" s="186">
        <f t="shared" si="49"/>
        <v>0.009</v>
      </c>
      <c r="AL61" s="185">
        <f t="shared" si="49"/>
        <v>0.009</v>
      </c>
    </row>
    <row r="62" ht="10.5" customHeight="1">
      <c r="A62" s="183" t="s">
        <v>350</v>
      </c>
      <c r="B62" s="184">
        <v>0.0</v>
      </c>
      <c r="C62" s="185">
        <f t="shared" si="47"/>
        <v>0</v>
      </c>
      <c r="D62" s="184">
        <v>0.0</v>
      </c>
      <c r="E62" s="184">
        <v>0.0</v>
      </c>
      <c r="F62" s="184">
        <v>0.0</v>
      </c>
      <c r="G62" s="184">
        <v>0.0</v>
      </c>
      <c r="H62" s="185">
        <f t="shared" si="48"/>
        <v>0</v>
      </c>
      <c r="I62" s="184">
        <v>0.0</v>
      </c>
      <c r="J62" s="184">
        <f t="shared" ref="J62:AL62" si="50">I62</f>
        <v>0</v>
      </c>
      <c r="K62" s="184">
        <f t="shared" si="50"/>
        <v>0</v>
      </c>
      <c r="L62" s="186">
        <f t="shared" si="50"/>
        <v>0</v>
      </c>
      <c r="M62" s="185">
        <f t="shared" si="50"/>
        <v>0</v>
      </c>
      <c r="N62" s="186">
        <f t="shared" si="50"/>
        <v>0</v>
      </c>
      <c r="O62" s="186">
        <f t="shared" si="50"/>
        <v>0</v>
      </c>
      <c r="P62" s="186">
        <f t="shared" si="50"/>
        <v>0</v>
      </c>
      <c r="Q62" s="186">
        <f t="shared" si="50"/>
        <v>0</v>
      </c>
      <c r="R62" s="185">
        <f t="shared" si="50"/>
        <v>0</v>
      </c>
      <c r="S62" s="186">
        <f t="shared" si="50"/>
        <v>0</v>
      </c>
      <c r="T62" s="186">
        <f t="shared" si="50"/>
        <v>0</v>
      </c>
      <c r="U62" s="186">
        <f t="shared" si="50"/>
        <v>0</v>
      </c>
      <c r="V62" s="186">
        <f t="shared" si="50"/>
        <v>0</v>
      </c>
      <c r="W62" s="185">
        <f t="shared" si="50"/>
        <v>0</v>
      </c>
      <c r="X62" s="186">
        <f t="shared" si="50"/>
        <v>0</v>
      </c>
      <c r="Y62" s="186">
        <f t="shared" si="50"/>
        <v>0</v>
      </c>
      <c r="Z62" s="186">
        <f t="shared" si="50"/>
        <v>0</v>
      </c>
      <c r="AA62" s="186">
        <f t="shared" si="50"/>
        <v>0</v>
      </c>
      <c r="AB62" s="185">
        <f t="shared" si="50"/>
        <v>0</v>
      </c>
      <c r="AC62" s="186">
        <f t="shared" si="50"/>
        <v>0</v>
      </c>
      <c r="AD62" s="186">
        <f t="shared" si="50"/>
        <v>0</v>
      </c>
      <c r="AE62" s="186">
        <f t="shared" si="50"/>
        <v>0</v>
      </c>
      <c r="AF62" s="186">
        <f t="shared" si="50"/>
        <v>0</v>
      </c>
      <c r="AG62" s="185">
        <f t="shared" si="50"/>
        <v>0</v>
      </c>
      <c r="AH62" s="186">
        <f t="shared" si="50"/>
        <v>0</v>
      </c>
      <c r="AI62" s="186">
        <f t="shared" si="50"/>
        <v>0</v>
      </c>
      <c r="AJ62" s="186">
        <f t="shared" si="50"/>
        <v>0</v>
      </c>
      <c r="AK62" s="186">
        <f t="shared" si="50"/>
        <v>0</v>
      </c>
      <c r="AL62" s="185">
        <f t="shared" si="50"/>
        <v>0</v>
      </c>
    </row>
    <row r="63" ht="10.5" customHeight="1">
      <c r="A63" s="183" t="s">
        <v>351</v>
      </c>
      <c r="B63" s="184">
        <v>0.172</v>
      </c>
      <c r="C63" s="185">
        <f t="shared" si="47"/>
        <v>0.172</v>
      </c>
      <c r="D63" s="184">
        <v>-0.435</v>
      </c>
      <c r="E63" s="184">
        <v>-1.096</v>
      </c>
      <c r="F63" s="184">
        <v>0.22</v>
      </c>
      <c r="G63" s="184">
        <v>-2.348</v>
      </c>
      <c r="H63" s="185">
        <f t="shared" si="48"/>
        <v>-2.348</v>
      </c>
      <c r="I63" s="184">
        <v>-1.352</v>
      </c>
      <c r="J63" s="184">
        <v>1.01</v>
      </c>
      <c r="K63" s="184">
        <v>1.121</v>
      </c>
      <c r="L63" s="186">
        <f t="shared" ref="L63:AL63" si="51">K63</f>
        <v>1.121</v>
      </c>
      <c r="M63" s="185">
        <f t="shared" si="51"/>
        <v>1.121</v>
      </c>
      <c r="N63" s="186">
        <f t="shared" si="51"/>
        <v>1.121</v>
      </c>
      <c r="O63" s="186">
        <f t="shared" si="51"/>
        <v>1.121</v>
      </c>
      <c r="P63" s="186">
        <f t="shared" si="51"/>
        <v>1.121</v>
      </c>
      <c r="Q63" s="186">
        <f t="shared" si="51"/>
        <v>1.121</v>
      </c>
      <c r="R63" s="185">
        <f t="shared" si="51"/>
        <v>1.121</v>
      </c>
      <c r="S63" s="186">
        <f t="shared" si="51"/>
        <v>1.121</v>
      </c>
      <c r="T63" s="186">
        <f t="shared" si="51"/>
        <v>1.121</v>
      </c>
      <c r="U63" s="186">
        <f t="shared" si="51"/>
        <v>1.121</v>
      </c>
      <c r="V63" s="186">
        <f t="shared" si="51"/>
        <v>1.121</v>
      </c>
      <c r="W63" s="185">
        <f t="shared" si="51"/>
        <v>1.121</v>
      </c>
      <c r="X63" s="186">
        <f t="shared" si="51"/>
        <v>1.121</v>
      </c>
      <c r="Y63" s="186">
        <f t="shared" si="51"/>
        <v>1.121</v>
      </c>
      <c r="Z63" s="186">
        <f t="shared" si="51"/>
        <v>1.121</v>
      </c>
      <c r="AA63" s="186">
        <f t="shared" si="51"/>
        <v>1.121</v>
      </c>
      <c r="AB63" s="185">
        <f t="shared" si="51"/>
        <v>1.121</v>
      </c>
      <c r="AC63" s="186">
        <f t="shared" si="51"/>
        <v>1.121</v>
      </c>
      <c r="AD63" s="186">
        <f t="shared" si="51"/>
        <v>1.121</v>
      </c>
      <c r="AE63" s="186">
        <f t="shared" si="51"/>
        <v>1.121</v>
      </c>
      <c r="AF63" s="186">
        <f t="shared" si="51"/>
        <v>1.121</v>
      </c>
      <c r="AG63" s="185">
        <f t="shared" si="51"/>
        <v>1.121</v>
      </c>
      <c r="AH63" s="186">
        <f t="shared" si="51"/>
        <v>1.121</v>
      </c>
      <c r="AI63" s="186">
        <f t="shared" si="51"/>
        <v>1.121</v>
      </c>
      <c r="AJ63" s="186">
        <f t="shared" si="51"/>
        <v>1.121</v>
      </c>
      <c r="AK63" s="186">
        <f t="shared" si="51"/>
        <v>1.121</v>
      </c>
      <c r="AL63" s="185">
        <f t="shared" si="51"/>
        <v>1.121</v>
      </c>
    </row>
    <row r="64" ht="10.5" customHeight="1">
      <c r="A64" s="183" t="s">
        <v>352</v>
      </c>
      <c r="B64" s="184">
        <v>575.631</v>
      </c>
      <c r="C64" s="185">
        <f t="shared" si="47"/>
        <v>575.631</v>
      </c>
      <c r="D64" s="184">
        <v>581.332</v>
      </c>
      <c r="E64" s="184">
        <v>594.049</v>
      </c>
      <c r="F64" s="184">
        <v>602.948</v>
      </c>
      <c r="G64" s="184">
        <v>609.115</v>
      </c>
      <c r="H64" s="185">
        <f t="shared" si="48"/>
        <v>609.115</v>
      </c>
      <c r="I64" s="184">
        <v>612.196</v>
      </c>
      <c r="J64" s="184">
        <v>615.04</v>
      </c>
      <c r="K64" s="184">
        <v>618.939</v>
      </c>
      <c r="L64" s="186">
        <f>K64+'Cash Flow Statement'!O30+'Cash Flow Statement'!O65</f>
        <v>621.8620313</v>
      </c>
      <c r="M64" s="185">
        <f t="shared" ref="M64:M65" si="52">L64</f>
        <v>621.8620313</v>
      </c>
      <c r="N64" s="186">
        <f>M64+'Cash Flow Statement'!Q30+'Cash Flow Statement'!Q65</f>
        <v>624.8826473</v>
      </c>
      <c r="O64" s="186">
        <f>N64+'Cash Flow Statement'!R30+'Cash Flow Statement'!R65</f>
        <v>628.870374</v>
      </c>
      <c r="P64" s="186">
        <f>O64+'Cash Flow Statement'!S30+'Cash Flow Statement'!S65</f>
        <v>632.2789976</v>
      </c>
      <c r="Q64" s="186">
        <f>P64+'Cash Flow Statement'!T30+'Cash Flow Statement'!T65</f>
        <v>635.602282</v>
      </c>
      <c r="R64" s="185">
        <f t="shared" ref="R64:R65" si="53">Q64</f>
        <v>635.602282</v>
      </c>
      <c r="S64" s="186">
        <f>R64+'Cash Flow Statement'!V30+'Cash Flow Statement'!V65</f>
        <v>638.9595692</v>
      </c>
      <c r="T64" s="186">
        <f>S64+'Cash Flow Statement'!W30+'Cash Flow Statement'!W65</f>
        <v>643.3766076</v>
      </c>
      <c r="U64" s="186">
        <f>T64+'Cash Flow Statement'!X30+'Cash Flow Statement'!X65</f>
        <v>647.1450289</v>
      </c>
      <c r="V64" s="186">
        <f>U64+'Cash Flow Statement'!Y30+'Cash Flow Statement'!Y65</f>
        <v>650.8114867</v>
      </c>
      <c r="W64" s="185">
        <f t="shared" ref="W64:W65" si="54">V64</f>
        <v>650.8114867</v>
      </c>
      <c r="X64" s="186">
        <f>W64+'Cash Flow Statement'!AA30+'Cash Flow Statement'!AA65</f>
        <v>654.5117871</v>
      </c>
      <c r="Y64" s="186">
        <f>X64+'Cash Flow Statement'!AB30+'Cash Flow Statement'!AB65</f>
        <v>659.338111</v>
      </c>
      <c r="Z64" s="186">
        <f>Y64+'Cash Flow Statement'!AC30+'Cash Flow Statement'!AC65</f>
        <v>663.453724</v>
      </c>
      <c r="AA64" s="186">
        <f>Z64+'Cash Flow Statement'!AD30+'Cash Flow Statement'!AD65</f>
        <v>667.4425924</v>
      </c>
      <c r="AB64" s="185">
        <f t="shared" ref="AB64:AB65" si="55">AA64</f>
        <v>667.4425924</v>
      </c>
      <c r="AC64" s="186">
        <f>AB64+'Cash Flow Statement'!AF30+'Cash Flow Statement'!AF65</f>
        <v>670.8327409</v>
      </c>
      <c r="AD64" s="186">
        <f>AC64+'Cash Flow Statement'!AG30+'Cash Flow Statement'!AG65</f>
        <v>676.0446275</v>
      </c>
      <c r="AE64" s="186">
        <f>AD64+'Cash Flow Statement'!AH30+'Cash Flow Statement'!AH65</f>
        <v>681.0457508</v>
      </c>
      <c r="AF64" s="186">
        <f>AE64+'Cash Flow Statement'!AI30+'Cash Flow Statement'!AI65</f>
        <v>685.5898187</v>
      </c>
      <c r="AG64" s="185">
        <f t="shared" ref="AG64:AG65" si="56">AF64</f>
        <v>685.5898187</v>
      </c>
      <c r="AH64" s="186">
        <f>AG64+'Cash Flow Statement'!AK30+'Cash Flow Statement'!AK65</f>
        <v>689.2426321</v>
      </c>
      <c r="AI64" s="186">
        <f>AH64+'Cash Flow Statement'!AL30+'Cash Flow Statement'!AL65</f>
        <v>694.8210252</v>
      </c>
      <c r="AJ64" s="186">
        <f>AI64+'Cash Flow Statement'!AM30+'Cash Flow Statement'!AM65</f>
        <v>700.1716643</v>
      </c>
      <c r="AK64" s="186">
        <f>AJ64+'Cash Flow Statement'!AN30+'Cash Flow Statement'!AN65</f>
        <v>705.0194354</v>
      </c>
      <c r="AL64" s="185">
        <f t="shared" ref="AL64:AL65" si="57">AK64</f>
        <v>705.0194354</v>
      </c>
    </row>
    <row r="65" ht="10.5" customHeight="1">
      <c r="A65" s="189" t="s">
        <v>353</v>
      </c>
      <c r="B65" s="190">
        <v>-691.461</v>
      </c>
      <c r="C65" s="191">
        <f t="shared" si="47"/>
        <v>-691.461</v>
      </c>
      <c r="D65" s="190">
        <v>-677.321</v>
      </c>
      <c r="E65" s="190">
        <v>-910.626</v>
      </c>
      <c r="F65" s="190">
        <v>-869.309</v>
      </c>
      <c r="G65" s="190">
        <v>-822.156</v>
      </c>
      <c r="H65" s="191">
        <f t="shared" si="48"/>
        <v>-822.156</v>
      </c>
      <c r="I65" s="190">
        <v>-830.743</v>
      </c>
      <c r="J65" s="190">
        <v>-774.753</v>
      </c>
      <c r="K65" s="190">
        <v>-814.832</v>
      </c>
      <c r="L65" s="192">
        <f>K65+'Income Statement'!O33</f>
        <v>-756.3186498</v>
      </c>
      <c r="M65" s="191">
        <f t="shared" si="52"/>
        <v>-756.3186498</v>
      </c>
      <c r="N65" s="192">
        <f>M65+'Income Statement'!Q33</f>
        <v>-699.8720787</v>
      </c>
      <c r="O65" s="192">
        <f>N65+'Income Statement'!R33</f>
        <v>-619.2880706</v>
      </c>
      <c r="P65" s="192">
        <f>O65+'Income Statement'!S33</f>
        <v>-543.1774588</v>
      </c>
      <c r="Q65" s="192">
        <f>P65+'Income Statement'!T33</f>
        <v>-465.9409799</v>
      </c>
      <c r="R65" s="191">
        <f t="shared" si="53"/>
        <v>-465.9409799</v>
      </c>
      <c r="S65" s="192">
        <f>R65+'Income Statement'!V33</f>
        <v>-395.1157899</v>
      </c>
      <c r="T65" s="192">
        <f>S65+'Income Statement'!W33</f>
        <v>-298.9651201</v>
      </c>
      <c r="U65" s="192">
        <f>T65+'Income Statement'!X33</f>
        <v>-205.6880394</v>
      </c>
      <c r="V65" s="192">
        <f>U65+'Income Statement'!Y33</f>
        <v>-112.9264209</v>
      </c>
      <c r="W65" s="191">
        <f t="shared" si="54"/>
        <v>-112.9264209</v>
      </c>
      <c r="X65" s="192">
        <f>W65+'Income Statement'!AA33</f>
        <v>-28.97159184</v>
      </c>
      <c r="Y65" s="192">
        <f>X65+'Income Statement'!AB33</f>
        <v>81.45229623</v>
      </c>
      <c r="Z65" s="192">
        <f>Y65+'Income Statement'!AC33</f>
        <v>188.5774356</v>
      </c>
      <c r="AA65" s="192">
        <f>Z65+'Income Statement'!AD33</f>
        <v>294.4997872</v>
      </c>
      <c r="AB65" s="191">
        <f t="shared" si="55"/>
        <v>294.4997872</v>
      </c>
      <c r="AC65" s="192">
        <f>AB65+'Income Statement'!AF33</f>
        <v>398.2097757</v>
      </c>
      <c r="AD65" s="192">
        <f>AC65+'Income Statement'!AG33</f>
        <v>523.0251642</v>
      </c>
      <c r="AE65" s="192">
        <f>AD65+'Income Statement'!AH33</f>
        <v>639.7496502</v>
      </c>
      <c r="AF65" s="192">
        <f>AE65+'Income Statement'!AI33</f>
        <v>755.9140276</v>
      </c>
      <c r="AG65" s="191">
        <f t="shared" si="56"/>
        <v>755.9140276</v>
      </c>
      <c r="AH65" s="192">
        <f>AG65+'Income Statement'!AK33</f>
        <v>871.0811994</v>
      </c>
      <c r="AI65" s="192">
        <f>AH65+'Income Statement'!AL33</f>
        <v>1007.718914</v>
      </c>
      <c r="AJ65" s="192">
        <f>AI65+'Income Statement'!AM33</f>
        <v>1135.653092</v>
      </c>
      <c r="AK65" s="192">
        <f>AJ65+'Income Statement'!AN33</f>
        <v>1262.448145</v>
      </c>
      <c r="AL65" s="191">
        <f t="shared" si="57"/>
        <v>1262.448145</v>
      </c>
    </row>
    <row r="66" ht="10.5" customHeight="1">
      <c r="A66" s="181" t="s">
        <v>354</v>
      </c>
      <c r="B66" s="186">
        <f t="shared" ref="B66:AL66" si="58">SUM(B60:B65)</f>
        <v>-115.649</v>
      </c>
      <c r="C66" s="185">
        <f t="shared" si="58"/>
        <v>-115.649</v>
      </c>
      <c r="D66" s="186">
        <f t="shared" si="58"/>
        <v>-96.415</v>
      </c>
      <c r="E66" s="186">
        <f t="shared" si="58"/>
        <v>-317.664</v>
      </c>
      <c r="F66" s="186">
        <f t="shared" si="58"/>
        <v>-266.132</v>
      </c>
      <c r="G66" s="186">
        <f t="shared" si="58"/>
        <v>-215.38</v>
      </c>
      <c r="H66" s="185">
        <f t="shared" si="58"/>
        <v>-215.38</v>
      </c>
      <c r="I66" s="186">
        <f t="shared" si="58"/>
        <v>-219.89</v>
      </c>
      <c r="J66" s="186">
        <f t="shared" si="58"/>
        <v>-158.694</v>
      </c>
      <c r="K66" s="186">
        <f t="shared" si="58"/>
        <v>-194.763</v>
      </c>
      <c r="L66" s="186">
        <f t="shared" si="58"/>
        <v>-133.3266185</v>
      </c>
      <c r="M66" s="185">
        <f t="shared" si="58"/>
        <v>-133.3266185</v>
      </c>
      <c r="N66" s="186">
        <f t="shared" si="58"/>
        <v>-73.8024314</v>
      </c>
      <c r="O66" s="186">
        <f t="shared" si="58"/>
        <v>10.76930336</v>
      </c>
      <c r="P66" s="186">
        <f t="shared" si="58"/>
        <v>90.28853881</v>
      </c>
      <c r="Q66" s="186">
        <f t="shared" si="58"/>
        <v>170.8483021</v>
      </c>
      <c r="R66" s="185">
        <f t="shared" si="58"/>
        <v>170.8483021</v>
      </c>
      <c r="S66" s="186">
        <f t="shared" si="58"/>
        <v>245.0307793</v>
      </c>
      <c r="T66" s="186">
        <f t="shared" si="58"/>
        <v>345.5984876</v>
      </c>
      <c r="U66" s="186">
        <f t="shared" si="58"/>
        <v>442.6439895</v>
      </c>
      <c r="V66" s="186">
        <f t="shared" si="58"/>
        <v>539.0720658</v>
      </c>
      <c r="W66" s="185">
        <f t="shared" si="58"/>
        <v>539.0720658</v>
      </c>
      <c r="X66" s="186">
        <f t="shared" si="58"/>
        <v>626.7271952</v>
      </c>
      <c r="Y66" s="186">
        <f t="shared" si="58"/>
        <v>741.9774072</v>
      </c>
      <c r="Z66" s="186">
        <f t="shared" si="58"/>
        <v>853.2181596</v>
      </c>
      <c r="AA66" s="186">
        <f t="shared" si="58"/>
        <v>963.1293796</v>
      </c>
      <c r="AB66" s="185">
        <f t="shared" si="58"/>
        <v>963.1293796</v>
      </c>
      <c r="AC66" s="186">
        <f t="shared" si="58"/>
        <v>1070.229517</v>
      </c>
      <c r="AD66" s="186">
        <f t="shared" si="58"/>
        <v>1200.256792</v>
      </c>
      <c r="AE66" s="186">
        <f t="shared" si="58"/>
        <v>1321.982401</v>
      </c>
      <c r="AF66" s="186">
        <f t="shared" si="58"/>
        <v>1442.690846</v>
      </c>
      <c r="AG66" s="185">
        <f t="shared" si="58"/>
        <v>1442.690846</v>
      </c>
      <c r="AH66" s="186">
        <f t="shared" si="58"/>
        <v>1561.510832</v>
      </c>
      <c r="AI66" s="186">
        <f t="shared" si="58"/>
        <v>1703.726939</v>
      </c>
      <c r="AJ66" s="186">
        <f t="shared" si="58"/>
        <v>1837.011756</v>
      </c>
      <c r="AK66" s="186">
        <f t="shared" si="58"/>
        <v>1968.65458</v>
      </c>
      <c r="AL66" s="185">
        <f t="shared" si="58"/>
        <v>1968.65458</v>
      </c>
    </row>
    <row r="67" ht="10.5" customHeight="1">
      <c r="A67" s="202" t="s">
        <v>355</v>
      </c>
      <c r="B67" s="190">
        <v>-3.342</v>
      </c>
      <c r="C67" s="191">
        <f>B67</f>
        <v>-3.342</v>
      </c>
      <c r="D67" s="190">
        <v>-2.816</v>
      </c>
      <c r="E67" s="190">
        <v>-2.166</v>
      </c>
      <c r="F67" s="190">
        <v>-0.982</v>
      </c>
      <c r="G67" s="190">
        <v>0.007</v>
      </c>
      <c r="H67" s="191">
        <f>G67</f>
        <v>0.007</v>
      </c>
      <c r="I67" s="190">
        <v>0.026</v>
      </c>
      <c r="J67" s="190">
        <v>0.413</v>
      </c>
      <c r="K67" s="190">
        <v>0.406</v>
      </c>
      <c r="L67" s="192">
        <f t="shared" ref="L67:AL67" si="59">K67</f>
        <v>0.406</v>
      </c>
      <c r="M67" s="191">
        <f t="shared" si="59"/>
        <v>0.406</v>
      </c>
      <c r="N67" s="192">
        <f t="shared" si="59"/>
        <v>0.406</v>
      </c>
      <c r="O67" s="192">
        <f t="shared" si="59"/>
        <v>0.406</v>
      </c>
      <c r="P67" s="192">
        <f t="shared" si="59"/>
        <v>0.406</v>
      </c>
      <c r="Q67" s="192">
        <f t="shared" si="59"/>
        <v>0.406</v>
      </c>
      <c r="R67" s="191">
        <f t="shared" si="59"/>
        <v>0.406</v>
      </c>
      <c r="S67" s="192">
        <f t="shared" si="59"/>
        <v>0.406</v>
      </c>
      <c r="T67" s="192">
        <f t="shared" si="59"/>
        <v>0.406</v>
      </c>
      <c r="U67" s="192">
        <f t="shared" si="59"/>
        <v>0.406</v>
      </c>
      <c r="V67" s="192">
        <f t="shared" si="59"/>
        <v>0.406</v>
      </c>
      <c r="W67" s="191">
        <f t="shared" si="59"/>
        <v>0.406</v>
      </c>
      <c r="X67" s="192">
        <f t="shared" si="59"/>
        <v>0.406</v>
      </c>
      <c r="Y67" s="192">
        <f t="shared" si="59"/>
        <v>0.406</v>
      </c>
      <c r="Z67" s="192">
        <f t="shared" si="59"/>
        <v>0.406</v>
      </c>
      <c r="AA67" s="192">
        <f t="shared" si="59"/>
        <v>0.406</v>
      </c>
      <c r="AB67" s="191">
        <f t="shared" si="59"/>
        <v>0.406</v>
      </c>
      <c r="AC67" s="192">
        <f t="shared" si="59"/>
        <v>0.406</v>
      </c>
      <c r="AD67" s="192">
        <f t="shared" si="59"/>
        <v>0.406</v>
      </c>
      <c r="AE67" s="192">
        <f t="shared" si="59"/>
        <v>0.406</v>
      </c>
      <c r="AF67" s="192">
        <f t="shared" si="59"/>
        <v>0.406</v>
      </c>
      <c r="AG67" s="191">
        <f t="shared" si="59"/>
        <v>0.406</v>
      </c>
      <c r="AH67" s="192">
        <f t="shared" si="59"/>
        <v>0.406</v>
      </c>
      <c r="AI67" s="192">
        <f t="shared" si="59"/>
        <v>0.406</v>
      </c>
      <c r="AJ67" s="192">
        <f t="shared" si="59"/>
        <v>0.406</v>
      </c>
      <c r="AK67" s="192">
        <f t="shared" si="59"/>
        <v>0.406</v>
      </c>
      <c r="AL67" s="191">
        <f t="shared" si="59"/>
        <v>0.406</v>
      </c>
    </row>
    <row r="68" ht="10.5" customHeight="1">
      <c r="A68" s="181" t="s">
        <v>356</v>
      </c>
      <c r="B68" s="193">
        <f t="shared" ref="B68:AL68" si="60">B66+B67</f>
        <v>-118.991</v>
      </c>
      <c r="C68" s="194">
        <f t="shared" si="60"/>
        <v>-118.991</v>
      </c>
      <c r="D68" s="193">
        <f t="shared" si="60"/>
        <v>-99.231</v>
      </c>
      <c r="E68" s="193">
        <f t="shared" si="60"/>
        <v>-319.83</v>
      </c>
      <c r="F68" s="193">
        <f t="shared" si="60"/>
        <v>-267.114</v>
      </c>
      <c r="G68" s="193">
        <f t="shared" si="60"/>
        <v>-215.373</v>
      </c>
      <c r="H68" s="194">
        <f t="shared" si="60"/>
        <v>-215.373</v>
      </c>
      <c r="I68" s="193">
        <f t="shared" si="60"/>
        <v>-219.864</v>
      </c>
      <c r="J68" s="193">
        <f t="shared" si="60"/>
        <v>-158.281</v>
      </c>
      <c r="K68" s="193">
        <f t="shared" si="60"/>
        <v>-194.357</v>
      </c>
      <c r="L68" s="193">
        <f t="shared" si="60"/>
        <v>-132.9206185</v>
      </c>
      <c r="M68" s="194">
        <f t="shared" si="60"/>
        <v>-132.9206185</v>
      </c>
      <c r="N68" s="193">
        <f t="shared" si="60"/>
        <v>-73.3964314</v>
      </c>
      <c r="O68" s="193">
        <f t="shared" si="60"/>
        <v>11.17530336</v>
      </c>
      <c r="P68" s="193">
        <f t="shared" si="60"/>
        <v>90.69453881</v>
      </c>
      <c r="Q68" s="193">
        <f t="shared" si="60"/>
        <v>171.2543021</v>
      </c>
      <c r="R68" s="194">
        <f t="shared" si="60"/>
        <v>171.2543021</v>
      </c>
      <c r="S68" s="193">
        <f t="shared" si="60"/>
        <v>245.4367793</v>
      </c>
      <c r="T68" s="193">
        <f t="shared" si="60"/>
        <v>346.0044876</v>
      </c>
      <c r="U68" s="193">
        <f t="shared" si="60"/>
        <v>443.0499895</v>
      </c>
      <c r="V68" s="193">
        <f t="shared" si="60"/>
        <v>539.4780658</v>
      </c>
      <c r="W68" s="194">
        <f t="shared" si="60"/>
        <v>539.4780658</v>
      </c>
      <c r="X68" s="193">
        <f t="shared" si="60"/>
        <v>627.1331952</v>
      </c>
      <c r="Y68" s="193">
        <f t="shared" si="60"/>
        <v>742.3834072</v>
      </c>
      <c r="Z68" s="193">
        <f t="shared" si="60"/>
        <v>853.6241596</v>
      </c>
      <c r="AA68" s="193">
        <f t="shared" si="60"/>
        <v>963.5353796</v>
      </c>
      <c r="AB68" s="194">
        <f t="shared" si="60"/>
        <v>963.5353796</v>
      </c>
      <c r="AC68" s="193">
        <f t="shared" si="60"/>
        <v>1070.635517</v>
      </c>
      <c r="AD68" s="193">
        <f t="shared" si="60"/>
        <v>1200.662792</v>
      </c>
      <c r="AE68" s="193">
        <f t="shared" si="60"/>
        <v>1322.388401</v>
      </c>
      <c r="AF68" s="193">
        <f t="shared" si="60"/>
        <v>1443.096846</v>
      </c>
      <c r="AG68" s="194">
        <f t="shared" si="60"/>
        <v>1443.096846</v>
      </c>
      <c r="AH68" s="193">
        <f t="shared" si="60"/>
        <v>1561.916832</v>
      </c>
      <c r="AI68" s="193">
        <f t="shared" si="60"/>
        <v>1704.132939</v>
      </c>
      <c r="AJ68" s="193">
        <f t="shared" si="60"/>
        <v>1837.417756</v>
      </c>
      <c r="AK68" s="193">
        <f t="shared" si="60"/>
        <v>1969.06058</v>
      </c>
      <c r="AL68" s="194">
        <f t="shared" si="60"/>
        <v>1969.06058</v>
      </c>
    </row>
    <row r="69" ht="10.5" customHeight="1">
      <c r="A69" s="181"/>
      <c r="B69" s="193"/>
      <c r="C69" s="194"/>
      <c r="D69" s="193"/>
      <c r="E69" s="193"/>
      <c r="F69" s="193"/>
      <c r="G69" s="193"/>
      <c r="H69" s="194"/>
      <c r="I69" s="193"/>
      <c r="J69" s="193"/>
      <c r="K69" s="193"/>
      <c r="L69" s="193"/>
      <c r="M69" s="194"/>
      <c r="N69" s="193"/>
      <c r="O69" s="193"/>
      <c r="P69" s="193"/>
      <c r="Q69" s="193"/>
      <c r="R69" s="194"/>
      <c r="S69" s="193"/>
      <c r="T69" s="193"/>
      <c r="U69" s="193"/>
      <c r="V69" s="193"/>
      <c r="W69" s="194"/>
      <c r="X69" s="193"/>
      <c r="Y69" s="193"/>
      <c r="Z69" s="193"/>
      <c r="AA69" s="193"/>
      <c r="AB69" s="194"/>
      <c r="AC69" s="193"/>
      <c r="AD69" s="193"/>
      <c r="AE69" s="193"/>
      <c r="AF69" s="193"/>
      <c r="AG69" s="194"/>
      <c r="AH69" s="193"/>
      <c r="AI69" s="193"/>
      <c r="AJ69" s="193"/>
      <c r="AK69" s="193"/>
      <c r="AL69" s="194"/>
    </row>
    <row r="70" ht="10.5" customHeight="1">
      <c r="A70" s="259" t="s">
        <v>357</v>
      </c>
      <c r="B70" s="203">
        <f t="shared" ref="B70:AL70" si="61">B68+B56+B46</f>
        <v>2969.693</v>
      </c>
      <c r="C70" s="204">
        <f t="shared" si="61"/>
        <v>2969.693</v>
      </c>
      <c r="D70" s="203">
        <f t="shared" si="61"/>
        <v>2992.778</v>
      </c>
      <c r="E70" s="203">
        <f t="shared" si="61"/>
        <v>2974.04</v>
      </c>
      <c r="F70" s="203">
        <f t="shared" si="61"/>
        <v>3048.181</v>
      </c>
      <c r="G70" s="203">
        <f t="shared" si="61"/>
        <v>3069.708</v>
      </c>
      <c r="H70" s="204">
        <f t="shared" si="61"/>
        <v>3069.708</v>
      </c>
      <c r="I70" s="203">
        <f t="shared" si="61"/>
        <v>3091.922</v>
      </c>
      <c r="J70" s="203">
        <f t="shared" si="61"/>
        <v>3119.152</v>
      </c>
      <c r="K70" s="203">
        <f t="shared" si="61"/>
        <v>3058.209</v>
      </c>
      <c r="L70" s="203">
        <f t="shared" si="61"/>
        <v>3107.206366</v>
      </c>
      <c r="M70" s="204">
        <f t="shared" si="61"/>
        <v>3107.206366</v>
      </c>
      <c r="N70" s="203">
        <f t="shared" si="61"/>
        <v>3179.515958</v>
      </c>
      <c r="O70" s="203">
        <f t="shared" si="61"/>
        <v>3286.183064</v>
      </c>
      <c r="P70" s="203">
        <f t="shared" si="61"/>
        <v>3296.269671</v>
      </c>
      <c r="Q70" s="203">
        <f t="shared" si="61"/>
        <v>3510.443462</v>
      </c>
      <c r="R70" s="204">
        <f t="shared" si="61"/>
        <v>3510.443462</v>
      </c>
      <c r="S70" s="203">
        <f t="shared" si="61"/>
        <v>3508.410278</v>
      </c>
      <c r="T70" s="203">
        <f t="shared" si="61"/>
        <v>3627.454158</v>
      </c>
      <c r="U70" s="203">
        <f t="shared" si="61"/>
        <v>3642.272531</v>
      </c>
      <c r="V70" s="203">
        <f t="shared" si="61"/>
        <v>3883.099672</v>
      </c>
      <c r="W70" s="204">
        <f t="shared" si="61"/>
        <v>3883.099672</v>
      </c>
      <c r="X70" s="203">
        <f t="shared" si="61"/>
        <v>3885.040355</v>
      </c>
      <c r="Y70" s="203">
        <f t="shared" si="61"/>
        <v>4020.3567</v>
      </c>
      <c r="Z70" s="203">
        <f t="shared" si="61"/>
        <v>4042.029209</v>
      </c>
      <c r="AA70" s="203">
        <f t="shared" si="61"/>
        <v>4310.106976</v>
      </c>
      <c r="AB70" s="204">
        <f t="shared" si="61"/>
        <v>4310.106976</v>
      </c>
      <c r="AC70" s="203">
        <f t="shared" si="61"/>
        <v>4328.245485</v>
      </c>
      <c r="AD70" s="203">
        <f t="shared" si="61"/>
        <v>4484.622811</v>
      </c>
      <c r="AE70" s="203">
        <f t="shared" si="61"/>
        <v>4513.583564</v>
      </c>
      <c r="AF70" s="203">
        <f t="shared" si="61"/>
        <v>4811.043609</v>
      </c>
      <c r="AG70" s="204">
        <f t="shared" si="61"/>
        <v>4811.043609</v>
      </c>
      <c r="AH70" s="203">
        <f t="shared" si="61"/>
        <v>4832.026128</v>
      </c>
      <c r="AI70" s="203">
        <f t="shared" si="61"/>
        <v>5002.069894</v>
      </c>
      <c r="AJ70" s="203">
        <f t="shared" si="61"/>
        <v>5035.416493</v>
      </c>
      <c r="AK70" s="203">
        <f t="shared" si="61"/>
        <v>5357.320449</v>
      </c>
      <c r="AL70" s="204">
        <f t="shared" si="61"/>
        <v>5357.320449</v>
      </c>
    </row>
    <row r="71" ht="10.5" customHeight="1">
      <c r="A71" s="164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4"/>
      <c r="N71" s="165"/>
      <c r="O71" s="165"/>
      <c r="P71" s="165"/>
      <c r="Q71" s="165"/>
      <c r="R71" s="164"/>
      <c r="S71" s="165"/>
      <c r="T71" s="165"/>
      <c r="U71" s="165"/>
      <c r="V71" s="165"/>
      <c r="W71" s="164"/>
      <c r="X71" s="165"/>
      <c r="Y71" s="165"/>
      <c r="Z71" s="165"/>
      <c r="AA71" s="165"/>
      <c r="AB71" s="164"/>
      <c r="AC71" s="165"/>
      <c r="AD71" s="165"/>
      <c r="AE71" s="165"/>
      <c r="AF71" s="165"/>
      <c r="AG71" s="164"/>
      <c r="AH71" s="165"/>
      <c r="AI71" s="165"/>
      <c r="AJ71" s="165"/>
      <c r="AK71" s="165"/>
      <c r="AL71" s="164"/>
    </row>
    <row r="72" ht="10.5" customHeight="1">
      <c r="A72" s="299" t="s">
        <v>358</v>
      </c>
      <c r="B72" s="300">
        <f t="shared" ref="B72:AL72" si="62">B70-B29</f>
        <v>0</v>
      </c>
      <c r="C72" s="300">
        <f t="shared" si="62"/>
        <v>0</v>
      </c>
      <c r="D72" s="300">
        <f t="shared" si="62"/>
        <v>0</v>
      </c>
      <c r="E72" s="300">
        <f t="shared" si="62"/>
        <v>0</v>
      </c>
      <c r="F72" s="301">
        <f t="shared" si="62"/>
        <v>0</v>
      </c>
      <c r="G72" s="301">
        <f t="shared" si="62"/>
        <v>0</v>
      </c>
      <c r="H72" s="300">
        <f t="shared" si="62"/>
        <v>0</v>
      </c>
      <c r="I72" s="300">
        <f t="shared" si="62"/>
        <v>0</v>
      </c>
      <c r="J72" s="300">
        <f t="shared" si="62"/>
        <v>0</v>
      </c>
      <c r="K72" s="301">
        <f t="shared" si="62"/>
        <v>0</v>
      </c>
      <c r="L72" s="301">
        <f t="shared" si="62"/>
        <v>0</v>
      </c>
      <c r="M72" s="300">
        <f t="shared" si="62"/>
        <v>0</v>
      </c>
      <c r="N72" s="301">
        <f t="shared" si="62"/>
        <v>0</v>
      </c>
      <c r="O72" s="301">
        <f t="shared" si="62"/>
        <v>0</v>
      </c>
      <c r="P72" s="301">
        <f t="shared" si="62"/>
        <v>0</v>
      </c>
      <c r="Q72" s="301">
        <f t="shared" si="62"/>
        <v>0</v>
      </c>
      <c r="R72" s="300">
        <f t="shared" si="62"/>
        <v>0</v>
      </c>
      <c r="S72" s="301">
        <f t="shared" si="62"/>
        <v>0</v>
      </c>
      <c r="T72" s="301">
        <f t="shared" si="62"/>
        <v>0</v>
      </c>
      <c r="U72" s="301">
        <f t="shared" si="62"/>
        <v>0</v>
      </c>
      <c r="V72" s="301">
        <f t="shared" si="62"/>
        <v>0</v>
      </c>
      <c r="W72" s="300">
        <f t="shared" si="62"/>
        <v>0</v>
      </c>
      <c r="X72" s="301">
        <f t="shared" si="62"/>
        <v>0</v>
      </c>
      <c r="Y72" s="301">
        <f t="shared" si="62"/>
        <v>0</v>
      </c>
      <c r="Z72" s="301">
        <f t="shared" si="62"/>
        <v>0</v>
      </c>
      <c r="AA72" s="301">
        <f t="shared" si="62"/>
        <v>0</v>
      </c>
      <c r="AB72" s="300">
        <f t="shared" si="62"/>
        <v>0</v>
      </c>
      <c r="AC72" s="301">
        <f t="shared" si="62"/>
        <v>0</v>
      </c>
      <c r="AD72" s="301">
        <f t="shared" si="62"/>
        <v>0</v>
      </c>
      <c r="AE72" s="301">
        <f t="shared" si="62"/>
        <v>0</v>
      </c>
      <c r="AF72" s="301">
        <f t="shared" si="62"/>
        <v>0</v>
      </c>
      <c r="AG72" s="300">
        <f t="shared" si="62"/>
        <v>0</v>
      </c>
      <c r="AH72" s="301">
        <f t="shared" si="62"/>
        <v>0</v>
      </c>
      <c r="AI72" s="301">
        <f t="shared" si="62"/>
        <v>0</v>
      </c>
      <c r="AJ72" s="301">
        <f t="shared" si="62"/>
        <v>0</v>
      </c>
      <c r="AK72" s="301">
        <f t="shared" si="62"/>
        <v>0</v>
      </c>
      <c r="AL72" s="300">
        <f t="shared" si="62"/>
        <v>0</v>
      </c>
    </row>
    <row r="73" ht="10.5" customHeight="1">
      <c r="A73" s="164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4"/>
      <c r="N73" s="165"/>
      <c r="O73" s="165"/>
      <c r="P73" s="165"/>
      <c r="Q73" s="165"/>
      <c r="R73" s="164"/>
      <c r="S73" s="165"/>
      <c r="T73" s="165"/>
      <c r="U73" s="165"/>
      <c r="V73" s="165"/>
      <c r="W73" s="164"/>
      <c r="X73" s="165"/>
      <c r="Y73" s="165"/>
      <c r="Z73" s="165"/>
      <c r="AA73" s="165"/>
      <c r="AB73" s="164"/>
      <c r="AC73" s="165"/>
      <c r="AD73" s="165"/>
      <c r="AE73" s="165"/>
      <c r="AF73" s="165"/>
      <c r="AG73" s="164"/>
      <c r="AH73" s="165"/>
      <c r="AI73" s="165"/>
      <c r="AJ73" s="165"/>
      <c r="AK73" s="165"/>
      <c r="AL73" s="164"/>
    </row>
    <row r="74" ht="10.5" customHeight="1">
      <c r="A74" s="188"/>
      <c r="B74" s="301"/>
      <c r="C74" s="301"/>
      <c r="D74" s="301"/>
      <c r="E74" s="301"/>
      <c r="F74" s="301"/>
      <c r="G74" s="301"/>
      <c r="H74" s="301"/>
      <c r="I74" s="301"/>
      <c r="J74" s="301"/>
      <c r="K74" s="301"/>
      <c r="L74" s="301"/>
      <c r="M74" s="301"/>
      <c r="N74" s="301"/>
      <c r="O74" s="301"/>
      <c r="P74" s="301"/>
      <c r="Q74" s="301"/>
      <c r="R74" s="301"/>
      <c r="S74" s="301"/>
      <c r="T74" s="301"/>
      <c r="U74" s="301"/>
      <c r="V74" s="301"/>
      <c r="W74" s="301"/>
      <c r="X74" s="301"/>
      <c r="Y74" s="301"/>
      <c r="Z74" s="301"/>
      <c r="AA74" s="301"/>
      <c r="AB74" s="301"/>
      <c r="AC74" s="301"/>
      <c r="AD74" s="301"/>
      <c r="AE74" s="301"/>
      <c r="AF74" s="301"/>
      <c r="AG74" s="301"/>
      <c r="AH74" s="301"/>
      <c r="AI74" s="301"/>
      <c r="AJ74" s="301"/>
      <c r="AK74" s="301"/>
      <c r="AL74" s="301"/>
    </row>
    <row r="75" ht="10.5" customHeight="1">
      <c r="A75" s="164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  <c r="M75" s="164"/>
      <c r="N75" s="165"/>
      <c r="O75" s="165"/>
      <c r="P75" s="165"/>
      <c r="Q75" s="165"/>
      <c r="R75" s="164"/>
      <c r="S75" s="165"/>
      <c r="T75" s="165"/>
      <c r="U75" s="165"/>
      <c r="V75" s="165"/>
      <c r="W75" s="164"/>
      <c r="X75" s="165"/>
      <c r="Y75" s="165"/>
      <c r="Z75" s="165"/>
      <c r="AA75" s="165"/>
      <c r="AB75" s="164"/>
      <c r="AC75" s="165"/>
      <c r="AD75" s="165"/>
      <c r="AE75" s="165"/>
      <c r="AF75" s="165"/>
      <c r="AG75" s="164"/>
      <c r="AH75" s="165"/>
      <c r="AI75" s="165"/>
      <c r="AJ75" s="165"/>
      <c r="AK75" s="165"/>
      <c r="AL75" s="164"/>
    </row>
    <row r="76" ht="10.5" customHeight="1">
      <c r="A76" s="164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  <c r="M76" s="164"/>
      <c r="N76" s="165"/>
      <c r="O76" s="165"/>
      <c r="P76" s="165"/>
      <c r="Q76" s="165"/>
      <c r="R76" s="164"/>
      <c r="S76" s="165"/>
      <c r="T76" s="165"/>
      <c r="U76" s="165"/>
      <c r="V76" s="165"/>
      <c r="W76" s="164"/>
      <c r="X76" s="165"/>
      <c r="Y76" s="165"/>
      <c r="Z76" s="165"/>
      <c r="AA76" s="165"/>
      <c r="AB76" s="164"/>
      <c r="AC76" s="165"/>
      <c r="AD76" s="165"/>
      <c r="AE76" s="165"/>
      <c r="AF76" s="165"/>
      <c r="AG76" s="164"/>
      <c r="AH76" s="165"/>
      <c r="AI76" s="165"/>
      <c r="AJ76" s="165"/>
      <c r="AK76" s="165"/>
      <c r="AL76" s="164"/>
    </row>
    <row r="77" ht="10.5" customHeight="1">
      <c r="A77" s="164"/>
      <c r="B77" s="165"/>
      <c r="C77" s="165"/>
      <c r="D77" s="165"/>
      <c r="E77" s="165"/>
      <c r="F77" s="165"/>
      <c r="G77" s="165"/>
      <c r="H77" s="165"/>
      <c r="I77" s="165"/>
      <c r="J77" s="165"/>
      <c r="K77" s="165"/>
      <c r="L77" s="165"/>
      <c r="M77" s="164"/>
      <c r="N77" s="165"/>
      <c r="O77" s="165"/>
      <c r="P77" s="165"/>
      <c r="Q77" s="165"/>
      <c r="R77" s="164"/>
      <c r="S77" s="165"/>
      <c r="T77" s="165"/>
      <c r="U77" s="165"/>
      <c r="V77" s="165"/>
      <c r="W77" s="164"/>
      <c r="X77" s="165"/>
      <c r="Y77" s="165"/>
      <c r="Z77" s="165"/>
      <c r="AA77" s="165"/>
      <c r="AB77" s="164"/>
      <c r="AC77" s="165"/>
      <c r="AD77" s="165"/>
      <c r="AE77" s="165"/>
      <c r="AF77" s="165"/>
      <c r="AG77" s="164"/>
      <c r="AH77" s="165"/>
      <c r="AI77" s="165"/>
      <c r="AJ77" s="165"/>
      <c r="AK77" s="165"/>
      <c r="AL77" s="164"/>
    </row>
    <row r="78" ht="10.5" customHeight="1">
      <c r="A78" s="164"/>
      <c r="B78" s="165"/>
      <c r="C78" s="165"/>
      <c r="D78" s="165"/>
      <c r="E78" s="165"/>
      <c r="F78" s="165"/>
      <c r="G78" s="165"/>
      <c r="H78" s="165"/>
      <c r="I78" s="165"/>
      <c r="J78" s="165"/>
      <c r="K78" s="165"/>
      <c r="L78" s="165"/>
      <c r="M78" s="164"/>
      <c r="N78" s="165"/>
      <c r="O78" s="165"/>
      <c r="P78" s="165"/>
      <c r="Q78" s="165"/>
      <c r="R78" s="164"/>
      <c r="S78" s="165"/>
      <c r="T78" s="165"/>
      <c r="U78" s="165"/>
      <c r="V78" s="165"/>
      <c r="W78" s="164"/>
      <c r="X78" s="165"/>
      <c r="Y78" s="165"/>
      <c r="Z78" s="165"/>
      <c r="AA78" s="165"/>
      <c r="AB78" s="164"/>
      <c r="AC78" s="165"/>
      <c r="AD78" s="165"/>
      <c r="AE78" s="165"/>
      <c r="AF78" s="165"/>
      <c r="AG78" s="164"/>
      <c r="AH78" s="165"/>
      <c r="AI78" s="165"/>
      <c r="AJ78" s="165"/>
      <c r="AK78" s="165"/>
      <c r="AL78" s="164"/>
    </row>
    <row r="79" ht="10.5" customHeight="1">
      <c r="A79" s="164"/>
      <c r="B79" s="165"/>
      <c r="C79" s="165"/>
      <c r="D79" s="165"/>
      <c r="E79" s="165"/>
      <c r="F79" s="165"/>
      <c r="G79" s="165"/>
      <c r="H79" s="165"/>
      <c r="I79" s="165"/>
      <c r="J79" s="165"/>
      <c r="K79" s="165"/>
      <c r="L79" s="165"/>
      <c r="M79" s="164"/>
      <c r="N79" s="165"/>
      <c r="O79" s="165"/>
      <c r="P79" s="165"/>
      <c r="Q79" s="165"/>
      <c r="R79" s="164"/>
      <c r="S79" s="165"/>
      <c r="T79" s="165"/>
      <c r="U79" s="165"/>
      <c r="V79" s="165"/>
      <c r="W79" s="164"/>
      <c r="X79" s="165"/>
      <c r="Y79" s="165"/>
      <c r="Z79" s="165"/>
      <c r="AA79" s="165"/>
      <c r="AB79" s="164"/>
      <c r="AC79" s="165"/>
      <c r="AD79" s="165"/>
      <c r="AE79" s="165"/>
      <c r="AF79" s="165"/>
      <c r="AG79" s="164"/>
      <c r="AH79" s="165"/>
      <c r="AI79" s="165"/>
      <c r="AJ79" s="165"/>
      <c r="AK79" s="165"/>
      <c r="AL79" s="164"/>
    </row>
    <row r="80" ht="10.5" customHeight="1">
      <c r="A80" s="164"/>
      <c r="B80" s="165"/>
      <c r="C80" s="165"/>
      <c r="D80" s="165"/>
      <c r="E80" s="165"/>
      <c r="F80" s="165"/>
      <c r="G80" s="165"/>
      <c r="H80" s="165"/>
      <c r="I80" s="165"/>
      <c r="J80" s="165"/>
      <c r="K80" s="165"/>
      <c r="L80" s="165"/>
      <c r="M80" s="164"/>
      <c r="N80" s="165"/>
      <c r="O80" s="165"/>
      <c r="P80" s="165"/>
      <c r="Q80" s="165"/>
      <c r="R80" s="164"/>
      <c r="S80" s="165"/>
      <c r="T80" s="165"/>
      <c r="U80" s="165"/>
      <c r="V80" s="165"/>
      <c r="W80" s="164"/>
      <c r="X80" s="165"/>
      <c r="Y80" s="165"/>
      <c r="Z80" s="165"/>
      <c r="AA80" s="165"/>
      <c r="AB80" s="164"/>
      <c r="AC80" s="165"/>
      <c r="AD80" s="165"/>
      <c r="AE80" s="165"/>
      <c r="AF80" s="165"/>
      <c r="AG80" s="164"/>
      <c r="AH80" s="165"/>
      <c r="AI80" s="165"/>
      <c r="AJ80" s="165"/>
      <c r="AK80" s="165"/>
      <c r="AL80" s="164"/>
    </row>
    <row r="81" ht="10.5" customHeight="1">
      <c r="A81" s="164"/>
      <c r="B81" s="165"/>
      <c r="C81" s="165"/>
      <c r="D81" s="165"/>
      <c r="E81" s="165"/>
      <c r="F81" s="165"/>
      <c r="G81" s="165"/>
      <c r="H81" s="165"/>
      <c r="I81" s="165"/>
      <c r="J81" s="165"/>
      <c r="K81" s="165"/>
      <c r="L81" s="165"/>
      <c r="M81" s="164"/>
      <c r="N81" s="165"/>
      <c r="O81" s="165"/>
      <c r="P81" s="165"/>
      <c r="Q81" s="165"/>
      <c r="R81" s="164"/>
      <c r="S81" s="165"/>
      <c r="T81" s="165"/>
      <c r="U81" s="165"/>
      <c r="V81" s="165"/>
      <c r="W81" s="164"/>
      <c r="X81" s="165"/>
      <c r="Y81" s="165"/>
      <c r="Z81" s="165"/>
      <c r="AA81" s="165"/>
      <c r="AB81" s="164"/>
      <c r="AC81" s="165"/>
      <c r="AD81" s="165"/>
      <c r="AE81" s="165"/>
      <c r="AF81" s="165"/>
      <c r="AG81" s="164"/>
      <c r="AH81" s="165"/>
      <c r="AI81" s="165"/>
      <c r="AJ81" s="165"/>
      <c r="AK81" s="165"/>
      <c r="AL81" s="164"/>
    </row>
    <row r="82" ht="10.5" customHeight="1">
      <c r="A82" s="164"/>
      <c r="B82" s="165"/>
      <c r="C82" s="165"/>
      <c r="D82" s="165"/>
      <c r="E82" s="165"/>
      <c r="F82" s="165"/>
      <c r="G82" s="165"/>
      <c r="H82" s="165"/>
      <c r="I82" s="165"/>
      <c r="J82" s="165"/>
      <c r="K82" s="165"/>
      <c r="L82" s="165"/>
      <c r="M82" s="164"/>
      <c r="N82" s="165"/>
      <c r="O82" s="165"/>
      <c r="P82" s="165"/>
      <c r="Q82" s="165"/>
      <c r="R82" s="164"/>
      <c r="S82" s="165"/>
      <c r="T82" s="165"/>
      <c r="U82" s="165"/>
      <c r="V82" s="165"/>
      <c r="W82" s="164"/>
      <c r="X82" s="165"/>
      <c r="Y82" s="165"/>
      <c r="Z82" s="165"/>
      <c r="AA82" s="165"/>
      <c r="AB82" s="164"/>
      <c r="AC82" s="165"/>
      <c r="AD82" s="165"/>
      <c r="AE82" s="165"/>
      <c r="AF82" s="165"/>
      <c r="AG82" s="164"/>
      <c r="AH82" s="165"/>
      <c r="AI82" s="165"/>
      <c r="AJ82" s="165"/>
      <c r="AK82" s="165"/>
      <c r="AL82" s="164"/>
    </row>
    <row r="83" ht="10.5" customHeight="1">
      <c r="A83" s="164"/>
      <c r="B83" s="165"/>
      <c r="C83" s="165"/>
      <c r="D83" s="165"/>
      <c r="E83" s="165"/>
      <c r="F83" s="165"/>
      <c r="G83" s="165"/>
      <c r="H83" s="165"/>
      <c r="I83" s="165"/>
      <c r="J83" s="165"/>
      <c r="K83" s="165"/>
      <c r="L83" s="165"/>
      <c r="M83" s="164"/>
      <c r="N83" s="165"/>
      <c r="O83" s="165"/>
      <c r="P83" s="165"/>
      <c r="Q83" s="165"/>
      <c r="R83" s="164"/>
      <c r="S83" s="165"/>
      <c r="T83" s="165"/>
      <c r="U83" s="165"/>
      <c r="V83" s="165"/>
      <c r="W83" s="164"/>
      <c r="X83" s="165"/>
      <c r="Y83" s="165"/>
      <c r="Z83" s="165"/>
      <c r="AA83" s="165"/>
      <c r="AB83" s="164"/>
      <c r="AC83" s="165"/>
      <c r="AD83" s="165"/>
      <c r="AE83" s="165"/>
      <c r="AF83" s="165"/>
      <c r="AG83" s="164"/>
      <c r="AH83" s="165"/>
      <c r="AI83" s="165"/>
      <c r="AJ83" s="165"/>
      <c r="AK83" s="165"/>
      <c r="AL83" s="164"/>
    </row>
    <row r="84" ht="10.5" customHeight="1">
      <c r="A84" s="164"/>
      <c r="B84" s="165"/>
      <c r="C84" s="165"/>
      <c r="D84" s="165"/>
      <c r="E84" s="165"/>
      <c r="F84" s="165"/>
      <c r="G84" s="165"/>
      <c r="H84" s="165"/>
      <c r="I84" s="165"/>
      <c r="J84" s="165"/>
      <c r="K84" s="165"/>
      <c r="L84" s="165"/>
      <c r="M84" s="164"/>
      <c r="N84" s="165"/>
      <c r="O84" s="165"/>
      <c r="P84" s="165"/>
      <c r="Q84" s="165"/>
      <c r="R84" s="164"/>
      <c r="S84" s="165"/>
      <c r="T84" s="165"/>
      <c r="U84" s="165"/>
      <c r="V84" s="165"/>
      <c r="W84" s="164"/>
      <c r="X84" s="165"/>
      <c r="Y84" s="165"/>
      <c r="Z84" s="165"/>
      <c r="AA84" s="165"/>
      <c r="AB84" s="164"/>
      <c r="AC84" s="165"/>
      <c r="AD84" s="165"/>
      <c r="AE84" s="165"/>
      <c r="AF84" s="165"/>
      <c r="AG84" s="164"/>
      <c r="AH84" s="165"/>
      <c r="AI84" s="165"/>
      <c r="AJ84" s="165"/>
      <c r="AK84" s="165"/>
      <c r="AL84" s="164"/>
    </row>
    <row r="85" ht="10.5" customHeight="1">
      <c r="A85" s="164"/>
      <c r="B85" s="165"/>
      <c r="C85" s="165"/>
      <c r="D85" s="165"/>
      <c r="E85" s="165"/>
      <c r="F85" s="165"/>
      <c r="G85" s="165"/>
      <c r="H85" s="165"/>
      <c r="I85" s="165"/>
      <c r="J85" s="165"/>
      <c r="K85" s="165"/>
      <c r="L85" s="165"/>
      <c r="M85" s="164"/>
      <c r="N85" s="165"/>
      <c r="O85" s="165"/>
      <c r="P85" s="165"/>
      <c r="Q85" s="165"/>
      <c r="R85" s="164"/>
      <c r="S85" s="165"/>
      <c r="T85" s="165"/>
      <c r="U85" s="165"/>
      <c r="V85" s="165"/>
      <c r="W85" s="164"/>
      <c r="X85" s="165"/>
      <c r="Y85" s="165"/>
      <c r="Z85" s="165"/>
      <c r="AA85" s="165"/>
      <c r="AB85" s="164"/>
      <c r="AC85" s="165"/>
      <c r="AD85" s="165"/>
      <c r="AE85" s="165"/>
      <c r="AF85" s="165"/>
      <c r="AG85" s="164"/>
      <c r="AH85" s="165"/>
      <c r="AI85" s="165"/>
      <c r="AJ85" s="165"/>
      <c r="AK85" s="165"/>
      <c r="AL85" s="164"/>
    </row>
    <row r="86" ht="10.5" customHeight="1">
      <c r="A86" s="164"/>
      <c r="B86" s="165"/>
      <c r="C86" s="165"/>
      <c r="D86" s="165"/>
      <c r="E86" s="165"/>
      <c r="F86" s="165"/>
      <c r="G86" s="165"/>
      <c r="H86" s="165"/>
      <c r="I86" s="165"/>
      <c r="J86" s="165"/>
      <c r="K86" s="165"/>
      <c r="L86" s="165"/>
      <c r="M86" s="164"/>
      <c r="N86" s="165"/>
      <c r="O86" s="165"/>
      <c r="P86" s="165"/>
      <c r="Q86" s="165"/>
      <c r="R86" s="164"/>
      <c r="S86" s="165"/>
      <c r="T86" s="165"/>
      <c r="U86" s="165"/>
      <c r="V86" s="165"/>
      <c r="W86" s="164"/>
      <c r="X86" s="165"/>
      <c r="Y86" s="165"/>
      <c r="Z86" s="165"/>
      <c r="AA86" s="165"/>
      <c r="AB86" s="164"/>
      <c r="AC86" s="165"/>
      <c r="AD86" s="165"/>
      <c r="AE86" s="165"/>
      <c r="AF86" s="165"/>
      <c r="AG86" s="164"/>
      <c r="AH86" s="165"/>
      <c r="AI86" s="165"/>
      <c r="AJ86" s="165"/>
      <c r="AK86" s="165"/>
      <c r="AL86" s="164"/>
    </row>
    <row r="87" ht="10.5" customHeight="1">
      <c r="A87" s="164"/>
      <c r="B87" s="165"/>
      <c r="C87" s="165"/>
      <c r="D87" s="165"/>
      <c r="E87" s="165"/>
      <c r="F87" s="165"/>
      <c r="G87" s="165"/>
      <c r="H87" s="165"/>
      <c r="I87" s="165"/>
      <c r="J87" s="165"/>
      <c r="K87" s="165"/>
      <c r="L87" s="165"/>
      <c r="M87" s="164"/>
      <c r="N87" s="165"/>
      <c r="O87" s="165"/>
      <c r="P87" s="165"/>
      <c r="Q87" s="165"/>
      <c r="R87" s="164"/>
      <c r="S87" s="165"/>
      <c r="T87" s="165"/>
      <c r="U87" s="165"/>
      <c r="V87" s="165"/>
      <c r="W87" s="164"/>
      <c r="X87" s="165"/>
      <c r="Y87" s="165"/>
      <c r="Z87" s="165"/>
      <c r="AA87" s="165"/>
      <c r="AB87" s="164"/>
      <c r="AC87" s="165"/>
      <c r="AD87" s="165"/>
      <c r="AE87" s="165"/>
      <c r="AF87" s="165"/>
      <c r="AG87" s="164"/>
      <c r="AH87" s="165"/>
      <c r="AI87" s="165"/>
      <c r="AJ87" s="165"/>
      <c r="AK87" s="165"/>
      <c r="AL87" s="164"/>
    </row>
    <row r="88" ht="10.5" customHeight="1">
      <c r="A88" s="164"/>
      <c r="B88" s="165"/>
      <c r="C88" s="165"/>
      <c r="D88" s="165"/>
      <c r="E88" s="165"/>
      <c r="F88" s="165"/>
      <c r="G88" s="165"/>
      <c r="H88" s="165"/>
      <c r="I88" s="165"/>
      <c r="J88" s="165"/>
      <c r="K88" s="165"/>
      <c r="L88" s="165"/>
      <c r="M88" s="164"/>
      <c r="N88" s="165"/>
      <c r="O88" s="165"/>
      <c r="P88" s="165"/>
      <c r="Q88" s="165"/>
      <c r="R88" s="164"/>
      <c r="S88" s="165"/>
      <c r="T88" s="165"/>
      <c r="U88" s="165"/>
      <c r="V88" s="165"/>
      <c r="W88" s="164"/>
      <c r="X88" s="165"/>
      <c r="Y88" s="165"/>
      <c r="Z88" s="165"/>
      <c r="AA88" s="165"/>
      <c r="AB88" s="164"/>
      <c r="AC88" s="165"/>
      <c r="AD88" s="165"/>
      <c r="AE88" s="165"/>
      <c r="AF88" s="165"/>
      <c r="AG88" s="164"/>
      <c r="AH88" s="165"/>
      <c r="AI88" s="165"/>
      <c r="AJ88" s="165"/>
      <c r="AK88" s="165"/>
      <c r="AL88" s="164"/>
    </row>
    <row r="89" ht="10.5" customHeight="1">
      <c r="A89" s="164"/>
      <c r="B89" s="165"/>
      <c r="C89" s="165"/>
      <c r="D89" s="165"/>
      <c r="E89" s="165"/>
      <c r="F89" s="165"/>
      <c r="G89" s="165"/>
      <c r="H89" s="165"/>
      <c r="I89" s="165"/>
      <c r="J89" s="165"/>
      <c r="K89" s="165"/>
      <c r="L89" s="165"/>
      <c r="M89" s="164"/>
      <c r="N89" s="165"/>
      <c r="O89" s="165"/>
      <c r="P89" s="165"/>
      <c r="Q89" s="165"/>
      <c r="R89" s="164"/>
      <c r="S89" s="165"/>
      <c r="T89" s="165"/>
      <c r="U89" s="165"/>
      <c r="V89" s="165"/>
      <c r="W89" s="164"/>
      <c r="X89" s="165"/>
      <c r="Y89" s="165"/>
      <c r="Z89" s="165"/>
      <c r="AA89" s="165"/>
      <c r="AB89" s="164"/>
      <c r="AC89" s="165"/>
      <c r="AD89" s="165"/>
      <c r="AE89" s="165"/>
      <c r="AF89" s="165"/>
      <c r="AG89" s="164"/>
      <c r="AH89" s="165"/>
      <c r="AI89" s="165"/>
      <c r="AJ89" s="165"/>
      <c r="AK89" s="165"/>
      <c r="AL89" s="164"/>
    </row>
    <row r="90" ht="10.5" customHeight="1">
      <c r="A90" s="164"/>
      <c r="B90" s="165"/>
      <c r="C90" s="165"/>
      <c r="D90" s="165"/>
      <c r="E90" s="165"/>
      <c r="F90" s="165"/>
      <c r="G90" s="165"/>
      <c r="H90" s="165"/>
      <c r="I90" s="165"/>
      <c r="J90" s="165"/>
      <c r="K90" s="165"/>
      <c r="L90" s="165"/>
      <c r="M90" s="164"/>
      <c r="N90" s="165"/>
      <c r="O90" s="165"/>
      <c r="P90" s="165"/>
      <c r="Q90" s="165"/>
      <c r="R90" s="164"/>
      <c r="S90" s="165"/>
      <c r="T90" s="165"/>
      <c r="U90" s="165"/>
      <c r="V90" s="165"/>
      <c r="W90" s="164"/>
      <c r="X90" s="165"/>
      <c r="Y90" s="165"/>
      <c r="Z90" s="165"/>
      <c r="AA90" s="165"/>
      <c r="AB90" s="164"/>
      <c r="AC90" s="165"/>
      <c r="AD90" s="165"/>
      <c r="AE90" s="165"/>
      <c r="AF90" s="165"/>
      <c r="AG90" s="164"/>
      <c r="AH90" s="165"/>
      <c r="AI90" s="165"/>
      <c r="AJ90" s="165"/>
      <c r="AK90" s="165"/>
      <c r="AL90" s="164"/>
    </row>
    <row r="91" ht="10.5" customHeight="1">
      <c r="A91" s="164"/>
      <c r="B91" s="165"/>
      <c r="C91" s="165"/>
      <c r="D91" s="165"/>
      <c r="E91" s="165"/>
      <c r="F91" s="165"/>
      <c r="G91" s="165"/>
      <c r="H91" s="165"/>
      <c r="I91" s="165"/>
      <c r="J91" s="165"/>
      <c r="K91" s="165"/>
      <c r="L91" s="165"/>
      <c r="M91" s="164"/>
      <c r="N91" s="165"/>
      <c r="O91" s="165"/>
      <c r="P91" s="165"/>
      <c r="Q91" s="165"/>
      <c r="R91" s="164"/>
      <c r="S91" s="165"/>
      <c r="T91" s="165"/>
      <c r="U91" s="165"/>
      <c r="V91" s="165"/>
      <c r="W91" s="164"/>
      <c r="X91" s="165"/>
      <c r="Y91" s="165"/>
      <c r="Z91" s="165"/>
      <c r="AA91" s="165"/>
      <c r="AB91" s="164"/>
      <c r="AC91" s="165"/>
      <c r="AD91" s="165"/>
      <c r="AE91" s="165"/>
      <c r="AF91" s="165"/>
      <c r="AG91" s="164"/>
      <c r="AH91" s="165"/>
      <c r="AI91" s="165"/>
      <c r="AJ91" s="165"/>
      <c r="AK91" s="165"/>
      <c r="AL91" s="164"/>
    </row>
    <row r="92" ht="10.5" customHeight="1">
      <c r="A92" s="164"/>
      <c r="B92" s="165"/>
      <c r="C92" s="165"/>
      <c r="D92" s="165"/>
      <c r="E92" s="165"/>
      <c r="F92" s="165"/>
      <c r="G92" s="165"/>
      <c r="H92" s="165"/>
      <c r="I92" s="165"/>
      <c r="J92" s="165"/>
      <c r="K92" s="165"/>
      <c r="L92" s="165"/>
      <c r="M92" s="164"/>
      <c r="N92" s="165"/>
      <c r="O92" s="165"/>
      <c r="P92" s="165"/>
      <c r="Q92" s="165"/>
      <c r="R92" s="164"/>
      <c r="S92" s="165"/>
      <c r="T92" s="165"/>
      <c r="U92" s="165"/>
      <c r="V92" s="165"/>
      <c r="W92" s="164"/>
      <c r="X92" s="165"/>
      <c r="Y92" s="165"/>
      <c r="Z92" s="165"/>
      <c r="AA92" s="165"/>
      <c r="AB92" s="164"/>
      <c r="AC92" s="165"/>
      <c r="AD92" s="165"/>
      <c r="AE92" s="165"/>
      <c r="AF92" s="165"/>
      <c r="AG92" s="164"/>
      <c r="AH92" s="165"/>
      <c r="AI92" s="165"/>
      <c r="AJ92" s="165"/>
      <c r="AK92" s="165"/>
      <c r="AL92" s="164"/>
    </row>
    <row r="93" ht="10.5" customHeight="1">
      <c r="A93" s="164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4"/>
      <c r="N93" s="165"/>
      <c r="O93" s="165"/>
      <c r="P93" s="165"/>
      <c r="Q93" s="165"/>
      <c r="R93" s="164"/>
      <c r="S93" s="165"/>
      <c r="T93" s="165"/>
      <c r="U93" s="165"/>
      <c r="V93" s="165"/>
      <c r="W93" s="164"/>
      <c r="X93" s="165"/>
      <c r="Y93" s="165"/>
      <c r="Z93" s="165"/>
      <c r="AA93" s="165"/>
      <c r="AB93" s="164"/>
      <c r="AC93" s="165"/>
      <c r="AD93" s="165"/>
      <c r="AE93" s="165"/>
      <c r="AF93" s="165"/>
      <c r="AG93" s="164"/>
      <c r="AH93" s="165"/>
      <c r="AI93" s="165"/>
      <c r="AJ93" s="165"/>
      <c r="AK93" s="165"/>
      <c r="AL93" s="164"/>
    </row>
    <row r="94" ht="10.5" customHeight="1">
      <c r="A94" s="164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4"/>
      <c r="N94" s="165"/>
      <c r="O94" s="165"/>
      <c r="P94" s="165"/>
      <c r="Q94" s="165"/>
      <c r="R94" s="164"/>
      <c r="S94" s="165"/>
      <c r="T94" s="165"/>
      <c r="U94" s="165"/>
      <c r="V94" s="165"/>
      <c r="W94" s="164"/>
      <c r="X94" s="165"/>
      <c r="Y94" s="165"/>
      <c r="Z94" s="165"/>
      <c r="AA94" s="165"/>
      <c r="AB94" s="164"/>
      <c r="AC94" s="165"/>
      <c r="AD94" s="165"/>
      <c r="AE94" s="165"/>
      <c r="AF94" s="165"/>
      <c r="AG94" s="164"/>
      <c r="AH94" s="165"/>
      <c r="AI94" s="165"/>
      <c r="AJ94" s="165"/>
      <c r="AK94" s="165"/>
      <c r="AL94" s="164"/>
    </row>
    <row r="95" ht="10.5" customHeight="1">
      <c r="A95" s="164"/>
      <c r="B95" s="165"/>
      <c r="C95" s="165"/>
      <c r="D95" s="165"/>
      <c r="E95" s="165"/>
      <c r="F95" s="165"/>
      <c r="G95" s="165"/>
      <c r="H95" s="165"/>
      <c r="I95" s="165"/>
      <c r="J95" s="165"/>
      <c r="K95" s="165"/>
      <c r="L95" s="165"/>
      <c r="M95" s="164"/>
      <c r="N95" s="165"/>
      <c r="O95" s="165"/>
      <c r="P95" s="165"/>
      <c r="Q95" s="165"/>
      <c r="R95" s="164"/>
      <c r="S95" s="165"/>
      <c r="T95" s="165"/>
      <c r="U95" s="165"/>
      <c r="V95" s="165"/>
      <c r="W95" s="164"/>
      <c r="X95" s="165"/>
      <c r="Y95" s="165"/>
      <c r="Z95" s="165"/>
      <c r="AA95" s="165"/>
      <c r="AB95" s="164"/>
      <c r="AC95" s="165"/>
      <c r="AD95" s="165"/>
      <c r="AE95" s="165"/>
      <c r="AF95" s="165"/>
      <c r="AG95" s="164"/>
      <c r="AH95" s="165"/>
      <c r="AI95" s="165"/>
      <c r="AJ95" s="165"/>
      <c r="AK95" s="165"/>
      <c r="AL95" s="164"/>
    </row>
    <row r="96" ht="10.5" customHeight="1">
      <c r="A96" s="164"/>
      <c r="B96" s="165"/>
      <c r="C96" s="165"/>
      <c r="D96" s="165"/>
      <c r="E96" s="165"/>
      <c r="F96" s="165"/>
      <c r="G96" s="165"/>
      <c r="H96" s="165"/>
      <c r="I96" s="165"/>
      <c r="J96" s="165"/>
      <c r="K96" s="165"/>
      <c r="L96" s="165"/>
      <c r="M96" s="164"/>
      <c r="N96" s="165"/>
      <c r="O96" s="165"/>
      <c r="P96" s="165"/>
      <c r="Q96" s="165"/>
      <c r="R96" s="164"/>
      <c r="S96" s="165"/>
      <c r="T96" s="165"/>
      <c r="U96" s="165"/>
      <c r="V96" s="165"/>
      <c r="W96" s="164"/>
      <c r="X96" s="165"/>
      <c r="Y96" s="165"/>
      <c r="Z96" s="165"/>
      <c r="AA96" s="165"/>
      <c r="AB96" s="164"/>
      <c r="AC96" s="165"/>
      <c r="AD96" s="165"/>
      <c r="AE96" s="165"/>
      <c r="AF96" s="165"/>
      <c r="AG96" s="164"/>
      <c r="AH96" s="165"/>
      <c r="AI96" s="165"/>
      <c r="AJ96" s="165"/>
      <c r="AK96" s="165"/>
      <c r="AL96" s="164"/>
    </row>
    <row r="97" ht="10.5" customHeight="1">
      <c r="A97" s="164"/>
      <c r="B97" s="165"/>
      <c r="C97" s="165"/>
      <c r="D97" s="165"/>
      <c r="E97" s="165"/>
      <c r="F97" s="165"/>
      <c r="G97" s="165"/>
      <c r="H97" s="165"/>
      <c r="I97" s="165"/>
      <c r="J97" s="165"/>
      <c r="K97" s="165"/>
      <c r="L97" s="165"/>
      <c r="M97" s="164"/>
      <c r="N97" s="165"/>
      <c r="O97" s="165"/>
      <c r="P97" s="165"/>
      <c r="Q97" s="165"/>
      <c r="R97" s="164"/>
      <c r="S97" s="165"/>
      <c r="T97" s="165"/>
      <c r="U97" s="165"/>
      <c r="V97" s="165"/>
      <c r="W97" s="164"/>
      <c r="X97" s="165"/>
      <c r="Y97" s="165"/>
      <c r="Z97" s="165"/>
      <c r="AA97" s="165"/>
      <c r="AB97" s="164"/>
      <c r="AC97" s="165"/>
      <c r="AD97" s="165"/>
      <c r="AE97" s="165"/>
      <c r="AF97" s="165"/>
      <c r="AG97" s="164"/>
      <c r="AH97" s="165"/>
      <c r="AI97" s="165"/>
      <c r="AJ97" s="165"/>
      <c r="AK97" s="165"/>
      <c r="AL97" s="164"/>
    </row>
    <row r="98" ht="10.5" customHeight="1">
      <c r="A98" s="164"/>
      <c r="B98" s="165"/>
      <c r="C98" s="165"/>
      <c r="D98" s="165"/>
      <c r="E98" s="165"/>
      <c r="F98" s="165"/>
      <c r="G98" s="165"/>
      <c r="H98" s="165"/>
      <c r="I98" s="165"/>
      <c r="J98" s="165"/>
      <c r="K98" s="165"/>
      <c r="L98" s="165"/>
      <c r="M98" s="164"/>
      <c r="N98" s="165"/>
      <c r="O98" s="165"/>
      <c r="P98" s="165"/>
      <c r="Q98" s="165"/>
      <c r="R98" s="164"/>
      <c r="S98" s="165"/>
      <c r="T98" s="165"/>
      <c r="U98" s="165"/>
      <c r="V98" s="165"/>
      <c r="W98" s="164"/>
      <c r="X98" s="165"/>
      <c r="Y98" s="165"/>
      <c r="Z98" s="165"/>
      <c r="AA98" s="165"/>
      <c r="AB98" s="164"/>
      <c r="AC98" s="165"/>
      <c r="AD98" s="165"/>
      <c r="AE98" s="165"/>
      <c r="AF98" s="165"/>
      <c r="AG98" s="164"/>
      <c r="AH98" s="165"/>
      <c r="AI98" s="165"/>
      <c r="AJ98" s="165"/>
      <c r="AK98" s="165"/>
      <c r="AL98" s="164"/>
    </row>
    <row r="99" ht="10.5" customHeight="1">
      <c r="A99" s="164"/>
      <c r="B99" s="165"/>
      <c r="C99" s="165"/>
      <c r="D99" s="165"/>
      <c r="E99" s="165"/>
      <c r="F99" s="165"/>
      <c r="G99" s="165"/>
      <c r="H99" s="165"/>
      <c r="I99" s="165"/>
      <c r="J99" s="165"/>
      <c r="K99" s="165"/>
      <c r="L99" s="165"/>
      <c r="M99" s="164"/>
      <c r="N99" s="165"/>
      <c r="O99" s="165"/>
      <c r="P99" s="165"/>
      <c r="Q99" s="165"/>
      <c r="R99" s="164"/>
      <c r="S99" s="165"/>
      <c r="T99" s="165"/>
      <c r="U99" s="165"/>
      <c r="V99" s="165"/>
      <c r="W99" s="164"/>
      <c r="X99" s="165"/>
      <c r="Y99" s="165"/>
      <c r="Z99" s="165"/>
      <c r="AA99" s="165"/>
      <c r="AB99" s="164"/>
      <c r="AC99" s="165"/>
      <c r="AD99" s="165"/>
      <c r="AE99" s="165"/>
      <c r="AF99" s="165"/>
      <c r="AG99" s="164"/>
      <c r="AH99" s="165"/>
      <c r="AI99" s="165"/>
      <c r="AJ99" s="165"/>
      <c r="AK99" s="165"/>
      <c r="AL99" s="164"/>
    </row>
    <row r="100" ht="10.5" customHeight="1">
      <c r="A100" s="164"/>
      <c r="B100" s="165"/>
      <c r="C100" s="165"/>
      <c r="D100" s="165"/>
      <c r="E100" s="165"/>
      <c r="F100" s="165"/>
      <c r="G100" s="165"/>
      <c r="H100" s="165"/>
      <c r="I100" s="165"/>
      <c r="J100" s="165"/>
      <c r="K100" s="165"/>
      <c r="L100" s="165"/>
      <c r="M100" s="164"/>
      <c r="N100" s="165"/>
      <c r="O100" s="165"/>
      <c r="P100" s="165"/>
      <c r="Q100" s="165"/>
      <c r="R100" s="164"/>
      <c r="S100" s="165"/>
      <c r="T100" s="165"/>
      <c r="U100" s="165"/>
      <c r="V100" s="165"/>
      <c r="W100" s="164"/>
      <c r="X100" s="165"/>
      <c r="Y100" s="165"/>
      <c r="Z100" s="165"/>
      <c r="AA100" s="165"/>
      <c r="AB100" s="164"/>
      <c r="AC100" s="165"/>
      <c r="AD100" s="165"/>
      <c r="AE100" s="165"/>
      <c r="AF100" s="165"/>
      <c r="AG100" s="164"/>
      <c r="AH100" s="165"/>
      <c r="AI100" s="165"/>
      <c r="AJ100" s="165"/>
      <c r="AK100" s="165"/>
      <c r="AL100" s="164"/>
    </row>
    <row r="101" ht="10.5" customHeight="1">
      <c r="A101" s="164"/>
      <c r="B101" s="165"/>
      <c r="C101" s="165"/>
      <c r="D101" s="165"/>
      <c r="E101" s="165"/>
      <c r="F101" s="165"/>
      <c r="G101" s="165"/>
      <c r="H101" s="165"/>
      <c r="I101" s="165"/>
      <c r="J101" s="165"/>
      <c r="K101" s="165"/>
      <c r="L101" s="165"/>
      <c r="M101" s="164"/>
      <c r="N101" s="165"/>
      <c r="O101" s="165"/>
      <c r="P101" s="165"/>
      <c r="Q101" s="165"/>
      <c r="R101" s="164"/>
      <c r="S101" s="165"/>
      <c r="T101" s="165"/>
      <c r="U101" s="165"/>
      <c r="V101" s="165"/>
      <c r="W101" s="164"/>
      <c r="X101" s="165"/>
      <c r="Y101" s="165"/>
      <c r="Z101" s="165"/>
      <c r="AA101" s="165"/>
      <c r="AB101" s="164"/>
      <c r="AC101" s="165"/>
      <c r="AD101" s="165"/>
      <c r="AE101" s="165"/>
      <c r="AF101" s="165"/>
      <c r="AG101" s="164"/>
      <c r="AH101" s="165"/>
      <c r="AI101" s="165"/>
      <c r="AJ101" s="165"/>
      <c r="AK101" s="165"/>
      <c r="AL101" s="164"/>
    </row>
    <row r="102" ht="10.5" customHeight="1">
      <c r="A102" s="164"/>
      <c r="B102" s="165"/>
      <c r="C102" s="165"/>
      <c r="D102" s="165"/>
      <c r="E102" s="165"/>
      <c r="F102" s="165"/>
      <c r="G102" s="165"/>
      <c r="H102" s="165"/>
      <c r="I102" s="165"/>
      <c r="J102" s="165"/>
      <c r="K102" s="165"/>
      <c r="L102" s="165"/>
      <c r="M102" s="164"/>
      <c r="N102" s="165"/>
      <c r="O102" s="165"/>
      <c r="P102" s="165"/>
      <c r="Q102" s="165"/>
      <c r="R102" s="164"/>
      <c r="S102" s="165"/>
      <c r="T102" s="165"/>
      <c r="U102" s="165"/>
      <c r="V102" s="165"/>
      <c r="W102" s="164"/>
      <c r="X102" s="165"/>
      <c r="Y102" s="165"/>
      <c r="Z102" s="165"/>
      <c r="AA102" s="165"/>
      <c r="AB102" s="164"/>
      <c r="AC102" s="165"/>
      <c r="AD102" s="165"/>
      <c r="AE102" s="165"/>
      <c r="AF102" s="165"/>
      <c r="AG102" s="164"/>
      <c r="AH102" s="165"/>
      <c r="AI102" s="165"/>
      <c r="AJ102" s="165"/>
      <c r="AK102" s="165"/>
      <c r="AL102" s="164"/>
    </row>
    <row r="103" ht="10.5" customHeight="1">
      <c r="A103" s="164"/>
      <c r="B103" s="165"/>
      <c r="C103" s="165"/>
      <c r="D103" s="165"/>
      <c r="E103" s="165"/>
      <c r="F103" s="165"/>
      <c r="G103" s="165"/>
      <c r="H103" s="165"/>
      <c r="I103" s="165"/>
      <c r="J103" s="165"/>
      <c r="K103" s="165"/>
      <c r="L103" s="165"/>
      <c r="M103" s="164"/>
      <c r="N103" s="165"/>
      <c r="O103" s="165"/>
      <c r="P103" s="165"/>
      <c r="Q103" s="165"/>
      <c r="R103" s="164"/>
      <c r="S103" s="165"/>
      <c r="T103" s="165"/>
      <c r="U103" s="165"/>
      <c r="V103" s="165"/>
      <c r="W103" s="164"/>
      <c r="X103" s="165"/>
      <c r="Y103" s="165"/>
      <c r="Z103" s="165"/>
      <c r="AA103" s="165"/>
      <c r="AB103" s="164"/>
      <c r="AC103" s="165"/>
      <c r="AD103" s="165"/>
      <c r="AE103" s="165"/>
      <c r="AF103" s="165"/>
      <c r="AG103" s="164"/>
      <c r="AH103" s="165"/>
      <c r="AI103" s="165"/>
      <c r="AJ103" s="165"/>
      <c r="AK103" s="165"/>
      <c r="AL103" s="164"/>
    </row>
    <row r="104" ht="10.5" customHeight="1">
      <c r="A104" s="164"/>
      <c r="B104" s="165"/>
      <c r="C104" s="165"/>
      <c r="D104" s="165"/>
      <c r="E104" s="165"/>
      <c r="F104" s="165"/>
      <c r="G104" s="165"/>
      <c r="H104" s="165"/>
      <c r="I104" s="165"/>
      <c r="J104" s="165"/>
      <c r="K104" s="165"/>
      <c r="L104" s="165"/>
      <c r="M104" s="164"/>
      <c r="N104" s="165"/>
      <c r="O104" s="165"/>
      <c r="P104" s="165"/>
      <c r="Q104" s="165"/>
      <c r="R104" s="164"/>
      <c r="S104" s="165"/>
      <c r="T104" s="165"/>
      <c r="U104" s="165"/>
      <c r="V104" s="165"/>
      <c r="W104" s="164"/>
      <c r="X104" s="165"/>
      <c r="Y104" s="165"/>
      <c r="Z104" s="165"/>
      <c r="AA104" s="165"/>
      <c r="AB104" s="164"/>
      <c r="AC104" s="165"/>
      <c r="AD104" s="165"/>
      <c r="AE104" s="165"/>
      <c r="AF104" s="165"/>
      <c r="AG104" s="164"/>
      <c r="AH104" s="165"/>
      <c r="AI104" s="165"/>
      <c r="AJ104" s="165"/>
      <c r="AK104" s="165"/>
      <c r="AL104" s="164"/>
    </row>
    <row r="105" ht="10.5" customHeight="1">
      <c r="A105" s="164"/>
      <c r="B105" s="165"/>
      <c r="C105" s="165"/>
      <c r="D105" s="165"/>
      <c r="E105" s="165"/>
      <c r="F105" s="165"/>
      <c r="G105" s="165"/>
      <c r="H105" s="165"/>
      <c r="I105" s="165"/>
      <c r="J105" s="165"/>
      <c r="K105" s="165"/>
      <c r="L105" s="165"/>
      <c r="M105" s="164"/>
      <c r="N105" s="165"/>
      <c r="O105" s="165"/>
      <c r="P105" s="165"/>
      <c r="Q105" s="165"/>
      <c r="R105" s="164"/>
      <c r="S105" s="165"/>
      <c r="T105" s="165"/>
      <c r="U105" s="165"/>
      <c r="V105" s="165"/>
      <c r="W105" s="164"/>
      <c r="X105" s="165"/>
      <c r="Y105" s="165"/>
      <c r="Z105" s="165"/>
      <c r="AA105" s="165"/>
      <c r="AB105" s="164"/>
      <c r="AC105" s="165"/>
      <c r="AD105" s="165"/>
      <c r="AE105" s="165"/>
      <c r="AF105" s="165"/>
      <c r="AG105" s="164"/>
      <c r="AH105" s="165"/>
      <c r="AI105" s="165"/>
      <c r="AJ105" s="165"/>
      <c r="AK105" s="165"/>
      <c r="AL105" s="164"/>
    </row>
    <row r="106" ht="10.5" customHeight="1">
      <c r="A106" s="164"/>
      <c r="B106" s="165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4"/>
      <c r="N106" s="165"/>
      <c r="O106" s="165"/>
      <c r="P106" s="165"/>
      <c r="Q106" s="165"/>
      <c r="R106" s="164"/>
      <c r="S106" s="165"/>
      <c r="T106" s="165"/>
      <c r="U106" s="165"/>
      <c r="V106" s="165"/>
      <c r="W106" s="164"/>
      <c r="X106" s="165"/>
      <c r="Y106" s="165"/>
      <c r="Z106" s="165"/>
      <c r="AA106" s="165"/>
      <c r="AB106" s="164"/>
      <c r="AC106" s="165"/>
      <c r="AD106" s="165"/>
      <c r="AE106" s="165"/>
      <c r="AF106" s="165"/>
      <c r="AG106" s="164"/>
      <c r="AH106" s="165"/>
      <c r="AI106" s="165"/>
      <c r="AJ106" s="165"/>
      <c r="AK106" s="165"/>
      <c r="AL106" s="164"/>
    </row>
    <row r="107" ht="10.5" customHeight="1">
      <c r="A107" s="164"/>
      <c r="B107" s="165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4"/>
      <c r="N107" s="165"/>
      <c r="O107" s="165"/>
      <c r="P107" s="165"/>
      <c r="Q107" s="165"/>
      <c r="R107" s="164"/>
      <c r="S107" s="165"/>
      <c r="T107" s="165"/>
      <c r="U107" s="165"/>
      <c r="V107" s="165"/>
      <c r="W107" s="164"/>
      <c r="X107" s="165"/>
      <c r="Y107" s="165"/>
      <c r="Z107" s="165"/>
      <c r="AA107" s="165"/>
      <c r="AB107" s="164"/>
      <c r="AC107" s="165"/>
      <c r="AD107" s="165"/>
      <c r="AE107" s="165"/>
      <c r="AF107" s="165"/>
      <c r="AG107" s="164"/>
      <c r="AH107" s="165"/>
      <c r="AI107" s="165"/>
      <c r="AJ107" s="165"/>
      <c r="AK107" s="165"/>
      <c r="AL107" s="164"/>
    </row>
    <row r="108" ht="10.5" customHeight="1">
      <c r="A108" s="164"/>
      <c r="B108" s="165"/>
      <c r="C108" s="165"/>
      <c r="D108" s="165"/>
      <c r="E108" s="165"/>
      <c r="F108" s="165"/>
      <c r="G108" s="165"/>
      <c r="H108" s="165"/>
      <c r="I108" s="165"/>
      <c r="J108" s="165"/>
      <c r="K108" s="165"/>
      <c r="L108" s="165"/>
      <c r="M108" s="164"/>
      <c r="N108" s="165"/>
      <c r="O108" s="165"/>
      <c r="P108" s="165"/>
      <c r="Q108" s="165"/>
      <c r="R108" s="164"/>
      <c r="S108" s="165"/>
      <c r="T108" s="165"/>
      <c r="U108" s="165"/>
      <c r="V108" s="165"/>
      <c r="W108" s="164"/>
      <c r="X108" s="165"/>
      <c r="Y108" s="165"/>
      <c r="Z108" s="165"/>
      <c r="AA108" s="165"/>
      <c r="AB108" s="164"/>
      <c r="AC108" s="165"/>
      <c r="AD108" s="165"/>
      <c r="AE108" s="165"/>
      <c r="AF108" s="165"/>
      <c r="AG108" s="164"/>
      <c r="AH108" s="165"/>
      <c r="AI108" s="165"/>
      <c r="AJ108" s="165"/>
      <c r="AK108" s="165"/>
      <c r="AL108" s="164"/>
    </row>
    <row r="109" ht="10.5" customHeight="1">
      <c r="A109" s="164"/>
      <c r="B109" s="165"/>
      <c r="C109" s="165"/>
      <c r="D109" s="165"/>
      <c r="E109" s="165"/>
      <c r="F109" s="165"/>
      <c r="G109" s="165"/>
      <c r="H109" s="165"/>
      <c r="I109" s="165"/>
      <c r="J109" s="165"/>
      <c r="K109" s="165"/>
      <c r="L109" s="165"/>
      <c r="M109" s="164"/>
      <c r="N109" s="165"/>
      <c r="O109" s="165"/>
      <c r="P109" s="165"/>
      <c r="Q109" s="165"/>
      <c r="R109" s="164"/>
      <c r="S109" s="165"/>
      <c r="T109" s="165"/>
      <c r="U109" s="165"/>
      <c r="V109" s="165"/>
      <c r="W109" s="164"/>
      <c r="X109" s="165"/>
      <c r="Y109" s="165"/>
      <c r="Z109" s="165"/>
      <c r="AA109" s="165"/>
      <c r="AB109" s="164"/>
      <c r="AC109" s="165"/>
      <c r="AD109" s="165"/>
      <c r="AE109" s="165"/>
      <c r="AF109" s="165"/>
      <c r="AG109" s="164"/>
      <c r="AH109" s="165"/>
      <c r="AI109" s="165"/>
      <c r="AJ109" s="165"/>
      <c r="AK109" s="165"/>
      <c r="AL109" s="164"/>
    </row>
    <row r="110" ht="10.5" customHeight="1">
      <c r="A110" s="164"/>
      <c r="B110" s="165"/>
      <c r="C110" s="165"/>
      <c r="D110" s="165"/>
      <c r="E110" s="165"/>
      <c r="F110" s="165"/>
      <c r="G110" s="165"/>
      <c r="H110" s="165"/>
      <c r="I110" s="165"/>
      <c r="J110" s="165"/>
      <c r="K110" s="165"/>
      <c r="L110" s="165"/>
      <c r="M110" s="164"/>
      <c r="N110" s="165"/>
      <c r="O110" s="165"/>
      <c r="P110" s="165"/>
      <c r="Q110" s="165"/>
      <c r="R110" s="164"/>
      <c r="S110" s="165"/>
      <c r="T110" s="165"/>
      <c r="U110" s="165"/>
      <c r="V110" s="165"/>
      <c r="W110" s="164"/>
      <c r="X110" s="165"/>
      <c r="Y110" s="165"/>
      <c r="Z110" s="165"/>
      <c r="AA110" s="165"/>
      <c r="AB110" s="164"/>
      <c r="AC110" s="165"/>
      <c r="AD110" s="165"/>
      <c r="AE110" s="165"/>
      <c r="AF110" s="165"/>
      <c r="AG110" s="164"/>
      <c r="AH110" s="165"/>
      <c r="AI110" s="165"/>
      <c r="AJ110" s="165"/>
      <c r="AK110" s="165"/>
      <c r="AL110" s="164"/>
    </row>
    <row r="111" ht="10.5" customHeight="1">
      <c r="A111" s="164"/>
      <c r="B111" s="165"/>
      <c r="C111" s="165"/>
      <c r="D111" s="165"/>
      <c r="E111" s="165"/>
      <c r="F111" s="165"/>
      <c r="G111" s="165"/>
      <c r="H111" s="165"/>
      <c r="I111" s="165"/>
      <c r="J111" s="165"/>
      <c r="K111" s="165"/>
      <c r="L111" s="165"/>
      <c r="M111" s="164"/>
      <c r="N111" s="165"/>
      <c r="O111" s="165"/>
      <c r="P111" s="165"/>
      <c r="Q111" s="165"/>
      <c r="R111" s="164"/>
      <c r="S111" s="165"/>
      <c r="T111" s="165"/>
      <c r="U111" s="165"/>
      <c r="V111" s="165"/>
      <c r="W111" s="164"/>
      <c r="X111" s="165"/>
      <c r="Y111" s="165"/>
      <c r="Z111" s="165"/>
      <c r="AA111" s="165"/>
      <c r="AB111" s="164"/>
      <c r="AC111" s="165"/>
      <c r="AD111" s="165"/>
      <c r="AE111" s="165"/>
      <c r="AF111" s="165"/>
      <c r="AG111" s="164"/>
      <c r="AH111" s="165"/>
      <c r="AI111" s="165"/>
      <c r="AJ111" s="165"/>
      <c r="AK111" s="165"/>
      <c r="AL111" s="164"/>
    </row>
    <row r="112" ht="10.5" customHeight="1">
      <c r="A112" s="164"/>
      <c r="B112" s="165"/>
      <c r="C112" s="165"/>
      <c r="D112" s="165"/>
      <c r="E112" s="165"/>
      <c r="F112" s="165"/>
      <c r="G112" s="165"/>
      <c r="H112" s="165"/>
      <c r="I112" s="165"/>
      <c r="J112" s="165"/>
      <c r="K112" s="165"/>
      <c r="L112" s="165"/>
      <c r="M112" s="164"/>
      <c r="N112" s="165"/>
      <c r="O112" s="165"/>
      <c r="P112" s="165"/>
      <c r="Q112" s="165"/>
      <c r="R112" s="164"/>
      <c r="S112" s="165"/>
      <c r="T112" s="165"/>
      <c r="U112" s="165"/>
      <c r="V112" s="165"/>
      <c r="W112" s="164"/>
      <c r="X112" s="165"/>
      <c r="Y112" s="165"/>
      <c r="Z112" s="165"/>
      <c r="AA112" s="165"/>
      <c r="AB112" s="164"/>
      <c r="AC112" s="165"/>
      <c r="AD112" s="165"/>
      <c r="AE112" s="165"/>
      <c r="AF112" s="165"/>
      <c r="AG112" s="164"/>
      <c r="AH112" s="165"/>
      <c r="AI112" s="165"/>
      <c r="AJ112" s="165"/>
      <c r="AK112" s="165"/>
      <c r="AL112" s="164"/>
    </row>
    <row r="113" ht="10.5" customHeight="1">
      <c r="A113" s="164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4"/>
      <c r="N113" s="165"/>
      <c r="O113" s="165"/>
      <c r="P113" s="165"/>
      <c r="Q113" s="165"/>
      <c r="R113" s="164"/>
      <c r="S113" s="165"/>
      <c r="T113" s="165"/>
      <c r="U113" s="165"/>
      <c r="V113" s="165"/>
      <c r="W113" s="164"/>
      <c r="X113" s="165"/>
      <c r="Y113" s="165"/>
      <c r="Z113" s="165"/>
      <c r="AA113" s="165"/>
      <c r="AB113" s="164"/>
      <c r="AC113" s="165"/>
      <c r="AD113" s="165"/>
      <c r="AE113" s="165"/>
      <c r="AF113" s="165"/>
      <c r="AG113" s="164"/>
      <c r="AH113" s="165"/>
      <c r="AI113" s="165"/>
      <c r="AJ113" s="165"/>
      <c r="AK113" s="165"/>
      <c r="AL113" s="164"/>
    </row>
    <row r="114" ht="10.5" customHeight="1">
      <c r="A114" s="164"/>
      <c r="B114" s="165"/>
      <c r="C114" s="165"/>
      <c r="D114" s="165"/>
      <c r="E114" s="165"/>
      <c r="F114" s="165"/>
      <c r="G114" s="165"/>
      <c r="H114" s="165"/>
      <c r="I114" s="165"/>
      <c r="J114" s="165"/>
      <c r="K114" s="165"/>
      <c r="L114" s="165"/>
      <c r="M114" s="164"/>
      <c r="N114" s="165"/>
      <c r="O114" s="165"/>
      <c r="P114" s="165"/>
      <c r="Q114" s="165"/>
      <c r="R114" s="164"/>
      <c r="S114" s="165"/>
      <c r="T114" s="165"/>
      <c r="U114" s="165"/>
      <c r="V114" s="165"/>
      <c r="W114" s="164"/>
      <c r="X114" s="165"/>
      <c r="Y114" s="165"/>
      <c r="Z114" s="165"/>
      <c r="AA114" s="165"/>
      <c r="AB114" s="164"/>
      <c r="AC114" s="165"/>
      <c r="AD114" s="165"/>
      <c r="AE114" s="165"/>
      <c r="AF114" s="165"/>
      <c r="AG114" s="164"/>
      <c r="AH114" s="165"/>
      <c r="AI114" s="165"/>
      <c r="AJ114" s="165"/>
      <c r="AK114" s="165"/>
      <c r="AL114" s="164"/>
    </row>
    <row r="115" ht="10.5" customHeight="1">
      <c r="A115" s="164"/>
      <c r="B115" s="165"/>
      <c r="C115" s="165"/>
      <c r="D115" s="165"/>
      <c r="E115" s="165"/>
      <c r="F115" s="165"/>
      <c r="G115" s="165"/>
      <c r="H115" s="165"/>
      <c r="I115" s="165"/>
      <c r="J115" s="165"/>
      <c r="K115" s="165"/>
      <c r="L115" s="165"/>
      <c r="M115" s="164"/>
      <c r="N115" s="165"/>
      <c r="O115" s="165"/>
      <c r="P115" s="165"/>
      <c r="Q115" s="165"/>
      <c r="R115" s="164"/>
      <c r="S115" s="165"/>
      <c r="T115" s="165"/>
      <c r="U115" s="165"/>
      <c r="V115" s="165"/>
      <c r="W115" s="164"/>
      <c r="X115" s="165"/>
      <c r="Y115" s="165"/>
      <c r="Z115" s="165"/>
      <c r="AA115" s="165"/>
      <c r="AB115" s="164"/>
      <c r="AC115" s="165"/>
      <c r="AD115" s="165"/>
      <c r="AE115" s="165"/>
      <c r="AF115" s="165"/>
      <c r="AG115" s="164"/>
      <c r="AH115" s="165"/>
      <c r="AI115" s="165"/>
      <c r="AJ115" s="165"/>
      <c r="AK115" s="165"/>
      <c r="AL115" s="164"/>
    </row>
    <row r="116" ht="10.5" customHeight="1">
      <c r="A116" s="164"/>
      <c r="B116" s="165"/>
      <c r="C116" s="165"/>
      <c r="D116" s="165"/>
      <c r="E116" s="165"/>
      <c r="F116" s="165"/>
      <c r="G116" s="165"/>
      <c r="H116" s="165"/>
      <c r="I116" s="165"/>
      <c r="J116" s="165"/>
      <c r="K116" s="165"/>
      <c r="L116" s="165"/>
      <c r="M116" s="164"/>
      <c r="N116" s="165"/>
      <c r="O116" s="165"/>
      <c r="P116" s="165"/>
      <c r="Q116" s="165"/>
      <c r="R116" s="164"/>
      <c r="S116" s="165"/>
      <c r="T116" s="165"/>
      <c r="U116" s="165"/>
      <c r="V116" s="165"/>
      <c r="W116" s="164"/>
      <c r="X116" s="165"/>
      <c r="Y116" s="165"/>
      <c r="Z116" s="165"/>
      <c r="AA116" s="165"/>
      <c r="AB116" s="164"/>
      <c r="AC116" s="165"/>
      <c r="AD116" s="165"/>
      <c r="AE116" s="165"/>
      <c r="AF116" s="165"/>
      <c r="AG116" s="164"/>
      <c r="AH116" s="165"/>
      <c r="AI116" s="165"/>
      <c r="AJ116" s="165"/>
      <c r="AK116" s="165"/>
      <c r="AL116" s="164"/>
    </row>
    <row r="117" ht="10.5" customHeight="1">
      <c r="A117" s="164"/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4"/>
      <c r="N117" s="165"/>
      <c r="O117" s="165"/>
      <c r="P117" s="165"/>
      <c r="Q117" s="165"/>
      <c r="R117" s="164"/>
      <c r="S117" s="165"/>
      <c r="T117" s="165"/>
      <c r="U117" s="165"/>
      <c r="V117" s="165"/>
      <c r="W117" s="164"/>
      <c r="X117" s="165"/>
      <c r="Y117" s="165"/>
      <c r="Z117" s="165"/>
      <c r="AA117" s="165"/>
      <c r="AB117" s="164"/>
      <c r="AC117" s="165"/>
      <c r="AD117" s="165"/>
      <c r="AE117" s="165"/>
      <c r="AF117" s="165"/>
      <c r="AG117" s="164"/>
      <c r="AH117" s="165"/>
      <c r="AI117" s="165"/>
      <c r="AJ117" s="165"/>
      <c r="AK117" s="165"/>
      <c r="AL117" s="164"/>
    </row>
    <row r="118" ht="10.5" customHeight="1">
      <c r="A118" s="164"/>
      <c r="B118" s="165"/>
      <c r="C118" s="165"/>
      <c r="D118" s="165"/>
      <c r="E118" s="165"/>
      <c r="F118" s="165"/>
      <c r="G118" s="165"/>
      <c r="H118" s="165"/>
      <c r="I118" s="165"/>
      <c r="J118" s="165"/>
      <c r="K118" s="165"/>
      <c r="L118" s="165"/>
      <c r="M118" s="164"/>
      <c r="N118" s="165"/>
      <c r="O118" s="165"/>
      <c r="P118" s="165"/>
      <c r="Q118" s="165"/>
      <c r="R118" s="164"/>
      <c r="S118" s="165"/>
      <c r="T118" s="165"/>
      <c r="U118" s="165"/>
      <c r="V118" s="165"/>
      <c r="W118" s="164"/>
      <c r="X118" s="165"/>
      <c r="Y118" s="165"/>
      <c r="Z118" s="165"/>
      <c r="AA118" s="165"/>
      <c r="AB118" s="164"/>
      <c r="AC118" s="165"/>
      <c r="AD118" s="165"/>
      <c r="AE118" s="165"/>
      <c r="AF118" s="165"/>
      <c r="AG118" s="164"/>
      <c r="AH118" s="165"/>
      <c r="AI118" s="165"/>
      <c r="AJ118" s="165"/>
      <c r="AK118" s="165"/>
      <c r="AL118" s="164"/>
    </row>
    <row r="119" ht="10.5" customHeight="1">
      <c r="A119" s="164"/>
      <c r="B119" s="165"/>
      <c r="C119" s="165"/>
      <c r="D119" s="165"/>
      <c r="E119" s="165"/>
      <c r="F119" s="165"/>
      <c r="G119" s="165"/>
      <c r="H119" s="165"/>
      <c r="I119" s="165"/>
      <c r="J119" s="165"/>
      <c r="K119" s="165"/>
      <c r="L119" s="165"/>
      <c r="M119" s="164"/>
      <c r="N119" s="165"/>
      <c r="O119" s="165"/>
      <c r="P119" s="165"/>
      <c r="Q119" s="165"/>
      <c r="R119" s="164"/>
      <c r="S119" s="165"/>
      <c r="T119" s="165"/>
      <c r="U119" s="165"/>
      <c r="V119" s="165"/>
      <c r="W119" s="164"/>
      <c r="X119" s="165"/>
      <c r="Y119" s="165"/>
      <c r="Z119" s="165"/>
      <c r="AA119" s="165"/>
      <c r="AB119" s="164"/>
      <c r="AC119" s="165"/>
      <c r="AD119" s="165"/>
      <c r="AE119" s="165"/>
      <c r="AF119" s="165"/>
      <c r="AG119" s="164"/>
      <c r="AH119" s="165"/>
      <c r="AI119" s="165"/>
      <c r="AJ119" s="165"/>
      <c r="AK119" s="165"/>
      <c r="AL119" s="164"/>
    </row>
    <row r="120" ht="10.5" customHeight="1">
      <c r="A120" s="164"/>
      <c r="B120" s="165"/>
      <c r="C120" s="165"/>
      <c r="D120" s="165"/>
      <c r="E120" s="165"/>
      <c r="F120" s="165"/>
      <c r="G120" s="165"/>
      <c r="H120" s="165"/>
      <c r="I120" s="165"/>
      <c r="J120" s="165"/>
      <c r="K120" s="165"/>
      <c r="L120" s="165"/>
      <c r="M120" s="164"/>
      <c r="N120" s="165"/>
      <c r="O120" s="165"/>
      <c r="P120" s="165"/>
      <c r="Q120" s="165"/>
      <c r="R120" s="164"/>
      <c r="S120" s="165"/>
      <c r="T120" s="165"/>
      <c r="U120" s="165"/>
      <c r="V120" s="165"/>
      <c r="W120" s="164"/>
      <c r="X120" s="165"/>
      <c r="Y120" s="165"/>
      <c r="Z120" s="165"/>
      <c r="AA120" s="165"/>
      <c r="AB120" s="164"/>
      <c r="AC120" s="165"/>
      <c r="AD120" s="165"/>
      <c r="AE120" s="165"/>
      <c r="AF120" s="165"/>
      <c r="AG120" s="164"/>
      <c r="AH120" s="165"/>
      <c r="AI120" s="165"/>
      <c r="AJ120" s="165"/>
      <c r="AK120" s="165"/>
      <c r="AL120" s="164"/>
    </row>
    <row r="121" ht="10.5" customHeight="1">
      <c r="A121" s="164"/>
      <c r="B121" s="165"/>
      <c r="C121" s="165"/>
      <c r="D121" s="165"/>
      <c r="E121" s="165"/>
      <c r="F121" s="165"/>
      <c r="G121" s="165"/>
      <c r="H121" s="165"/>
      <c r="I121" s="165"/>
      <c r="J121" s="165"/>
      <c r="K121" s="165"/>
      <c r="L121" s="165"/>
      <c r="M121" s="164"/>
      <c r="N121" s="165"/>
      <c r="O121" s="165"/>
      <c r="P121" s="165"/>
      <c r="Q121" s="165"/>
      <c r="R121" s="164"/>
      <c r="S121" s="165"/>
      <c r="T121" s="165"/>
      <c r="U121" s="165"/>
      <c r="V121" s="165"/>
      <c r="W121" s="164"/>
      <c r="X121" s="165"/>
      <c r="Y121" s="165"/>
      <c r="Z121" s="165"/>
      <c r="AA121" s="165"/>
      <c r="AB121" s="164"/>
      <c r="AC121" s="165"/>
      <c r="AD121" s="165"/>
      <c r="AE121" s="165"/>
      <c r="AF121" s="165"/>
      <c r="AG121" s="164"/>
      <c r="AH121" s="165"/>
      <c r="AI121" s="165"/>
      <c r="AJ121" s="165"/>
      <c r="AK121" s="165"/>
      <c r="AL121" s="164"/>
    </row>
    <row r="122" ht="10.5" customHeight="1">
      <c r="A122" s="164"/>
      <c r="B122" s="165"/>
      <c r="C122" s="165"/>
      <c r="D122" s="165"/>
      <c r="E122" s="165"/>
      <c r="F122" s="165"/>
      <c r="G122" s="165"/>
      <c r="H122" s="165"/>
      <c r="I122" s="165"/>
      <c r="J122" s="165"/>
      <c r="K122" s="165"/>
      <c r="L122" s="165"/>
      <c r="M122" s="164"/>
      <c r="N122" s="165"/>
      <c r="O122" s="165"/>
      <c r="P122" s="165"/>
      <c r="Q122" s="165"/>
      <c r="R122" s="164"/>
      <c r="S122" s="165"/>
      <c r="T122" s="165"/>
      <c r="U122" s="165"/>
      <c r="V122" s="165"/>
      <c r="W122" s="164"/>
      <c r="X122" s="165"/>
      <c r="Y122" s="165"/>
      <c r="Z122" s="165"/>
      <c r="AA122" s="165"/>
      <c r="AB122" s="164"/>
      <c r="AC122" s="165"/>
      <c r="AD122" s="165"/>
      <c r="AE122" s="165"/>
      <c r="AF122" s="165"/>
      <c r="AG122" s="164"/>
      <c r="AH122" s="165"/>
      <c r="AI122" s="165"/>
      <c r="AJ122" s="165"/>
      <c r="AK122" s="165"/>
      <c r="AL122" s="164"/>
    </row>
    <row r="123" ht="10.5" customHeight="1">
      <c r="A123" s="164"/>
      <c r="B123" s="165"/>
      <c r="C123" s="165"/>
      <c r="D123" s="165"/>
      <c r="E123" s="165"/>
      <c r="F123" s="165"/>
      <c r="G123" s="165"/>
      <c r="H123" s="165"/>
      <c r="I123" s="165"/>
      <c r="J123" s="165"/>
      <c r="K123" s="165"/>
      <c r="L123" s="165"/>
      <c r="M123" s="164"/>
      <c r="N123" s="165"/>
      <c r="O123" s="165"/>
      <c r="P123" s="165"/>
      <c r="Q123" s="165"/>
      <c r="R123" s="164"/>
      <c r="S123" s="165"/>
      <c r="T123" s="165"/>
      <c r="U123" s="165"/>
      <c r="V123" s="165"/>
      <c r="W123" s="164"/>
      <c r="X123" s="165"/>
      <c r="Y123" s="165"/>
      <c r="Z123" s="165"/>
      <c r="AA123" s="165"/>
      <c r="AB123" s="164"/>
      <c r="AC123" s="165"/>
      <c r="AD123" s="165"/>
      <c r="AE123" s="165"/>
      <c r="AF123" s="165"/>
      <c r="AG123" s="164"/>
      <c r="AH123" s="165"/>
      <c r="AI123" s="165"/>
      <c r="AJ123" s="165"/>
      <c r="AK123" s="165"/>
      <c r="AL123" s="164"/>
    </row>
    <row r="124" ht="10.5" customHeight="1">
      <c r="A124" s="164"/>
      <c r="B124" s="165"/>
      <c r="C124" s="165"/>
      <c r="D124" s="165"/>
      <c r="E124" s="165"/>
      <c r="F124" s="165"/>
      <c r="G124" s="165"/>
      <c r="H124" s="165"/>
      <c r="I124" s="165"/>
      <c r="J124" s="165"/>
      <c r="K124" s="165"/>
      <c r="L124" s="165"/>
      <c r="M124" s="164"/>
      <c r="N124" s="165"/>
      <c r="O124" s="165"/>
      <c r="P124" s="165"/>
      <c r="Q124" s="165"/>
      <c r="R124" s="164"/>
      <c r="S124" s="165"/>
      <c r="T124" s="165"/>
      <c r="U124" s="165"/>
      <c r="V124" s="165"/>
      <c r="W124" s="164"/>
      <c r="X124" s="165"/>
      <c r="Y124" s="165"/>
      <c r="Z124" s="165"/>
      <c r="AA124" s="165"/>
      <c r="AB124" s="164"/>
      <c r="AC124" s="165"/>
      <c r="AD124" s="165"/>
      <c r="AE124" s="165"/>
      <c r="AF124" s="165"/>
      <c r="AG124" s="164"/>
      <c r="AH124" s="165"/>
      <c r="AI124" s="165"/>
      <c r="AJ124" s="165"/>
      <c r="AK124" s="165"/>
      <c r="AL124" s="164"/>
    </row>
    <row r="125" ht="10.5" customHeight="1">
      <c r="A125" s="164"/>
      <c r="B125" s="165"/>
      <c r="C125" s="165"/>
      <c r="D125" s="165"/>
      <c r="E125" s="165"/>
      <c r="F125" s="165"/>
      <c r="G125" s="165"/>
      <c r="H125" s="165"/>
      <c r="I125" s="165"/>
      <c r="J125" s="165"/>
      <c r="K125" s="165"/>
      <c r="L125" s="165"/>
      <c r="M125" s="164"/>
      <c r="N125" s="165"/>
      <c r="O125" s="165"/>
      <c r="P125" s="165"/>
      <c r="Q125" s="165"/>
      <c r="R125" s="164"/>
      <c r="S125" s="165"/>
      <c r="T125" s="165"/>
      <c r="U125" s="165"/>
      <c r="V125" s="165"/>
      <c r="W125" s="164"/>
      <c r="X125" s="165"/>
      <c r="Y125" s="165"/>
      <c r="Z125" s="165"/>
      <c r="AA125" s="165"/>
      <c r="AB125" s="164"/>
      <c r="AC125" s="165"/>
      <c r="AD125" s="165"/>
      <c r="AE125" s="165"/>
      <c r="AF125" s="165"/>
      <c r="AG125" s="164"/>
      <c r="AH125" s="165"/>
      <c r="AI125" s="165"/>
      <c r="AJ125" s="165"/>
      <c r="AK125" s="165"/>
      <c r="AL125" s="164"/>
    </row>
    <row r="126" ht="10.5" customHeight="1">
      <c r="A126" s="164"/>
      <c r="B126" s="165"/>
      <c r="C126" s="165"/>
      <c r="D126" s="165"/>
      <c r="E126" s="165"/>
      <c r="F126" s="165"/>
      <c r="G126" s="165"/>
      <c r="H126" s="165"/>
      <c r="I126" s="165"/>
      <c r="J126" s="165"/>
      <c r="K126" s="165"/>
      <c r="L126" s="165"/>
      <c r="M126" s="164"/>
      <c r="N126" s="165"/>
      <c r="O126" s="165"/>
      <c r="P126" s="165"/>
      <c r="Q126" s="165"/>
      <c r="R126" s="164"/>
      <c r="S126" s="165"/>
      <c r="T126" s="165"/>
      <c r="U126" s="165"/>
      <c r="V126" s="165"/>
      <c r="W126" s="164"/>
      <c r="X126" s="165"/>
      <c r="Y126" s="165"/>
      <c r="Z126" s="165"/>
      <c r="AA126" s="165"/>
      <c r="AB126" s="164"/>
      <c r="AC126" s="165"/>
      <c r="AD126" s="165"/>
      <c r="AE126" s="165"/>
      <c r="AF126" s="165"/>
      <c r="AG126" s="164"/>
      <c r="AH126" s="165"/>
      <c r="AI126" s="165"/>
      <c r="AJ126" s="165"/>
      <c r="AK126" s="165"/>
      <c r="AL126" s="164"/>
    </row>
    <row r="127" ht="10.5" customHeight="1">
      <c r="A127" s="164"/>
      <c r="B127" s="165"/>
      <c r="C127" s="165"/>
      <c r="D127" s="165"/>
      <c r="E127" s="165"/>
      <c r="F127" s="165"/>
      <c r="G127" s="165"/>
      <c r="H127" s="165"/>
      <c r="I127" s="165"/>
      <c r="J127" s="165"/>
      <c r="K127" s="165"/>
      <c r="L127" s="165"/>
      <c r="M127" s="164"/>
      <c r="N127" s="165"/>
      <c r="O127" s="165"/>
      <c r="P127" s="165"/>
      <c r="Q127" s="165"/>
      <c r="R127" s="164"/>
      <c r="S127" s="165"/>
      <c r="T127" s="165"/>
      <c r="U127" s="165"/>
      <c r="V127" s="165"/>
      <c r="W127" s="164"/>
      <c r="X127" s="165"/>
      <c r="Y127" s="165"/>
      <c r="Z127" s="165"/>
      <c r="AA127" s="165"/>
      <c r="AB127" s="164"/>
      <c r="AC127" s="165"/>
      <c r="AD127" s="165"/>
      <c r="AE127" s="165"/>
      <c r="AF127" s="165"/>
      <c r="AG127" s="164"/>
      <c r="AH127" s="165"/>
      <c r="AI127" s="165"/>
      <c r="AJ127" s="165"/>
      <c r="AK127" s="165"/>
      <c r="AL127" s="164"/>
    </row>
    <row r="128" ht="10.5" customHeight="1">
      <c r="A128" s="164"/>
      <c r="B128" s="165"/>
      <c r="C128" s="165"/>
      <c r="D128" s="165"/>
      <c r="E128" s="165"/>
      <c r="F128" s="165"/>
      <c r="G128" s="165"/>
      <c r="H128" s="165"/>
      <c r="I128" s="165"/>
      <c r="J128" s="165"/>
      <c r="K128" s="165"/>
      <c r="L128" s="165"/>
      <c r="M128" s="164"/>
      <c r="N128" s="165"/>
      <c r="O128" s="165"/>
      <c r="P128" s="165"/>
      <c r="Q128" s="165"/>
      <c r="R128" s="164"/>
      <c r="S128" s="165"/>
      <c r="T128" s="165"/>
      <c r="U128" s="165"/>
      <c r="V128" s="165"/>
      <c r="W128" s="164"/>
      <c r="X128" s="165"/>
      <c r="Y128" s="165"/>
      <c r="Z128" s="165"/>
      <c r="AA128" s="165"/>
      <c r="AB128" s="164"/>
      <c r="AC128" s="165"/>
      <c r="AD128" s="165"/>
      <c r="AE128" s="165"/>
      <c r="AF128" s="165"/>
      <c r="AG128" s="164"/>
      <c r="AH128" s="165"/>
      <c r="AI128" s="165"/>
      <c r="AJ128" s="165"/>
      <c r="AK128" s="165"/>
      <c r="AL128" s="164"/>
    </row>
    <row r="129" ht="10.5" customHeight="1">
      <c r="A129" s="164"/>
      <c r="B129" s="165"/>
      <c r="C129" s="165"/>
      <c r="D129" s="165"/>
      <c r="E129" s="165"/>
      <c r="F129" s="165"/>
      <c r="G129" s="165"/>
      <c r="H129" s="165"/>
      <c r="I129" s="165"/>
      <c r="J129" s="165"/>
      <c r="K129" s="165"/>
      <c r="L129" s="165"/>
      <c r="M129" s="164"/>
      <c r="N129" s="165"/>
      <c r="O129" s="165"/>
      <c r="P129" s="165"/>
      <c r="Q129" s="165"/>
      <c r="R129" s="164"/>
      <c r="S129" s="165"/>
      <c r="T129" s="165"/>
      <c r="U129" s="165"/>
      <c r="V129" s="165"/>
      <c r="W129" s="164"/>
      <c r="X129" s="165"/>
      <c r="Y129" s="165"/>
      <c r="Z129" s="165"/>
      <c r="AA129" s="165"/>
      <c r="AB129" s="164"/>
      <c r="AC129" s="165"/>
      <c r="AD129" s="165"/>
      <c r="AE129" s="165"/>
      <c r="AF129" s="165"/>
      <c r="AG129" s="164"/>
      <c r="AH129" s="165"/>
      <c r="AI129" s="165"/>
      <c r="AJ129" s="165"/>
      <c r="AK129" s="165"/>
      <c r="AL129" s="164"/>
    </row>
    <row r="130" ht="10.5" customHeight="1">
      <c r="A130" s="164"/>
      <c r="B130" s="165"/>
      <c r="C130" s="165"/>
      <c r="D130" s="165"/>
      <c r="E130" s="165"/>
      <c r="F130" s="165"/>
      <c r="G130" s="165"/>
      <c r="H130" s="165"/>
      <c r="I130" s="165"/>
      <c r="J130" s="165"/>
      <c r="K130" s="165"/>
      <c r="L130" s="165"/>
      <c r="M130" s="164"/>
      <c r="N130" s="165"/>
      <c r="O130" s="165"/>
      <c r="P130" s="165"/>
      <c r="Q130" s="165"/>
      <c r="R130" s="164"/>
      <c r="S130" s="165"/>
      <c r="T130" s="165"/>
      <c r="U130" s="165"/>
      <c r="V130" s="165"/>
      <c r="W130" s="164"/>
      <c r="X130" s="165"/>
      <c r="Y130" s="165"/>
      <c r="Z130" s="165"/>
      <c r="AA130" s="165"/>
      <c r="AB130" s="164"/>
      <c r="AC130" s="165"/>
      <c r="AD130" s="165"/>
      <c r="AE130" s="165"/>
      <c r="AF130" s="165"/>
      <c r="AG130" s="164"/>
      <c r="AH130" s="165"/>
      <c r="AI130" s="165"/>
      <c r="AJ130" s="165"/>
      <c r="AK130" s="165"/>
      <c r="AL130" s="164"/>
    </row>
    <row r="131" ht="10.5" customHeight="1">
      <c r="A131" s="164"/>
      <c r="B131" s="165"/>
      <c r="C131" s="165"/>
      <c r="D131" s="165"/>
      <c r="E131" s="165"/>
      <c r="F131" s="165"/>
      <c r="G131" s="165"/>
      <c r="H131" s="165"/>
      <c r="I131" s="165"/>
      <c r="J131" s="165"/>
      <c r="K131" s="165"/>
      <c r="L131" s="165"/>
      <c r="M131" s="164"/>
      <c r="N131" s="165"/>
      <c r="O131" s="165"/>
      <c r="P131" s="165"/>
      <c r="Q131" s="165"/>
      <c r="R131" s="164"/>
      <c r="S131" s="165"/>
      <c r="T131" s="165"/>
      <c r="U131" s="165"/>
      <c r="V131" s="165"/>
      <c r="W131" s="164"/>
      <c r="X131" s="165"/>
      <c r="Y131" s="165"/>
      <c r="Z131" s="165"/>
      <c r="AA131" s="165"/>
      <c r="AB131" s="164"/>
      <c r="AC131" s="165"/>
      <c r="AD131" s="165"/>
      <c r="AE131" s="165"/>
      <c r="AF131" s="165"/>
      <c r="AG131" s="164"/>
      <c r="AH131" s="165"/>
      <c r="AI131" s="165"/>
      <c r="AJ131" s="165"/>
      <c r="AK131" s="165"/>
      <c r="AL131" s="164"/>
    </row>
    <row r="132" ht="10.5" customHeight="1">
      <c r="A132" s="164"/>
      <c r="B132" s="165"/>
      <c r="C132" s="165"/>
      <c r="D132" s="165"/>
      <c r="E132" s="165"/>
      <c r="F132" s="165"/>
      <c r="G132" s="165"/>
      <c r="H132" s="165"/>
      <c r="I132" s="165"/>
      <c r="J132" s="165"/>
      <c r="K132" s="165"/>
      <c r="L132" s="165"/>
      <c r="M132" s="164"/>
      <c r="N132" s="165"/>
      <c r="O132" s="165"/>
      <c r="P132" s="165"/>
      <c r="Q132" s="165"/>
      <c r="R132" s="164"/>
      <c r="S132" s="165"/>
      <c r="T132" s="165"/>
      <c r="U132" s="165"/>
      <c r="V132" s="165"/>
      <c r="W132" s="164"/>
      <c r="X132" s="165"/>
      <c r="Y132" s="165"/>
      <c r="Z132" s="165"/>
      <c r="AA132" s="165"/>
      <c r="AB132" s="164"/>
      <c r="AC132" s="165"/>
      <c r="AD132" s="165"/>
      <c r="AE132" s="165"/>
      <c r="AF132" s="165"/>
      <c r="AG132" s="164"/>
      <c r="AH132" s="165"/>
      <c r="AI132" s="165"/>
      <c r="AJ132" s="165"/>
      <c r="AK132" s="165"/>
      <c r="AL132" s="164"/>
    </row>
    <row r="133" ht="10.5" customHeight="1">
      <c r="A133" s="164"/>
      <c r="B133" s="165"/>
      <c r="C133" s="165"/>
      <c r="D133" s="165"/>
      <c r="E133" s="165"/>
      <c r="F133" s="165"/>
      <c r="G133" s="165"/>
      <c r="H133" s="165"/>
      <c r="I133" s="165"/>
      <c r="J133" s="165"/>
      <c r="K133" s="165"/>
      <c r="L133" s="165"/>
      <c r="M133" s="164"/>
      <c r="N133" s="165"/>
      <c r="O133" s="165"/>
      <c r="P133" s="165"/>
      <c r="Q133" s="165"/>
      <c r="R133" s="164"/>
      <c r="S133" s="165"/>
      <c r="T133" s="165"/>
      <c r="U133" s="165"/>
      <c r="V133" s="165"/>
      <c r="W133" s="164"/>
      <c r="X133" s="165"/>
      <c r="Y133" s="165"/>
      <c r="Z133" s="165"/>
      <c r="AA133" s="165"/>
      <c r="AB133" s="164"/>
      <c r="AC133" s="165"/>
      <c r="AD133" s="165"/>
      <c r="AE133" s="165"/>
      <c r="AF133" s="165"/>
      <c r="AG133" s="164"/>
      <c r="AH133" s="165"/>
      <c r="AI133" s="165"/>
      <c r="AJ133" s="165"/>
      <c r="AK133" s="165"/>
      <c r="AL133" s="164"/>
    </row>
    <row r="134" ht="10.5" customHeight="1">
      <c r="A134" s="164"/>
      <c r="B134" s="165"/>
      <c r="C134" s="165"/>
      <c r="D134" s="165"/>
      <c r="E134" s="165"/>
      <c r="F134" s="165"/>
      <c r="G134" s="165"/>
      <c r="H134" s="165"/>
      <c r="I134" s="165"/>
      <c r="J134" s="165"/>
      <c r="K134" s="165"/>
      <c r="L134" s="165"/>
      <c r="M134" s="164"/>
      <c r="N134" s="165"/>
      <c r="O134" s="165"/>
      <c r="P134" s="165"/>
      <c r="Q134" s="165"/>
      <c r="R134" s="164"/>
      <c r="S134" s="165"/>
      <c r="T134" s="165"/>
      <c r="U134" s="165"/>
      <c r="V134" s="165"/>
      <c r="W134" s="164"/>
      <c r="X134" s="165"/>
      <c r="Y134" s="165"/>
      <c r="Z134" s="165"/>
      <c r="AA134" s="165"/>
      <c r="AB134" s="164"/>
      <c r="AC134" s="165"/>
      <c r="AD134" s="165"/>
      <c r="AE134" s="165"/>
      <c r="AF134" s="165"/>
      <c r="AG134" s="164"/>
      <c r="AH134" s="165"/>
      <c r="AI134" s="165"/>
      <c r="AJ134" s="165"/>
      <c r="AK134" s="165"/>
      <c r="AL134" s="164"/>
    </row>
    <row r="135" ht="10.5" customHeight="1">
      <c r="A135" s="164"/>
      <c r="B135" s="165"/>
      <c r="C135" s="165"/>
      <c r="D135" s="165"/>
      <c r="E135" s="165"/>
      <c r="F135" s="165"/>
      <c r="G135" s="165"/>
      <c r="H135" s="165"/>
      <c r="I135" s="165"/>
      <c r="J135" s="165"/>
      <c r="K135" s="165"/>
      <c r="L135" s="165"/>
      <c r="M135" s="164"/>
      <c r="N135" s="165"/>
      <c r="O135" s="165"/>
      <c r="P135" s="165"/>
      <c r="Q135" s="165"/>
      <c r="R135" s="164"/>
      <c r="S135" s="165"/>
      <c r="T135" s="165"/>
      <c r="U135" s="165"/>
      <c r="V135" s="165"/>
      <c r="W135" s="164"/>
      <c r="X135" s="165"/>
      <c r="Y135" s="165"/>
      <c r="Z135" s="165"/>
      <c r="AA135" s="165"/>
      <c r="AB135" s="164"/>
      <c r="AC135" s="165"/>
      <c r="AD135" s="165"/>
      <c r="AE135" s="165"/>
      <c r="AF135" s="165"/>
      <c r="AG135" s="164"/>
      <c r="AH135" s="165"/>
      <c r="AI135" s="165"/>
      <c r="AJ135" s="165"/>
      <c r="AK135" s="165"/>
      <c r="AL135" s="164"/>
    </row>
    <row r="136" ht="10.5" customHeight="1">
      <c r="A136" s="164"/>
      <c r="B136" s="165"/>
      <c r="C136" s="165"/>
      <c r="D136" s="165"/>
      <c r="E136" s="165"/>
      <c r="F136" s="165"/>
      <c r="G136" s="165"/>
      <c r="H136" s="165"/>
      <c r="I136" s="165"/>
      <c r="J136" s="165"/>
      <c r="K136" s="165"/>
      <c r="L136" s="165"/>
      <c r="M136" s="164"/>
      <c r="N136" s="165"/>
      <c r="O136" s="165"/>
      <c r="P136" s="165"/>
      <c r="Q136" s="165"/>
      <c r="R136" s="164"/>
      <c r="S136" s="165"/>
      <c r="T136" s="165"/>
      <c r="U136" s="165"/>
      <c r="V136" s="165"/>
      <c r="W136" s="164"/>
      <c r="X136" s="165"/>
      <c r="Y136" s="165"/>
      <c r="Z136" s="165"/>
      <c r="AA136" s="165"/>
      <c r="AB136" s="164"/>
      <c r="AC136" s="165"/>
      <c r="AD136" s="165"/>
      <c r="AE136" s="165"/>
      <c r="AF136" s="165"/>
      <c r="AG136" s="164"/>
      <c r="AH136" s="165"/>
      <c r="AI136" s="165"/>
      <c r="AJ136" s="165"/>
      <c r="AK136" s="165"/>
      <c r="AL136" s="164"/>
    </row>
    <row r="137" ht="10.5" customHeight="1">
      <c r="A137" s="164"/>
      <c r="B137" s="165"/>
      <c r="C137" s="165"/>
      <c r="D137" s="165"/>
      <c r="E137" s="165"/>
      <c r="F137" s="165"/>
      <c r="G137" s="165"/>
      <c r="H137" s="165"/>
      <c r="I137" s="165"/>
      <c r="J137" s="165"/>
      <c r="K137" s="165"/>
      <c r="L137" s="165"/>
      <c r="M137" s="164"/>
      <c r="N137" s="165"/>
      <c r="O137" s="165"/>
      <c r="P137" s="165"/>
      <c r="Q137" s="165"/>
      <c r="R137" s="164"/>
      <c r="S137" s="165"/>
      <c r="T137" s="165"/>
      <c r="U137" s="165"/>
      <c r="V137" s="165"/>
      <c r="W137" s="164"/>
      <c r="X137" s="165"/>
      <c r="Y137" s="165"/>
      <c r="Z137" s="165"/>
      <c r="AA137" s="165"/>
      <c r="AB137" s="164"/>
      <c r="AC137" s="165"/>
      <c r="AD137" s="165"/>
      <c r="AE137" s="165"/>
      <c r="AF137" s="165"/>
      <c r="AG137" s="164"/>
      <c r="AH137" s="165"/>
      <c r="AI137" s="165"/>
      <c r="AJ137" s="165"/>
      <c r="AK137" s="165"/>
      <c r="AL137" s="164"/>
    </row>
    <row r="138" ht="10.5" customHeight="1">
      <c r="A138" s="164"/>
      <c r="B138" s="165"/>
      <c r="C138" s="165"/>
      <c r="D138" s="165"/>
      <c r="E138" s="165"/>
      <c r="F138" s="165"/>
      <c r="G138" s="165"/>
      <c r="H138" s="165"/>
      <c r="I138" s="165"/>
      <c r="J138" s="165"/>
      <c r="K138" s="165"/>
      <c r="L138" s="165"/>
      <c r="M138" s="164"/>
      <c r="N138" s="165"/>
      <c r="O138" s="165"/>
      <c r="P138" s="165"/>
      <c r="Q138" s="165"/>
      <c r="R138" s="164"/>
      <c r="S138" s="165"/>
      <c r="T138" s="165"/>
      <c r="U138" s="165"/>
      <c r="V138" s="165"/>
      <c r="W138" s="164"/>
      <c r="X138" s="165"/>
      <c r="Y138" s="165"/>
      <c r="Z138" s="165"/>
      <c r="AA138" s="165"/>
      <c r="AB138" s="164"/>
      <c r="AC138" s="165"/>
      <c r="AD138" s="165"/>
      <c r="AE138" s="165"/>
      <c r="AF138" s="165"/>
      <c r="AG138" s="164"/>
      <c r="AH138" s="165"/>
      <c r="AI138" s="165"/>
      <c r="AJ138" s="165"/>
      <c r="AK138" s="165"/>
      <c r="AL138" s="164"/>
    </row>
    <row r="139" ht="10.5" customHeight="1">
      <c r="A139" s="164"/>
      <c r="B139" s="165"/>
      <c r="C139" s="165"/>
      <c r="D139" s="165"/>
      <c r="E139" s="165"/>
      <c r="F139" s="165"/>
      <c r="G139" s="165"/>
      <c r="H139" s="165"/>
      <c r="I139" s="165"/>
      <c r="J139" s="165"/>
      <c r="K139" s="165"/>
      <c r="L139" s="165"/>
      <c r="M139" s="164"/>
      <c r="N139" s="165"/>
      <c r="O139" s="165"/>
      <c r="P139" s="165"/>
      <c r="Q139" s="165"/>
      <c r="R139" s="164"/>
      <c r="S139" s="165"/>
      <c r="T139" s="165"/>
      <c r="U139" s="165"/>
      <c r="V139" s="165"/>
      <c r="W139" s="164"/>
      <c r="X139" s="165"/>
      <c r="Y139" s="165"/>
      <c r="Z139" s="165"/>
      <c r="AA139" s="165"/>
      <c r="AB139" s="164"/>
      <c r="AC139" s="165"/>
      <c r="AD139" s="165"/>
      <c r="AE139" s="165"/>
      <c r="AF139" s="165"/>
      <c r="AG139" s="164"/>
      <c r="AH139" s="165"/>
      <c r="AI139" s="165"/>
      <c r="AJ139" s="165"/>
      <c r="AK139" s="165"/>
      <c r="AL139" s="164"/>
    </row>
    <row r="140" ht="10.5" customHeight="1">
      <c r="A140" s="164"/>
      <c r="B140" s="165"/>
      <c r="C140" s="165"/>
      <c r="D140" s="165"/>
      <c r="E140" s="165"/>
      <c r="F140" s="165"/>
      <c r="G140" s="165"/>
      <c r="H140" s="165"/>
      <c r="I140" s="165"/>
      <c r="J140" s="165"/>
      <c r="K140" s="165"/>
      <c r="L140" s="165"/>
      <c r="M140" s="164"/>
      <c r="N140" s="165"/>
      <c r="O140" s="165"/>
      <c r="P140" s="165"/>
      <c r="Q140" s="165"/>
      <c r="R140" s="164"/>
      <c r="S140" s="165"/>
      <c r="T140" s="165"/>
      <c r="U140" s="165"/>
      <c r="V140" s="165"/>
      <c r="W140" s="164"/>
      <c r="X140" s="165"/>
      <c r="Y140" s="165"/>
      <c r="Z140" s="165"/>
      <c r="AA140" s="165"/>
      <c r="AB140" s="164"/>
      <c r="AC140" s="165"/>
      <c r="AD140" s="165"/>
      <c r="AE140" s="165"/>
      <c r="AF140" s="165"/>
      <c r="AG140" s="164"/>
      <c r="AH140" s="165"/>
      <c r="AI140" s="165"/>
      <c r="AJ140" s="165"/>
      <c r="AK140" s="165"/>
      <c r="AL140" s="164"/>
    </row>
    <row r="141" ht="10.5" customHeight="1">
      <c r="A141" s="164"/>
      <c r="B141" s="165"/>
      <c r="C141" s="165"/>
      <c r="D141" s="165"/>
      <c r="E141" s="165"/>
      <c r="F141" s="165"/>
      <c r="G141" s="165"/>
      <c r="H141" s="165"/>
      <c r="I141" s="165"/>
      <c r="J141" s="165"/>
      <c r="K141" s="165"/>
      <c r="L141" s="165"/>
      <c r="M141" s="164"/>
      <c r="N141" s="165"/>
      <c r="O141" s="165"/>
      <c r="P141" s="165"/>
      <c r="Q141" s="165"/>
      <c r="R141" s="164"/>
      <c r="S141" s="165"/>
      <c r="T141" s="165"/>
      <c r="U141" s="165"/>
      <c r="V141" s="165"/>
      <c r="W141" s="164"/>
      <c r="X141" s="165"/>
      <c r="Y141" s="165"/>
      <c r="Z141" s="165"/>
      <c r="AA141" s="165"/>
      <c r="AB141" s="164"/>
      <c r="AC141" s="165"/>
      <c r="AD141" s="165"/>
      <c r="AE141" s="165"/>
      <c r="AF141" s="165"/>
      <c r="AG141" s="164"/>
      <c r="AH141" s="165"/>
      <c r="AI141" s="165"/>
      <c r="AJ141" s="165"/>
      <c r="AK141" s="165"/>
      <c r="AL141" s="164"/>
    </row>
    <row r="142" ht="10.5" customHeight="1">
      <c r="A142" s="164"/>
      <c r="B142" s="165"/>
      <c r="C142" s="165"/>
      <c r="D142" s="165"/>
      <c r="E142" s="165"/>
      <c r="F142" s="165"/>
      <c r="G142" s="165"/>
      <c r="H142" s="165"/>
      <c r="I142" s="165"/>
      <c r="J142" s="165"/>
      <c r="K142" s="165"/>
      <c r="L142" s="165"/>
      <c r="M142" s="164"/>
      <c r="N142" s="165"/>
      <c r="O142" s="165"/>
      <c r="P142" s="165"/>
      <c r="Q142" s="165"/>
      <c r="R142" s="164"/>
      <c r="S142" s="165"/>
      <c r="T142" s="165"/>
      <c r="U142" s="165"/>
      <c r="V142" s="165"/>
      <c r="W142" s="164"/>
      <c r="X142" s="165"/>
      <c r="Y142" s="165"/>
      <c r="Z142" s="165"/>
      <c r="AA142" s="165"/>
      <c r="AB142" s="164"/>
      <c r="AC142" s="165"/>
      <c r="AD142" s="165"/>
      <c r="AE142" s="165"/>
      <c r="AF142" s="165"/>
      <c r="AG142" s="164"/>
      <c r="AH142" s="165"/>
      <c r="AI142" s="165"/>
      <c r="AJ142" s="165"/>
      <c r="AK142" s="165"/>
      <c r="AL142" s="164"/>
    </row>
    <row r="143" ht="10.5" customHeight="1">
      <c r="A143" s="164"/>
      <c r="B143" s="165"/>
      <c r="C143" s="165"/>
      <c r="D143" s="165"/>
      <c r="E143" s="165"/>
      <c r="F143" s="165"/>
      <c r="G143" s="165"/>
      <c r="H143" s="165"/>
      <c r="I143" s="165"/>
      <c r="J143" s="165"/>
      <c r="K143" s="165"/>
      <c r="L143" s="165"/>
      <c r="M143" s="164"/>
      <c r="N143" s="165"/>
      <c r="O143" s="165"/>
      <c r="P143" s="165"/>
      <c r="Q143" s="165"/>
      <c r="R143" s="164"/>
      <c r="S143" s="165"/>
      <c r="T143" s="165"/>
      <c r="U143" s="165"/>
      <c r="V143" s="165"/>
      <c r="W143" s="164"/>
      <c r="X143" s="165"/>
      <c r="Y143" s="165"/>
      <c r="Z143" s="165"/>
      <c r="AA143" s="165"/>
      <c r="AB143" s="164"/>
      <c r="AC143" s="165"/>
      <c r="AD143" s="165"/>
      <c r="AE143" s="165"/>
      <c r="AF143" s="165"/>
      <c r="AG143" s="164"/>
      <c r="AH143" s="165"/>
      <c r="AI143" s="165"/>
      <c r="AJ143" s="165"/>
      <c r="AK143" s="165"/>
      <c r="AL143" s="164"/>
    </row>
    <row r="144" ht="10.5" customHeight="1">
      <c r="A144" s="164"/>
      <c r="B144" s="165"/>
      <c r="C144" s="165"/>
      <c r="D144" s="165"/>
      <c r="E144" s="165"/>
      <c r="F144" s="165"/>
      <c r="G144" s="165"/>
      <c r="H144" s="165"/>
      <c r="I144" s="165"/>
      <c r="J144" s="165"/>
      <c r="K144" s="165"/>
      <c r="L144" s="165"/>
      <c r="M144" s="164"/>
      <c r="N144" s="165"/>
      <c r="O144" s="165"/>
      <c r="P144" s="165"/>
      <c r="Q144" s="165"/>
      <c r="R144" s="164"/>
      <c r="S144" s="165"/>
      <c r="T144" s="165"/>
      <c r="U144" s="165"/>
      <c r="V144" s="165"/>
      <c r="W144" s="164"/>
      <c r="X144" s="165"/>
      <c r="Y144" s="165"/>
      <c r="Z144" s="165"/>
      <c r="AA144" s="165"/>
      <c r="AB144" s="164"/>
      <c r="AC144" s="165"/>
      <c r="AD144" s="165"/>
      <c r="AE144" s="165"/>
      <c r="AF144" s="165"/>
      <c r="AG144" s="164"/>
      <c r="AH144" s="165"/>
      <c r="AI144" s="165"/>
      <c r="AJ144" s="165"/>
      <c r="AK144" s="165"/>
      <c r="AL144" s="164"/>
    </row>
    <row r="145" ht="10.5" customHeight="1">
      <c r="A145" s="164"/>
      <c r="B145" s="165"/>
      <c r="C145" s="165"/>
      <c r="D145" s="165"/>
      <c r="E145" s="165"/>
      <c r="F145" s="165"/>
      <c r="G145" s="165"/>
      <c r="H145" s="165"/>
      <c r="I145" s="165"/>
      <c r="J145" s="165"/>
      <c r="K145" s="165"/>
      <c r="L145" s="165"/>
      <c r="M145" s="164"/>
      <c r="N145" s="165"/>
      <c r="O145" s="165"/>
      <c r="P145" s="165"/>
      <c r="Q145" s="165"/>
      <c r="R145" s="164"/>
      <c r="S145" s="165"/>
      <c r="T145" s="165"/>
      <c r="U145" s="165"/>
      <c r="V145" s="165"/>
      <c r="W145" s="164"/>
      <c r="X145" s="165"/>
      <c r="Y145" s="165"/>
      <c r="Z145" s="165"/>
      <c r="AA145" s="165"/>
      <c r="AB145" s="164"/>
      <c r="AC145" s="165"/>
      <c r="AD145" s="165"/>
      <c r="AE145" s="165"/>
      <c r="AF145" s="165"/>
      <c r="AG145" s="164"/>
      <c r="AH145" s="165"/>
      <c r="AI145" s="165"/>
      <c r="AJ145" s="165"/>
      <c r="AK145" s="165"/>
      <c r="AL145" s="164"/>
    </row>
    <row r="146" ht="10.5" customHeight="1">
      <c r="A146" s="164"/>
      <c r="B146" s="165"/>
      <c r="C146" s="165"/>
      <c r="D146" s="165"/>
      <c r="E146" s="165"/>
      <c r="F146" s="165"/>
      <c r="G146" s="165"/>
      <c r="H146" s="165"/>
      <c r="I146" s="165"/>
      <c r="J146" s="165"/>
      <c r="K146" s="165"/>
      <c r="L146" s="165"/>
      <c r="M146" s="164"/>
      <c r="N146" s="165"/>
      <c r="O146" s="165"/>
      <c r="P146" s="165"/>
      <c r="Q146" s="165"/>
      <c r="R146" s="164"/>
      <c r="S146" s="165"/>
      <c r="T146" s="165"/>
      <c r="U146" s="165"/>
      <c r="V146" s="165"/>
      <c r="W146" s="164"/>
      <c r="X146" s="165"/>
      <c r="Y146" s="165"/>
      <c r="Z146" s="165"/>
      <c r="AA146" s="165"/>
      <c r="AB146" s="164"/>
      <c r="AC146" s="165"/>
      <c r="AD146" s="165"/>
      <c r="AE146" s="165"/>
      <c r="AF146" s="165"/>
      <c r="AG146" s="164"/>
      <c r="AH146" s="165"/>
      <c r="AI146" s="165"/>
      <c r="AJ146" s="165"/>
      <c r="AK146" s="165"/>
      <c r="AL146" s="164"/>
    </row>
    <row r="147" ht="10.5" customHeight="1">
      <c r="A147" s="164"/>
      <c r="B147" s="165"/>
      <c r="C147" s="165"/>
      <c r="D147" s="165"/>
      <c r="E147" s="165"/>
      <c r="F147" s="165"/>
      <c r="G147" s="165"/>
      <c r="H147" s="165"/>
      <c r="I147" s="165"/>
      <c r="J147" s="165"/>
      <c r="K147" s="165"/>
      <c r="L147" s="165"/>
      <c r="M147" s="164"/>
      <c r="N147" s="165"/>
      <c r="O147" s="165"/>
      <c r="P147" s="165"/>
      <c r="Q147" s="165"/>
      <c r="R147" s="164"/>
      <c r="S147" s="165"/>
      <c r="T147" s="165"/>
      <c r="U147" s="165"/>
      <c r="V147" s="165"/>
      <c r="W147" s="164"/>
      <c r="X147" s="165"/>
      <c r="Y147" s="165"/>
      <c r="Z147" s="165"/>
      <c r="AA147" s="165"/>
      <c r="AB147" s="164"/>
      <c r="AC147" s="165"/>
      <c r="AD147" s="165"/>
      <c r="AE147" s="165"/>
      <c r="AF147" s="165"/>
      <c r="AG147" s="164"/>
      <c r="AH147" s="165"/>
      <c r="AI147" s="165"/>
      <c r="AJ147" s="165"/>
      <c r="AK147" s="165"/>
      <c r="AL147" s="164"/>
    </row>
    <row r="148" ht="10.5" customHeight="1">
      <c r="A148" s="164"/>
      <c r="B148" s="165"/>
      <c r="C148" s="165"/>
      <c r="D148" s="165"/>
      <c r="E148" s="165"/>
      <c r="F148" s="165"/>
      <c r="G148" s="165"/>
      <c r="H148" s="165"/>
      <c r="I148" s="165"/>
      <c r="J148" s="165"/>
      <c r="K148" s="165"/>
      <c r="L148" s="165"/>
      <c r="M148" s="164"/>
      <c r="N148" s="165"/>
      <c r="O148" s="165"/>
      <c r="P148" s="165"/>
      <c r="Q148" s="165"/>
      <c r="R148" s="164"/>
      <c r="S148" s="165"/>
      <c r="T148" s="165"/>
      <c r="U148" s="165"/>
      <c r="V148" s="165"/>
      <c r="W148" s="164"/>
      <c r="X148" s="165"/>
      <c r="Y148" s="165"/>
      <c r="Z148" s="165"/>
      <c r="AA148" s="165"/>
      <c r="AB148" s="164"/>
      <c r="AC148" s="165"/>
      <c r="AD148" s="165"/>
      <c r="AE148" s="165"/>
      <c r="AF148" s="165"/>
      <c r="AG148" s="164"/>
      <c r="AH148" s="165"/>
      <c r="AI148" s="165"/>
      <c r="AJ148" s="165"/>
      <c r="AK148" s="165"/>
      <c r="AL148" s="164"/>
    </row>
    <row r="149" ht="10.5" customHeight="1">
      <c r="A149" s="164"/>
      <c r="B149" s="165"/>
      <c r="C149" s="165"/>
      <c r="D149" s="165"/>
      <c r="E149" s="165"/>
      <c r="F149" s="165"/>
      <c r="G149" s="165"/>
      <c r="H149" s="165"/>
      <c r="I149" s="165"/>
      <c r="J149" s="165"/>
      <c r="K149" s="165"/>
      <c r="L149" s="165"/>
      <c r="M149" s="164"/>
      <c r="N149" s="165"/>
      <c r="O149" s="165"/>
      <c r="P149" s="165"/>
      <c r="Q149" s="165"/>
      <c r="R149" s="164"/>
      <c r="S149" s="165"/>
      <c r="T149" s="165"/>
      <c r="U149" s="165"/>
      <c r="V149" s="165"/>
      <c r="W149" s="164"/>
      <c r="X149" s="165"/>
      <c r="Y149" s="165"/>
      <c r="Z149" s="165"/>
      <c r="AA149" s="165"/>
      <c r="AB149" s="164"/>
      <c r="AC149" s="165"/>
      <c r="AD149" s="165"/>
      <c r="AE149" s="165"/>
      <c r="AF149" s="165"/>
      <c r="AG149" s="164"/>
      <c r="AH149" s="165"/>
      <c r="AI149" s="165"/>
      <c r="AJ149" s="165"/>
      <c r="AK149" s="165"/>
      <c r="AL149" s="164"/>
    </row>
    <row r="150" ht="10.5" customHeight="1">
      <c r="A150" s="164"/>
      <c r="B150" s="165"/>
      <c r="C150" s="165"/>
      <c r="D150" s="165"/>
      <c r="E150" s="165"/>
      <c r="F150" s="165"/>
      <c r="G150" s="165"/>
      <c r="H150" s="165"/>
      <c r="I150" s="165"/>
      <c r="J150" s="165"/>
      <c r="K150" s="165"/>
      <c r="L150" s="165"/>
      <c r="M150" s="164"/>
      <c r="N150" s="165"/>
      <c r="O150" s="165"/>
      <c r="P150" s="165"/>
      <c r="Q150" s="165"/>
      <c r="R150" s="164"/>
      <c r="S150" s="165"/>
      <c r="T150" s="165"/>
      <c r="U150" s="165"/>
      <c r="V150" s="165"/>
      <c r="W150" s="164"/>
      <c r="X150" s="165"/>
      <c r="Y150" s="165"/>
      <c r="Z150" s="165"/>
      <c r="AA150" s="165"/>
      <c r="AB150" s="164"/>
      <c r="AC150" s="165"/>
      <c r="AD150" s="165"/>
      <c r="AE150" s="165"/>
      <c r="AF150" s="165"/>
      <c r="AG150" s="164"/>
      <c r="AH150" s="165"/>
      <c r="AI150" s="165"/>
      <c r="AJ150" s="165"/>
      <c r="AK150" s="165"/>
      <c r="AL150" s="164"/>
    </row>
    <row r="151" ht="10.5" customHeight="1">
      <c r="A151" s="164"/>
      <c r="B151" s="165"/>
      <c r="C151" s="165"/>
      <c r="D151" s="165"/>
      <c r="E151" s="165"/>
      <c r="F151" s="165"/>
      <c r="G151" s="165"/>
      <c r="H151" s="165"/>
      <c r="I151" s="165"/>
      <c r="J151" s="165"/>
      <c r="K151" s="165"/>
      <c r="L151" s="165"/>
      <c r="M151" s="164"/>
      <c r="N151" s="165"/>
      <c r="O151" s="165"/>
      <c r="P151" s="165"/>
      <c r="Q151" s="165"/>
      <c r="R151" s="164"/>
      <c r="S151" s="165"/>
      <c r="T151" s="165"/>
      <c r="U151" s="165"/>
      <c r="V151" s="165"/>
      <c r="W151" s="164"/>
      <c r="X151" s="165"/>
      <c r="Y151" s="165"/>
      <c r="Z151" s="165"/>
      <c r="AA151" s="165"/>
      <c r="AB151" s="164"/>
      <c r="AC151" s="165"/>
      <c r="AD151" s="165"/>
      <c r="AE151" s="165"/>
      <c r="AF151" s="165"/>
      <c r="AG151" s="164"/>
      <c r="AH151" s="165"/>
      <c r="AI151" s="165"/>
      <c r="AJ151" s="165"/>
      <c r="AK151" s="165"/>
      <c r="AL151" s="164"/>
    </row>
    <row r="152" ht="10.5" customHeight="1">
      <c r="A152" s="164"/>
      <c r="B152" s="165"/>
      <c r="C152" s="165"/>
      <c r="D152" s="165"/>
      <c r="E152" s="165"/>
      <c r="F152" s="165"/>
      <c r="G152" s="165"/>
      <c r="H152" s="165"/>
      <c r="I152" s="165"/>
      <c r="J152" s="165"/>
      <c r="K152" s="165"/>
      <c r="L152" s="165"/>
      <c r="M152" s="164"/>
      <c r="N152" s="165"/>
      <c r="O152" s="165"/>
      <c r="P152" s="165"/>
      <c r="Q152" s="165"/>
      <c r="R152" s="164"/>
      <c r="S152" s="165"/>
      <c r="T152" s="165"/>
      <c r="U152" s="165"/>
      <c r="V152" s="165"/>
      <c r="W152" s="164"/>
      <c r="X152" s="165"/>
      <c r="Y152" s="165"/>
      <c r="Z152" s="165"/>
      <c r="AA152" s="165"/>
      <c r="AB152" s="164"/>
      <c r="AC152" s="165"/>
      <c r="AD152" s="165"/>
      <c r="AE152" s="165"/>
      <c r="AF152" s="165"/>
      <c r="AG152" s="164"/>
      <c r="AH152" s="165"/>
      <c r="AI152" s="165"/>
      <c r="AJ152" s="165"/>
      <c r="AK152" s="165"/>
      <c r="AL152" s="164"/>
    </row>
    <row r="153" ht="10.5" customHeight="1">
      <c r="A153" s="164"/>
      <c r="B153" s="165"/>
      <c r="C153" s="165"/>
      <c r="D153" s="165"/>
      <c r="E153" s="165"/>
      <c r="F153" s="165"/>
      <c r="G153" s="165"/>
      <c r="H153" s="165"/>
      <c r="I153" s="165"/>
      <c r="J153" s="165"/>
      <c r="K153" s="165"/>
      <c r="L153" s="165"/>
      <c r="M153" s="164"/>
      <c r="N153" s="165"/>
      <c r="O153" s="165"/>
      <c r="P153" s="165"/>
      <c r="Q153" s="165"/>
      <c r="R153" s="164"/>
      <c r="S153" s="165"/>
      <c r="T153" s="165"/>
      <c r="U153" s="165"/>
      <c r="V153" s="165"/>
      <c r="W153" s="164"/>
      <c r="X153" s="165"/>
      <c r="Y153" s="165"/>
      <c r="Z153" s="165"/>
      <c r="AA153" s="165"/>
      <c r="AB153" s="164"/>
      <c r="AC153" s="165"/>
      <c r="AD153" s="165"/>
      <c r="AE153" s="165"/>
      <c r="AF153" s="165"/>
      <c r="AG153" s="164"/>
      <c r="AH153" s="165"/>
      <c r="AI153" s="165"/>
      <c r="AJ153" s="165"/>
      <c r="AK153" s="165"/>
      <c r="AL153" s="164"/>
    </row>
    <row r="154" ht="10.5" customHeight="1">
      <c r="A154" s="164"/>
      <c r="B154" s="165"/>
      <c r="C154" s="165"/>
      <c r="D154" s="165"/>
      <c r="E154" s="165"/>
      <c r="F154" s="165"/>
      <c r="G154" s="165"/>
      <c r="H154" s="165"/>
      <c r="I154" s="165"/>
      <c r="J154" s="165"/>
      <c r="K154" s="165"/>
      <c r="L154" s="165"/>
      <c r="M154" s="164"/>
      <c r="N154" s="165"/>
      <c r="O154" s="165"/>
      <c r="P154" s="165"/>
      <c r="Q154" s="165"/>
      <c r="R154" s="164"/>
      <c r="S154" s="165"/>
      <c r="T154" s="165"/>
      <c r="U154" s="165"/>
      <c r="V154" s="165"/>
      <c r="W154" s="164"/>
      <c r="X154" s="165"/>
      <c r="Y154" s="165"/>
      <c r="Z154" s="165"/>
      <c r="AA154" s="165"/>
      <c r="AB154" s="164"/>
      <c r="AC154" s="165"/>
      <c r="AD154" s="165"/>
      <c r="AE154" s="165"/>
      <c r="AF154" s="165"/>
      <c r="AG154" s="164"/>
      <c r="AH154" s="165"/>
      <c r="AI154" s="165"/>
      <c r="AJ154" s="165"/>
      <c r="AK154" s="165"/>
      <c r="AL154" s="164"/>
    </row>
    <row r="155" ht="10.5" customHeight="1">
      <c r="A155" s="164"/>
      <c r="B155" s="165"/>
      <c r="C155" s="165"/>
      <c r="D155" s="165"/>
      <c r="E155" s="165"/>
      <c r="F155" s="165"/>
      <c r="G155" s="165"/>
      <c r="H155" s="165"/>
      <c r="I155" s="165"/>
      <c r="J155" s="165"/>
      <c r="K155" s="165"/>
      <c r="L155" s="165"/>
      <c r="M155" s="164"/>
      <c r="N155" s="165"/>
      <c r="O155" s="165"/>
      <c r="P155" s="165"/>
      <c r="Q155" s="165"/>
      <c r="R155" s="164"/>
      <c r="S155" s="165"/>
      <c r="T155" s="165"/>
      <c r="U155" s="165"/>
      <c r="V155" s="165"/>
      <c r="W155" s="164"/>
      <c r="X155" s="165"/>
      <c r="Y155" s="165"/>
      <c r="Z155" s="165"/>
      <c r="AA155" s="165"/>
      <c r="AB155" s="164"/>
      <c r="AC155" s="165"/>
      <c r="AD155" s="165"/>
      <c r="AE155" s="165"/>
      <c r="AF155" s="165"/>
      <c r="AG155" s="164"/>
      <c r="AH155" s="165"/>
      <c r="AI155" s="165"/>
      <c r="AJ155" s="165"/>
      <c r="AK155" s="165"/>
      <c r="AL155" s="164"/>
    </row>
    <row r="156" ht="10.5" customHeight="1">
      <c r="A156" s="164"/>
      <c r="B156" s="165"/>
      <c r="C156" s="165"/>
      <c r="D156" s="165"/>
      <c r="E156" s="165"/>
      <c r="F156" s="165"/>
      <c r="G156" s="165"/>
      <c r="H156" s="165"/>
      <c r="I156" s="165"/>
      <c r="J156" s="165"/>
      <c r="K156" s="165"/>
      <c r="L156" s="165"/>
      <c r="M156" s="164"/>
      <c r="N156" s="165"/>
      <c r="O156" s="165"/>
      <c r="P156" s="165"/>
      <c r="Q156" s="165"/>
      <c r="R156" s="164"/>
      <c r="S156" s="165"/>
      <c r="T156" s="165"/>
      <c r="U156" s="165"/>
      <c r="V156" s="165"/>
      <c r="W156" s="164"/>
      <c r="X156" s="165"/>
      <c r="Y156" s="165"/>
      <c r="Z156" s="165"/>
      <c r="AA156" s="165"/>
      <c r="AB156" s="164"/>
      <c r="AC156" s="165"/>
      <c r="AD156" s="165"/>
      <c r="AE156" s="165"/>
      <c r="AF156" s="165"/>
      <c r="AG156" s="164"/>
      <c r="AH156" s="165"/>
      <c r="AI156" s="165"/>
      <c r="AJ156" s="165"/>
      <c r="AK156" s="165"/>
      <c r="AL156" s="164"/>
    </row>
    <row r="157" ht="10.5" customHeight="1">
      <c r="A157" s="164"/>
      <c r="B157" s="165"/>
      <c r="C157" s="165"/>
      <c r="D157" s="165"/>
      <c r="E157" s="165"/>
      <c r="F157" s="165"/>
      <c r="G157" s="165"/>
      <c r="H157" s="165"/>
      <c r="I157" s="165"/>
      <c r="J157" s="165"/>
      <c r="K157" s="165"/>
      <c r="L157" s="165"/>
      <c r="M157" s="164"/>
      <c r="N157" s="165"/>
      <c r="O157" s="165"/>
      <c r="P157" s="165"/>
      <c r="Q157" s="165"/>
      <c r="R157" s="164"/>
      <c r="S157" s="165"/>
      <c r="T157" s="165"/>
      <c r="U157" s="165"/>
      <c r="V157" s="165"/>
      <c r="W157" s="164"/>
      <c r="X157" s="165"/>
      <c r="Y157" s="165"/>
      <c r="Z157" s="165"/>
      <c r="AA157" s="165"/>
      <c r="AB157" s="164"/>
      <c r="AC157" s="165"/>
      <c r="AD157" s="165"/>
      <c r="AE157" s="165"/>
      <c r="AF157" s="165"/>
      <c r="AG157" s="164"/>
      <c r="AH157" s="165"/>
      <c r="AI157" s="165"/>
      <c r="AJ157" s="165"/>
      <c r="AK157" s="165"/>
      <c r="AL157" s="164"/>
    </row>
    <row r="158" ht="10.5" customHeight="1">
      <c r="A158" s="164"/>
      <c r="B158" s="165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4"/>
      <c r="N158" s="165"/>
      <c r="O158" s="165"/>
      <c r="P158" s="165"/>
      <c r="Q158" s="165"/>
      <c r="R158" s="164"/>
      <c r="S158" s="165"/>
      <c r="T158" s="165"/>
      <c r="U158" s="165"/>
      <c r="V158" s="165"/>
      <c r="W158" s="164"/>
      <c r="X158" s="165"/>
      <c r="Y158" s="165"/>
      <c r="Z158" s="165"/>
      <c r="AA158" s="165"/>
      <c r="AB158" s="164"/>
      <c r="AC158" s="165"/>
      <c r="AD158" s="165"/>
      <c r="AE158" s="165"/>
      <c r="AF158" s="165"/>
      <c r="AG158" s="164"/>
      <c r="AH158" s="165"/>
      <c r="AI158" s="165"/>
      <c r="AJ158" s="165"/>
      <c r="AK158" s="165"/>
      <c r="AL158" s="164"/>
    </row>
    <row r="159" ht="10.5" customHeight="1">
      <c r="A159" s="164"/>
      <c r="B159" s="165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4"/>
      <c r="N159" s="165"/>
      <c r="O159" s="165"/>
      <c r="P159" s="165"/>
      <c r="Q159" s="165"/>
      <c r="R159" s="164"/>
      <c r="S159" s="165"/>
      <c r="T159" s="165"/>
      <c r="U159" s="165"/>
      <c r="V159" s="165"/>
      <c r="W159" s="164"/>
      <c r="X159" s="165"/>
      <c r="Y159" s="165"/>
      <c r="Z159" s="165"/>
      <c r="AA159" s="165"/>
      <c r="AB159" s="164"/>
      <c r="AC159" s="165"/>
      <c r="AD159" s="165"/>
      <c r="AE159" s="165"/>
      <c r="AF159" s="165"/>
      <c r="AG159" s="164"/>
      <c r="AH159" s="165"/>
      <c r="AI159" s="165"/>
      <c r="AJ159" s="165"/>
      <c r="AK159" s="165"/>
      <c r="AL159" s="164"/>
    </row>
    <row r="160" ht="10.5" customHeight="1">
      <c r="A160" s="164"/>
      <c r="B160" s="165"/>
      <c r="C160" s="165"/>
      <c r="D160" s="165"/>
      <c r="E160" s="165"/>
      <c r="F160" s="165"/>
      <c r="G160" s="165"/>
      <c r="H160" s="165"/>
      <c r="I160" s="165"/>
      <c r="J160" s="165"/>
      <c r="K160" s="165"/>
      <c r="L160" s="165"/>
      <c r="M160" s="164"/>
      <c r="N160" s="165"/>
      <c r="O160" s="165"/>
      <c r="P160" s="165"/>
      <c r="Q160" s="165"/>
      <c r="R160" s="164"/>
      <c r="S160" s="165"/>
      <c r="T160" s="165"/>
      <c r="U160" s="165"/>
      <c r="V160" s="165"/>
      <c r="W160" s="164"/>
      <c r="X160" s="165"/>
      <c r="Y160" s="165"/>
      <c r="Z160" s="165"/>
      <c r="AA160" s="165"/>
      <c r="AB160" s="164"/>
      <c r="AC160" s="165"/>
      <c r="AD160" s="165"/>
      <c r="AE160" s="165"/>
      <c r="AF160" s="165"/>
      <c r="AG160" s="164"/>
      <c r="AH160" s="165"/>
      <c r="AI160" s="165"/>
      <c r="AJ160" s="165"/>
      <c r="AK160" s="165"/>
      <c r="AL160" s="164"/>
    </row>
    <row r="161" ht="10.5" customHeight="1">
      <c r="A161" s="164"/>
      <c r="B161" s="165"/>
      <c r="C161" s="165"/>
      <c r="D161" s="165"/>
      <c r="E161" s="165"/>
      <c r="F161" s="165"/>
      <c r="G161" s="165"/>
      <c r="H161" s="165"/>
      <c r="I161" s="165"/>
      <c r="J161" s="165"/>
      <c r="K161" s="165"/>
      <c r="L161" s="165"/>
      <c r="M161" s="164"/>
      <c r="N161" s="165"/>
      <c r="O161" s="165"/>
      <c r="P161" s="165"/>
      <c r="Q161" s="165"/>
      <c r="R161" s="164"/>
      <c r="S161" s="165"/>
      <c r="T161" s="165"/>
      <c r="U161" s="165"/>
      <c r="V161" s="165"/>
      <c r="W161" s="164"/>
      <c r="X161" s="165"/>
      <c r="Y161" s="165"/>
      <c r="Z161" s="165"/>
      <c r="AA161" s="165"/>
      <c r="AB161" s="164"/>
      <c r="AC161" s="165"/>
      <c r="AD161" s="165"/>
      <c r="AE161" s="165"/>
      <c r="AF161" s="165"/>
      <c r="AG161" s="164"/>
      <c r="AH161" s="165"/>
      <c r="AI161" s="165"/>
      <c r="AJ161" s="165"/>
      <c r="AK161" s="165"/>
      <c r="AL161" s="164"/>
    </row>
    <row r="162" ht="10.5" customHeight="1">
      <c r="A162" s="164"/>
      <c r="B162" s="165"/>
      <c r="C162" s="165"/>
      <c r="D162" s="165"/>
      <c r="E162" s="165"/>
      <c r="F162" s="165"/>
      <c r="G162" s="165"/>
      <c r="H162" s="165"/>
      <c r="I162" s="165"/>
      <c r="J162" s="165"/>
      <c r="K162" s="165"/>
      <c r="L162" s="165"/>
      <c r="M162" s="164"/>
      <c r="N162" s="165"/>
      <c r="O162" s="165"/>
      <c r="P162" s="165"/>
      <c r="Q162" s="165"/>
      <c r="R162" s="164"/>
      <c r="S162" s="165"/>
      <c r="T162" s="165"/>
      <c r="U162" s="165"/>
      <c r="V162" s="165"/>
      <c r="W162" s="164"/>
      <c r="X162" s="165"/>
      <c r="Y162" s="165"/>
      <c r="Z162" s="165"/>
      <c r="AA162" s="165"/>
      <c r="AB162" s="164"/>
      <c r="AC162" s="165"/>
      <c r="AD162" s="165"/>
      <c r="AE162" s="165"/>
      <c r="AF162" s="165"/>
      <c r="AG162" s="164"/>
      <c r="AH162" s="165"/>
      <c r="AI162" s="165"/>
      <c r="AJ162" s="165"/>
      <c r="AK162" s="165"/>
      <c r="AL162" s="164"/>
    </row>
    <row r="163" ht="10.5" customHeight="1">
      <c r="A163" s="164"/>
      <c r="B163" s="165"/>
      <c r="C163" s="165"/>
      <c r="D163" s="165"/>
      <c r="E163" s="165"/>
      <c r="F163" s="165"/>
      <c r="G163" s="165"/>
      <c r="H163" s="165"/>
      <c r="I163" s="165"/>
      <c r="J163" s="165"/>
      <c r="K163" s="165"/>
      <c r="L163" s="165"/>
      <c r="M163" s="164"/>
      <c r="N163" s="165"/>
      <c r="O163" s="165"/>
      <c r="P163" s="165"/>
      <c r="Q163" s="165"/>
      <c r="R163" s="164"/>
      <c r="S163" s="165"/>
      <c r="T163" s="165"/>
      <c r="U163" s="165"/>
      <c r="V163" s="165"/>
      <c r="W163" s="164"/>
      <c r="X163" s="165"/>
      <c r="Y163" s="165"/>
      <c r="Z163" s="165"/>
      <c r="AA163" s="165"/>
      <c r="AB163" s="164"/>
      <c r="AC163" s="165"/>
      <c r="AD163" s="165"/>
      <c r="AE163" s="165"/>
      <c r="AF163" s="165"/>
      <c r="AG163" s="164"/>
      <c r="AH163" s="165"/>
      <c r="AI163" s="165"/>
      <c r="AJ163" s="165"/>
      <c r="AK163" s="165"/>
      <c r="AL163" s="164"/>
    </row>
    <row r="164" ht="10.5" customHeight="1">
      <c r="A164" s="164"/>
      <c r="B164" s="165"/>
      <c r="C164" s="165"/>
      <c r="D164" s="165"/>
      <c r="E164" s="165"/>
      <c r="F164" s="165"/>
      <c r="G164" s="165"/>
      <c r="H164" s="165"/>
      <c r="I164" s="165"/>
      <c r="J164" s="165"/>
      <c r="K164" s="165"/>
      <c r="L164" s="165"/>
      <c r="M164" s="164"/>
      <c r="N164" s="165"/>
      <c r="O164" s="165"/>
      <c r="P164" s="165"/>
      <c r="Q164" s="165"/>
      <c r="R164" s="164"/>
      <c r="S164" s="165"/>
      <c r="T164" s="165"/>
      <c r="U164" s="165"/>
      <c r="V164" s="165"/>
      <c r="W164" s="164"/>
      <c r="X164" s="165"/>
      <c r="Y164" s="165"/>
      <c r="Z164" s="165"/>
      <c r="AA164" s="165"/>
      <c r="AB164" s="164"/>
      <c r="AC164" s="165"/>
      <c r="AD164" s="165"/>
      <c r="AE164" s="165"/>
      <c r="AF164" s="165"/>
      <c r="AG164" s="164"/>
      <c r="AH164" s="165"/>
      <c r="AI164" s="165"/>
      <c r="AJ164" s="165"/>
      <c r="AK164" s="165"/>
      <c r="AL164" s="164"/>
    </row>
    <row r="165" ht="10.5" customHeight="1">
      <c r="A165" s="164"/>
      <c r="B165" s="165"/>
      <c r="C165" s="165"/>
      <c r="D165" s="165"/>
      <c r="E165" s="165"/>
      <c r="F165" s="165"/>
      <c r="G165" s="165"/>
      <c r="H165" s="165"/>
      <c r="I165" s="165"/>
      <c r="J165" s="165"/>
      <c r="K165" s="165"/>
      <c r="L165" s="165"/>
      <c r="M165" s="164"/>
      <c r="N165" s="165"/>
      <c r="O165" s="165"/>
      <c r="P165" s="165"/>
      <c r="Q165" s="165"/>
      <c r="R165" s="164"/>
      <c r="S165" s="165"/>
      <c r="T165" s="165"/>
      <c r="U165" s="165"/>
      <c r="V165" s="165"/>
      <c r="W165" s="164"/>
      <c r="X165" s="165"/>
      <c r="Y165" s="165"/>
      <c r="Z165" s="165"/>
      <c r="AA165" s="165"/>
      <c r="AB165" s="164"/>
      <c r="AC165" s="165"/>
      <c r="AD165" s="165"/>
      <c r="AE165" s="165"/>
      <c r="AF165" s="165"/>
      <c r="AG165" s="164"/>
      <c r="AH165" s="165"/>
      <c r="AI165" s="165"/>
      <c r="AJ165" s="165"/>
      <c r="AK165" s="165"/>
      <c r="AL165" s="164"/>
    </row>
    <row r="166" ht="10.5" customHeight="1">
      <c r="A166" s="164"/>
      <c r="B166" s="165"/>
      <c r="C166" s="165"/>
      <c r="D166" s="165"/>
      <c r="E166" s="165"/>
      <c r="F166" s="165"/>
      <c r="G166" s="165"/>
      <c r="H166" s="165"/>
      <c r="I166" s="165"/>
      <c r="J166" s="165"/>
      <c r="K166" s="165"/>
      <c r="L166" s="165"/>
      <c r="M166" s="164"/>
      <c r="N166" s="165"/>
      <c r="O166" s="165"/>
      <c r="P166" s="165"/>
      <c r="Q166" s="165"/>
      <c r="R166" s="164"/>
      <c r="S166" s="165"/>
      <c r="T166" s="165"/>
      <c r="U166" s="165"/>
      <c r="V166" s="165"/>
      <c r="W166" s="164"/>
      <c r="X166" s="165"/>
      <c r="Y166" s="165"/>
      <c r="Z166" s="165"/>
      <c r="AA166" s="165"/>
      <c r="AB166" s="164"/>
      <c r="AC166" s="165"/>
      <c r="AD166" s="165"/>
      <c r="AE166" s="165"/>
      <c r="AF166" s="165"/>
      <c r="AG166" s="164"/>
      <c r="AH166" s="165"/>
      <c r="AI166" s="165"/>
      <c r="AJ166" s="165"/>
      <c r="AK166" s="165"/>
      <c r="AL166" s="164"/>
    </row>
    <row r="167" ht="10.5" customHeight="1">
      <c r="A167" s="164"/>
      <c r="B167" s="165"/>
      <c r="C167" s="165"/>
      <c r="D167" s="165"/>
      <c r="E167" s="165"/>
      <c r="F167" s="165"/>
      <c r="G167" s="165"/>
      <c r="H167" s="165"/>
      <c r="I167" s="165"/>
      <c r="J167" s="165"/>
      <c r="K167" s="165"/>
      <c r="L167" s="165"/>
      <c r="M167" s="164"/>
      <c r="N167" s="165"/>
      <c r="O167" s="165"/>
      <c r="P167" s="165"/>
      <c r="Q167" s="165"/>
      <c r="R167" s="164"/>
      <c r="S167" s="165"/>
      <c r="T167" s="165"/>
      <c r="U167" s="165"/>
      <c r="V167" s="165"/>
      <c r="W167" s="164"/>
      <c r="X167" s="165"/>
      <c r="Y167" s="165"/>
      <c r="Z167" s="165"/>
      <c r="AA167" s="165"/>
      <c r="AB167" s="164"/>
      <c r="AC167" s="165"/>
      <c r="AD167" s="165"/>
      <c r="AE167" s="165"/>
      <c r="AF167" s="165"/>
      <c r="AG167" s="164"/>
      <c r="AH167" s="165"/>
      <c r="AI167" s="165"/>
      <c r="AJ167" s="165"/>
      <c r="AK167" s="165"/>
      <c r="AL167" s="164"/>
    </row>
    <row r="168" ht="10.5" customHeight="1">
      <c r="A168" s="164"/>
      <c r="B168" s="165"/>
      <c r="C168" s="165"/>
      <c r="D168" s="165"/>
      <c r="E168" s="165"/>
      <c r="F168" s="165"/>
      <c r="G168" s="165"/>
      <c r="H168" s="165"/>
      <c r="I168" s="165"/>
      <c r="J168" s="165"/>
      <c r="K168" s="165"/>
      <c r="L168" s="165"/>
      <c r="M168" s="164"/>
      <c r="N168" s="165"/>
      <c r="O168" s="165"/>
      <c r="P168" s="165"/>
      <c r="Q168" s="165"/>
      <c r="R168" s="164"/>
      <c r="S168" s="165"/>
      <c r="T168" s="165"/>
      <c r="U168" s="165"/>
      <c r="V168" s="165"/>
      <c r="W168" s="164"/>
      <c r="X168" s="165"/>
      <c r="Y168" s="165"/>
      <c r="Z168" s="165"/>
      <c r="AA168" s="165"/>
      <c r="AB168" s="164"/>
      <c r="AC168" s="165"/>
      <c r="AD168" s="165"/>
      <c r="AE168" s="165"/>
      <c r="AF168" s="165"/>
      <c r="AG168" s="164"/>
      <c r="AH168" s="165"/>
      <c r="AI168" s="165"/>
      <c r="AJ168" s="165"/>
      <c r="AK168" s="165"/>
      <c r="AL168" s="164"/>
    </row>
    <row r="169" ht="10.5" customHeight="1">
      <c r="A169" s="164"/>
      <c r="B169" s="165"/>
      <c r="C169" s="165"/>
      <c r="D169" s="165"/>
      <c r="E169" s="165"/>
      <c r="F169" s="165"/>
      <c r="G169" s="165"/>
      <c r="H169" s="165"/>
      <c r="I169" s="165"/>
      <c r="J169" s="165"/>
      <c r="K169" s="165"/>
      <c r="L169" s="165"/>
      <c r="M169" s="164"/>
      <c r="N169" s="165"/>
      <c r="O169" s="165"/>
      <c r="P169" s="165"/>
      <c r="Q169" s="165"/>
      <c r="R169" s="164"/>
      <c r="S169" s="165"/>
      <c r="T169" s="165"/>
      <c r="U169" s="165"/>
      <c r="V169" s="165"/>
      <c r="W169" s="164"/>
      <c r="X169" s="165"/>
      <c r="Y169" s="165"/>
      <c r="Z169" s="165"/>
      <c r="AA169" s="165"/>
      <c r="AB169" s="164"/>
      <c r="AC169" s="165"/>
      <c r="AD169" s="165"/>
      <c r="AE169" s="165"/>
      <c r="AF169" s="165"/>
      <c r="AG169" s="164"/>
      <c r="AH169" s="165"/>
      <c r="AI169" s="165"/>
      <c r="AJ169" s="165"/>
      <c r="AK169" s="165"/>
      <c r="AL169" s="164"/>
    </row>
    <row r="170" ht="10.5" customHeight="1">
      <c r="A170" s="164"/>
      <c r="B170" s="165"/>
      <c r="C170" s="165"/>
      <c r="D170" s="165"/>
      <c r="E170" s="165"/>
      <c r="F170" s="165"/>
      <c r="G170" s="165"/>
      <c r="H170" s="165"/>
      <c r="I170" s="165"/>
      <c r="J170" s="165"/>
      <c r="K170" s="165"/>
      <c r="L170" s="165"/>
      <c r="M170" s="164"/>
      <c r="N170" s="165"/>
      <c r="O170" s="165"/>
      <c r="P170" s="165"/>
      <c r="Q170" s="165"/>
      <c r="R170" s="164"/>
      <c r="S170" s="165"/>
      <c r="T170" s="165"/>
      <c r="U170" s="165"/>
      <c r="V170" s="165"/>
      <c r="W170" s="164"/>
      <c r="X170" s="165"/>
      <c r="Y170" s="165"/>
      <c r="Z170" s="165"/>
      <c r="AA170" s="165"/>
      <c r="AB170" s="164"/>
      <c r="AC170" s="165"/>
      <c r="AD170" s="165"/>
      <c r="AE170" s="165"/>
      <c r="AF170" s="165"/>
      <c r="AG170" s="164"/>
      <c r="AH170" s="165"/>
      <c r="AI170" s="165"/>
      <c r="AJ170" s="165"/>
      <c r="AK170" s="165"/>
      <c r="AL170" s="164"/>
    </row>
    <row r="171" ht="10.5" customHeight="1">
      <c r="A171" s="164"/>
      <c r="B171" s="165"/>
      <c r="C171" s="165"/>
      <c r="D171" s="165"/>
      <c r="E171" s="165"/>
      <c r="F171" s="165"/>
      <c r="G171" s="165"/>
      <c r="H171" s="165"/>
      <c r="I171" s="165"/>
      <c r="J171" s="165"/>
      <c r="K171" s="165"/>
      <c r="L171" s="165"/>
      <c r="M171" s="164"/>
      <c r="N171" s="165"/>
      <c r="O171" s="165"/>
      <c r="P171" s="165"/>
      <c r="Q171" s="165"/>
      <c r="R171" s="164"/>
      <c r="S171" s="165"/>
      <c r="T171" s="165"/>
      <c r="U171" s="165"/>
      <c r="V171" s="165"/>
      <c r="W171" s="164"/>
      <c r="X171" s="165"/>
      <c r="Y171" s="165"/>
      <c r="Z171" s="165"/>
      <c r="AA171" s="165"/>
      <c r="AB171" s="164"/>
      <c r="AC171" s="165"/>
      <c r="AD171" s="165"/>
      <c r="AE171" s="165"/>
      <c r="AF171" s="165"/>
      <c r="AG171" s="164"/>
      <c r="AH171" s="165"/>
      <c r="AI171" s="165"/>
      <c r="AJ171" s="165"/>
      <c r="AK171" s="165"/>
      <c r="AL171" s="164"/>
    </row>
    <row r="172" ht="10.5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4"/>
      <c r="N172" s="165"/>
      <c r="O172" s="165"/>
      <c r="P172" s="165"/>
      <c r="Q172" s="165"/>
      <c r="R172" s="164"/>
      <c r="S172" s="165"/>
      <c r="T172" s="165"/>
      <c r="U172" s="165"/>
      <c r="V172" s="165"/>
      <c r="W172" s="164"/>
      <c r="X172" s="165"/>
      <c r="Y172" s="165"/>
      <c r="Z172" s="165"/>
      <c r="AA172" s="165"/>
      <c r="AB172" s="164"/>
      <c r="AC172" s="165"/>
      <c r="AD172" s="165"/>
      <c r="AE172" s="165"/>
      <c r="AF172" s="165"/>
      <c r="AG172" s="164"/>
      <c r="AH172" s="165"/>
      <c r="AI172" s="165"/>
      <c r="AJ172" s="165"/>
      <c r="AK172" s="165"/>
      <c r="AL172" s="164"/>
    </row>
    <row r="173" ht="10.5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4"/>
      <c r="N173" s="165"/>
      <c r="O173" s="165"/>
      <c r="P173" s="165"/>
      <c r="Q173" s="165"/>
      <c r="R173" s="164"/>
      <c r="S173" s="165"/>
      <c r="T173" s="165"/>
      <c r="U173" s="165"/>
      <c r="V173" s="165"/>
      <c r="W173" s="164"/>
      <c r="X173" s="165"/>
      <c r="Y173" s="165"/>
      <c r="Z173" s="165"/>
      <c r="AA173" s="165"/>
      <c r="AB173" s="164"/>
      <c r="AC173" s="165"/>
      <c r="AD173" s="165"/>
      <c r="AE173" s="165"/>
      <c r="AF173" s="165"/>
      <c r="AG173" s="164"/>
      <c r="AH173" s="165"/>
      <c r="AI173" s="165"/>
      <c r="AJ173" s="165"/>
      <c r="AK173" s="165"/>
      <c r="AL173" s="164"/>
    </row>
    <row r="174" ht="10.5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4"/>
      <c r="N174" s="165"/>
      <c r="O174" s="165"/>
      <c r="P174" s="165"/>
      <c r="Q174" s="165"/>
      <c r="R174" s="164"/>
      <c r="S174" s="165"/>
      <c r="T174" s="165"/>
      <c r="U174" s="165"/>
      <c r="V174" s="165"/>
      <c r="W174" s="164"/>
      <c r="X174" s="165"/>
      <c r="Y174" s="165"/>
      <c r="Z174" s="165"/>
      <c r="AA174" s="165"/>
      <c r="AB174" s="164"/>
      <c r="AC174" s="165"/>
      <c r="AD174" s="165"/>
      <c r="AE174" s="165"/>
      <c r="AF174" s="165"/>
      <c r="AG174" s="164"/>
      <c r="AH174" s="165"/>
      <c r="AI174" s="165"/>
      <c r="AJ174" s="165"/>
      <c r="AK174" s="165"/>
      <c r="AL174" s="164"/>
    </row>
    <row r="175" ht="10.5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4"/>
      <c r="N175" s="165"/>
      <c r="O175" s="165"/>
      <c r="P175" s="165"/>
      <c r="Q175" s="165"/>
      <c r="R175" s="164"/>
      <c r="S175" s="165"/>
      <c r="T175" s="165"/>
      <c r="U175" s="165"/>
      <c r="V175" s="165"/>
      <c r="W175" s="164"/>
      <c r="X175" s="165"/>
      <c r="Y175" s="165"/>
      <c r="Z175" s="165"/>
      <c r="AA175" s="165"/>
      <c r="AB175" s="164"/>
      <c r="AC175" s="165"/>
      <c r="AD175" s="165"/>
      <c r="AE175" s="165"/>
      <c r="AF175" s="165"/>
      <c r="AG175" s="164"/>
      <c r="AH175" s="165"/>
      <c r="AI175" s="165"/>
      <c r="AJ175" s="165"/>
      <c r="AK175" s="165"/>
      <c r="AL175" s="164"/>
    </row>
    <row r="176" ht="10.5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65"/>
      <c r="K176" s="165"/>
      <c r="L176" s="165"/>
      <c r="M176" s="164"/>
      <c r="N176" s="165"/>
      <c r="O176" s="165"/>
      <c r="P176" s="165"/>
      <c r="Q176" s="165"/>
      <c r="R176" s="164"/>
      <c r="S176" s="165"/>
      <c r="T176" s="165"/>
      <c r="U176" s="165"/>
      <c r="V176" s="165"/>
      <c r="W176" s="164"/>
      <c r="X176" s="165"/>
      <c r="Y176" s="165"/>
      <c r="Z176" s="165"/>
      <c r="AA176" s="165"/>
      <c r="AB176" s="164"/>
      <c r="AC176" s="165"/>
      <c r="AD176" s="165"/>
      <c r="AE176" s="165"/>
      <c r="AF176" s="165"/>
      <c r="AG176" s="164"/>
      <c r="AH176" s="165"/>
      <c r="AI176" s="165"/>
      <c r="AJ176" s="165"/>
      <c r="AK176" s="165"/>
      <c r="AL176" s="164"/>
    </row>
    <row r="177" ht="10.5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65"/>
      <c r="K177" s="165"/>
      <c r="L177" s="165"/>
      <c r="M177" s="164"/>
      <c r="N177" s="165"/>
      <c r="O177" s="165"/>
      <c r="P177" s="165"/>
      <c r="Q177" s="165"/>
      <c r="R177" s="164"/>
      <c r="S177" s="165"/>
      <c r="T177" s="165"/>
      <c r="U177" s="165"/>
      <c r="V177" s="165"/>
      <c r="W177" s="164"/>
      <c r="X177" s="165"/>
      <c r="Y177" s="165"/>
      <c r="Z177" s="165"/>
      <c r="AA177" s="165"/>
      <c r="AB177" s="164"/>
      <c r="AC177" s="165"/>
      <c r="AD177" s="165"/>
      <c r="AE177" s="165"/>
      <c r="AF177" s="165"/>
      <c r="AG177" s="164"/>
      <c r="AH177" s="165"/>
      <c r="AI177" s="165"/>
      <c r="AJ177" s="165"/>
      <c r="AK177" s="165"/>
      <c r="AL177" s="164"/>
    </row>
    <row r="178" ht="10.5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65"/>
      <c r="M178" s="164"/>
      <c r="N178" s="165"/>
      <c r="O178" s="165"/>
      <c r="P178" s="165"/>
      <c r="Q178" s="165"/>
      <c r="R178" s="164"/>
      <c r="S178" s="165"/>
      <c r="T178" s="165"/>
      <c r="U178" s="165"/>
      <c r="V178" s="165"/>
      <c r="W178" s="164"/>
      <c r="X178" s="165"/>
      <c r="Y178" s="165"/>
      <c r="Z178" s="165"/>
      <c r="AA178" s="165"/>
      <c r="AB178" s="164"/>
      <c r="AC178" s="165"/>
      <c r="AD178" s="165"/>
      <c r="AE178" s="165"/>
      <c r="AF178" s="165"/>
      <c r="AG178" s="164"/>
      <c r="AH178" s="165"/>
      <c r="AI178" s="165"/>
      <c r="AJ178" s="165"/>
      <c r="AK178" s="165"/>
      <c r="AL178" s="164"/>
    </row>
    <row r="179" ht="10.5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65"/>
      <c r="M179" s="164"/>
      <c r="N179" s="165"/>
      <c r="O179" s="165"/>
      <c r="P179" s="165"/>
      <c r="Q179" s="165"/>
      <c r="R179" s="164"/>
      <c r="S179" s="165"/>
      <c r="T179" s="165"/>
      <c r="U179" s="165"/>
      <c r="V179" s="165"/>
      <c r="W179" s="164"/>
      <c r="X179" s="165"/>
      <c r="Y179" s="165"/>
      <c r="Z179" s="165"/>
      <c r="AA179" s="165"/>
      <c r="AB179" s="164"/>
      <c r="AC179" s="165"/>
      <c r="AD179" s="165"/>
      <c r="AE179" s="165"/>
      <c r="AF179" s="165"/>
      <c r="AG179" s="164"/>
      <c r="AH179" s="165"/>
      <c r="AI179" s="165"/>
      <c r="AJ179" s="165"/>
      <c r="AK179" s="165"/>
      <c r="AL179" s="164"/>
    </row>
    <row r="180" ht="10.5" customHeight="1">
      <c r="A180" s="164"/>
      <c r="B180" s="165"/>
      <c r="C180" s="165"/>
      <c r="D180" s="165"/>
      <c r="E180" s="165"/>
      <c r="F180" s="165"/>
      <c r="G180" s="165"/>
      <c r="H180" s="165"/>
      <c r="I180" s="165"/>
      <c r="J180" s="165"/>
      <c r="K180" s="165"/>
      <c r="L180" s="165"/>
      <c r="M180" s="164"/>
      <c r="N180" s="165"/>
      <c r="O180" s="165"/>
      <c r="P180" s="165"/>
      <c r="Q180" s="165"/>
      <c r="R180" s="164"/>
      <c r="S180" s="165"/>
      <c r="T180" s="165"/>
      <c r="U180" s="165"/>
      <c r="V180" s="165"/>
      <c r="W180" s="164"/>
      <c r="X180" s="165"/>
      <c r="Y180" s="165"/>
      <c r="Z180" s="165"/>
      <c r="AA180" s="165"/>
      <c r="AB180" s="164"/>
      <c r="AC180" s="165"/>
      <c r="AD180" s="165"/>
      <c r="AE180" s="165"/>
      <c r="AF180" s="165"/>
      <c r="AG180" s="164"/>
      <c r="AH180" s="165"/>
      <c r="AI180" s="165"/>
      <c r="AJ180" s="165"/>
      <c r="AK180" s="165"/>
      <c r="AL180" s="164"/>
    </row>
    <row r="181" ht="10.5" customHeight="1">
      <c r="A181" s="164"/>
      <c r="B181" s="165"/>
      <c r="C181" s="165"/>
      <c r="D181" s="165"/>
      <c r="E181" s="165"/>
      <c r="F181" s="165"/>
      <c r="G181" s="165"/>
      <c r="H181" s="165"/>
      <c r="I181" s="165"/>
      <c r="J181" s="165"/>
      <c r="K181" s="165"/>
      <c r="L181" s="165"/>
      <c r="M181" s="164"/>
      <c r="N181" s="165"/>
      <c r="O181" s="165"/>
      <c r="P181" s="165"/>
      <c r="Q181" s="165"/>
      <c r="R181" s="164"/>
      <c r="S181" s="165"/>
      <c r="T181" s="165"/>
      <c r="U181" s="165"/>
      <c r="V181" s="165"/>
      <c r="W181" s="164"/>
      <c r="X181" s="165"/>
      <c r="Y181" s="165"/>
      <c r="Z181" s="165"/>
      <c r="AA181" s="165"/>
      <c r="AB181" s="164"/>
      <c r="AC181" s="165"/>
      <c r="AD181" s="165"/>
      <c r="AE181" s="165"/>
      <c r="AF181" s="165"/>
      <c r="AG181" s="164"/>
      <c r="AH181" s="165"/>
      <c r="AI181" s="165"/>
      <c r="AJ181" s="165"/>
      <c r="AK181" s="165"/>
      <c r="AL181" s="164"/>
    </row>
    <row r="182" ht="10.5" customHeight="1">
      <c r="A182" s="164"/>
      <c r="B182" s="165"/>
      <c r="C182" s="165"/>
      <c r="D182" s="165"/>
      <c r="E182" s="165"/>
      <c r="F182" s="165"/>
      <c r="G182" s="165"/>
      <c r="H182" s="165"/>
      <c r="I182" s="165"/>
      <c r="J182" s="165"/>
      <c r="K182" s="165"/>
      <c r="L182" s="165"/>
      <c r="M182" s="164"/>
      <c r="N182" s="165"/>
      <c r="O182" s="165"/>
      <c r="P182" s="165"/>
      <c r="Q182" s="165"/>
      <c r="R182" s="164"/>
      <c r="S182" s="165"/>
      <c r="T182" s="165"/>
      <c r="U182" s="165"/>
      <c r="V182" s="165"/>
      <c r="W182" s="164"/>
      <c r="X182" s="165"/>
      <c r="Y182" s="165"/>
      <c r="Z182" s="165"/>
      <c r="AA182" s="165"/>
      <c r="AB182" s="164"/>
      <c r="AC182" s="165"/>
      <c r="AD182" s="165"/>
      <c r="AE182" s="165"/>
      <c r="AF182" s="165"/>
      <c r="AG182" s="164"/>
      <c r="AH182" s="165"/>
      <c r="AI182" s="165"/>
      <c r="AJ182" s="165"/>
      <c r="AK182" s="165"/>
      <c r="AL182" s="164"/>
    </row>
    <row r="183" ht="10.5" customHeight="1">
      <c r="A183" s="164"/>
      <c r="B183" s="165"/>
      <c r="C183" s="165"/>
      <c r="D183" s="165"/>
      <c r="E183" s="165"/>
      <c r="F183" s="165"/>
      <c r="G183" s="165"/>
      <c r="H183" s="165"/>
      <c r="I183" s="165"/>
      <c r="J183" s="165"/>
      <c r="K183" s="165"/>
      <c r="L183" s="165"/>
      <c r="M183" s="164"/>
      <c r="N183" s="165"/>
      <c r="O183" s="165"/>
      <c r="P183" s="165"/>
      <c r="Q183" s="165"/>
      <c r="R183" s="164"/>
      <c r="S183" s="165"/>
      <c r="T183" s="165"/>
      <c r="U183" s="165"/>
      <c r="V183" s="165"/>
      <c r="W183" s="164"/>
      <c r="X183" s="165"/>
      <c r="Y183" s="165"/>
      <c r="Z183" s="165"/>
      <c r="AA183" s="165"/>
      <c r="AB183" s="164"/>
      <c r="AC183" s="165"/>
      <c r="AD183" s="165"/>
      <c r="AE183" s="165"/>
      <c r="AF183" s="165"/>
      <c r="AG183" s="164"/>
      <c r="AH183" s="165"/>
      <c r="AI183" s="165"/>
      <c r="AJ183" s="165"/>
      <c r="AK183" s="165"/>
      <c r="AL183" s="164"/>
    </row>
    <row r="184" ht="10.5" customHeight="1">
      <c r="A184" s="164"/>
      <c r="B184" s="165"/>
      <c r="C184" s="165"/>
      <c r="D184" s="165"/>
      <c r="E184" s="165"/>
      <c r="F184" s="165"/>
      <c r="G184" s="165"/>
      <c r="H184" s="165"/>
      <c r="I184" s="165"/>
      <c r="J184" s="165"/>
      <c r="K184" s="165"/>
      <c r="L184" s="165"/>
      <c r="M184" s="164"/>
      <c r="N184" s="165"/>
      <c r="O184" s="165"/>
      <c r="P184" s="165"/>
      <c r="Q184" s="165"/>
      <c r="R184" s="164"/>
      <c r="S184" s="165"/>
      <c r="T184" s="165"/>
      <c r="U184" s="165"/>
      <c r="V184" s="165"/>
      <c r="W184" s="164"/>
      <c r="X184" s="165"/>
      <c r="Y184" s="165"/>
      <c r="Z184" s="165"/>
      <c r="AA184" s="165"/>
      <c r="AB184" s="164"/>
      <c r="AC184" s="165"/>
      <c r="AD184" s="165"/>
      <c r="AE184" s="165"/>
      <c r="AF184" s="165"/>
      <c r="AG184" s="164"/>
      <c r="AH184" s="165"/>
      <c r="AI184" s="165"/>
      <c r="AJ184" s="165"/>
      <c r="AK184" s="165"/>
      <c r="AL184" s="164"/>
    </row>
    <row r="185" ht="10.5" customHeight="1">
      <c r="A185" s="164"/>
      <c r="B185" s="165"/>
      <c r="C185" s="165"/>
      <c r="D185" s="165"/>
      <c r="E185" s="165"/>
      <c r="F185" s="165"/>
      <c r="G185" s="165"/>
      <c r="H185" s="165"/>
      <c r="I185" s="165"/>
      <c r="J185" s="165"/>
      <c r="K185" s="165"/>
      <c r="L185" s="165"/>
      <c r="M185" s="164"/>
      <c r="N185" s="165"/>
      <c r="O185" s="165"/>
      <c r="P185" s="165"/>
      <c r="Q185" s="165"/>
      <c r="R185" s="164"/>
      <c r="S185" s="165"/>
      <c r="T185" s="165"/>
      <c r="U185" s="165"/>
      <c r="V185" s="165"/>
      <c r="W185" s="164"/>
      <c r="X185" s="165"/>
      <c r="Y185" s="165"/>
      <c r="Z185" s="165"/>
      <c r="AA185" s="165"/>
      <c r="AB185" s="164"/>
      <c r="AC185" s="165"/>
      <c r="AD185" s="165"/>
      <c r="AE185" s="165"/>
      <c r="AF185" s="165"/>
      <c r="AG185" s="164"/>
      <c r="AH185" s="165"/>
      <c r="AI185" s="165"/>
      <c r="AJ185" s="165"/>
      <c r="AK185" s="165"/>
      <c r="AL185" s="164"/>
    </row>
    <row r="186" ht="10.5" customHeight="1">
      <c r="A186" s="164"/>
      <c r="B186" s="165"/>
      <c r="C186" s="165"/>
      <c r="D186" s="165"/>
      <c r="E186" s="165"/>
      <c r="F186" s="165"/>
      <c r="G186" s="165"/>
      <c r="H186" s="165"/>
      <c r="I186" s="165"/>
      <c r="J186" s="165"/>
      <c r="K186" s="165"/>
      <c r="L186" s="165"/>
      <c r="M186" s="164"/>
      <c r="N186" s="165"/>
      <c r="O186" s="165"/>
      <c r="P186" s="165"/>
      <c r="Q186" s="165"/>
      <c r="R186" s="164"/>
      <c r="S186" s="165"/>
      <c r="T186" s="165"/>
      <c r="U186" s="165"/>
      <c r="V186" s="165"/>
      <c r="W186" s="164"/>
      <c r="X186" s="165"/>
      <c r="Y186" s="165"/>
      <c r="Z186" s="165"/>
      <c r="AA186" s="165"/>
      <c r="AB186" s="164"/>
      <c r="AC186" s="165"/>
      <c r="AD186" s="165"/>
      <c r="AE186" s="165"/>
      <c r="AF186" s="165"/>
      <c r="AG186" s="164"/>
      <c r="AH186" s="165"/>
      <c r="AI186" s="165"/>
      <c r="AJ186" s="165"/>
      <c r="AK186" s="165"/>
      <c r="AL186" s="164"/>
    </row>
    <row r="187" ht="10.5" customHeight="1">
      <c r="A187" s="164"/>
      <c r="B187" s="165"/>
      <c r="C187" s="165"/>
      <c r="D187" s="165"/>
      <c r="E187" s="165"/>
      <c r="F187" s="165"/>
      <c r="G187" s="165"/>
      <c r="H187" s="165"/>
      <c r="I187" s="165"/>
      <c r="J187" s="165"/>
      <c r="K187" s="165"/>
      <c r="L187" s="165"/>
      <c r="M187" s="164"/>
      <c r="N187" s="165"/>
      <c r="O187" s="165"/>
      <c r="P187" s="165"/>
      <c r="Q187" s="165"/>
      <c r="R187" s="164"/>
      <c r="S187" s="165"/>
      <c r="T187" s="165"/>
      <c r="U187" s="165"/>
      <c r="V187" s="165"/>
      <c r="W187" s="164"/>
      <c r="X187" s="165"/>
      <c r="Y187" s="165"/>
      <c r="Z187" s="165"/>
      <c r="AA187" s="165"/>
      <c r="AB187" s="164"/>
      <c r="AC187" s="165"/>
      <c r="AD187" s="165"/>
      <c r="AE187" s="165"/>
      <c r="AF187" s="165"/>
      <c r="AG187" s="164"/>
      <c r="AH187" s="165"/>
      <c r="AI187" s="165"/>
      <c r="AJ187" s="165"/>
      <c r="AK187" s="165"/>
      <c r="AL187" s="164"/>
    </row>
    <row r="188" ht="10.5" customHeight="1">
      <c r="A188" s="164"/>
      <c r="B188" s="165"/>
      <c r="C188" s="165"/>
      <c r="D188" s="165"/>
      <c r="E188" s="165"/>
      <c r="F188" s="165"/>
      <c r="G188" s="165"/>
      <c r="H188" s="165"/>
      <c r="I188" s="165"/>
      <c r="J188" s="165"/>
      <c r="K188" s="165"/>
      <c r="L188" s="165"/>
      <c r="M188" s="164"/>
      <c r="N188" s="165"/>
      <c r="O188" s="165"/>
      <c r="P188" s="165"/>
      <c r="Q188" s="165"/>
      <c r="R188" s="164"/>
      <c r="S188" s="165"/>
      <c r="T188" s="165"/>
      <c r="U188" s="165"/>
      <c r="V188" s="165"/>
      <c r="W188" s="164"/>
      <c r="X188" s="165"/>
      <c r="Y188" s="165"/>
      <c r="Z188" s="165"/>
      <c r="AA188" s="165"/>
      <c r="AB188" s="164"/>
      <c r="AC188" s="165"/>
      <c r="AD188" s="165"/>
      <c r="AE188" s="165"/>
      <c r="AF188" s="165"/>
      <c r="AG188" s="164"/>
      <c r="AH188" s="165"/>
      <c r="AI188" s="165"/>
      <c r="AJ188" s="165"/>
      <c r="AK188" s="165"/>
      <c r="AL188" s="164"/>
    </row>
    <row r="189" ht="10.5" customHeight="1">
      <c r="A189" s="164"/>
      <c r="B189" s="165"/>
      <c r="C189" s="165"/>
      <c r="D189" s="165"/>
      <c r="E189" s="165"/>
      <c r="F189" s="165"/>
      <c r="G189" s="165"/>
      <c r="H189" s="165"/>
      <c r="I189" s="165"/>
      <c r="J189" s="165"/>
      <c r="K189" s="165"/>
      <c r="L189" s="165"/>
      <c r="M189" s="164"/>
      <c r="N189" s="165"/>
      <c r="O189" s="165"/>
      <c r="P189" s="165"/>
      <c r="Q189" s="165"/>
      <c r="R189" s="164"/>
      <c r="S189" s="165"/>
      <c r="T189" s="165"/>
      <c r="U189" s="165"/>
      <c r="V189" s="165"/>
      <c r="W189" s="164"/>
      <c r="X189" s="165"/>
      <c r="Y189" s="165"/>
      <c r="Z189" s="165"/>
      <c r="AA189" s="165"/>
      <c r="AB189" s="164"/>
      <c r="AC189" s="165"/>
      <c r="AD189" s="165"/>
      <c r="AE189" s="165"/>
      <c r="AF189" s="165"/>
      <c r="AG189" s="164"/>
      <c r="AH189" s="165"/>
      <c r="AI189" s="165"/>
      <c r="AJ189" s="165"/>
      <c r="AK189" s="165"/>
      <c r="AL189" s="164"/>
    </row>
    <row r="190" ht="10.5" customHeight="1">
      <c r="A190" s="164"/>
      <c r="B190" s="165"/>
      <c r="C190" s="165"/>
      <c r="D190" s="165"/>
      <c r="E190" s="165"/>
      <c r="F190" s="165"/>
      <c r="G190" s="165"/>
      <c r="H190" s="165"/>
      <c r="I190" s="165"/>
      <c r="J190" s="165"/>
      <c r="K190" s="165"/>
      <c r="L190" s="165"/>
      <c r="M190" s="164"/>
      <c r="N190" s="165"/>
      <c r="O190" s="165"/>
      <c r="P190" s="165"/>
      <c r="Q190" s="165"/>
      <c r="R190" s="164"/>
      <c r="S190" s="165"/>
      <c r="T190" s="165"/>
      <c r="U190" s="165"/>
      <c r="V190" s="165"/>
      <c r="W190" s="164"/>
      <c r="X190" s="165"/>
      <c r="Y190" s="165"/>
      <c r="Z190" s="165"/>
      <c r="AA190" s="165"/>
      <c r="AB190" s="164"/>
      <c r="AC190" s="165"/>
      <c r="AD190" s="165"/>
      <c r="AE190" s="165"/>
      <c r="AF190" s="165"/>
      <c r="AG190" s="164"/>
      <c r="AH190" s="165"/>
      <c r="AI190" s="165"/>
      <c r="AJ190" s="165"/>
      <c r="AK190" s="165"/>
      <c r="AL190" s="164"/>
    </row>
    <row r="191" ht="10.5" customHeight="1">
      <c r="A191" s="164"/>
      <c r="B191" s="165"/>
      <c r="C191" s="165"/>
      <c r="D191" s="165"/>
      <c r="E191" s="165"/>
      <c r="F191" s="165"/>
      <c r="G191" s="165"/>
      <c r="H191" s="165"/>
      <c r="I191" s="165"/>
      <c r="J191" s="165"/>
      <c r="K191" s="165"/>
      <c r="L191" s="165"/>
      <c r="M191" s="164"/>
      <c r="N191" s="165"/>
      <c r="O191" s="165"/>
      <c r="P191" s="165"/>
      <c r="Q191" s="165"/>
      <c r="R191" s="164"/>
      <c r="S191" s="165"/>
      <c r="T191" s="165"/>
      <c r="U191" s="165"/>
      <c r="V191" s="165"/>
      <c r="W191" s="164"/>
      <c r="X191" s="165"/>
      <c r="Y191" s="165"/>
      <c r="Z191" s="165"/>
      <c r="AA191" s="165"/>
      <c r="AB191" s="164"/>
      <c r="AC191" s="165"/>
      <c r="AD191" s="165"/>
      <c r="AE191" s="165"/>
      <c r="AF191" s="165"/>
      <c r="AG191" s="164"/>
      <c r="AH191" s="165"/>
      <c r="AI191" s="165"/>
      <c r="AJ191" s="165"/>
      <c r="AK191" s="165"/>
      <c r="AL191" s="164"/>
    </row>
    <row r="192" ht="10.5" customHeight="1">
      <c r="A192" s="164"/>
      <c r="B192" s="165"/>
      <c r="C192" s="165"/>
      <c r="D192" s="165"/>
      <c r="E192" s="165"/>
      <c r="F192" s="165"/>
      <c r="G192" s="165"/>
      <c r="H192" s="165"/>
      <c r="I192" s="165"/>
      <c r="J192" s="165"/>
      <c r="K192" s="165"/>
      <c r="L192" s="165"/>
      <c r="M192" s="164"/>
      <c r="N192" s="165"/>
      <c r="O192" s="165"/>
      <c r="P192" s="165"/>
      <c r="Q192" s="165"/>
      <c r="R192" s="164"/>
      <c r="S192" s="165"/>
      <c r="T192" s="165"/>
      <c r="U192" s="165"/>
      <c r="V192" s="165"/>
      <c r="W192" s="164"/>
      <c r="X192" s="165"/>
      <c r="Y192" s="165"/>
      <c r="Z192" s="165"/>
      <c r="AA192" s="165"/>
      <c r="AB192" s="164"/>
      <c r="AC192" s="165"/>
      <c r="AD192" s="165"/>
      <c r="AE192" s="165"/>
      <c r="AF192" s="165"/>
      <c r="AG192" s="164"/>
      <c r="AH192" s="165"/>
      <c r="AI192" s="165"/>
      <c r="AJ192" s="165"/>
      <c r="AK192" s="165"/>
      <c r="AL192" s="164"/>
    </row>
    <row r="193" ht="10.5" customHeight="1">
      <c r="A193" s="164"/>
      <c r="B193" s="165"/>
      <c r="C193" s="165"/>
      <c r="D193" s="165"/>
      <c r="E193" s="165"/>
      <c r="F193" s="165"/>
      <c r="G193" s="165"/>
      <c r="H193" s="165"/>
      <c r="I193" s="165"/>
      <c r="J193" s="165"/>
      <c r="K193" s="165"/>
      <c r="L193" s="165"/>
      <c r="M193" s="164"/>
      <c r="N193" s="165"/>
      <c r="O193" s="165"/>
      <c r="P193" s="165"/>
      <c r="Q193" s="165"/>
      <c r="R193" s="164"/>
      <c r="S193" s="165"/>
      <c r="T193" s="165"/>
      <c r="U193" s="165"/>
      <c r="V193" s="165"/>
      <c r="W193" s="164"/>
      <c r="X193" s="165"/>
      <c r="Y193" s="165"/>
      <c r="Z193" s="165"/>
      <c r="AA193" s="165"/>
      <c r="AB193" s="164"/>
      <c r="AC193" s="165"/>
      <c r="AD193" s="165"/>
      <c r="AE193" s="165"/>
      <c r="AF193" s="165"/>
      <c r="AG193" s="164"/>
      <c r="AH193" s="165"/>
      <c r="AI193" s="165"/>
      <c r="AJ193" s="165"/>
      <c r="AK193" s="165"/>
      <c r="AL193" s="164"/>
    </row>
    <row r="194" ht="10.5" customHeight="1">
      <c r="A194" s="164"/>
      <c r="B194" s="165"/>
      <c r="C194" s="165"/>
      <c r="D194" s="165"/>
      <c r="E194" s="165"/>
      <c r="F194" s="165"/>
      <c r="G194" s="165"/>
      <c r="H194" s="165"/>
      <c r="I194" s="165"/>
      <c r="J194" s="165"/>
      <c r="K194" s="165"/>
      <c r="L194" s="165"/>
      <c r="M194" s="164"/>
      <c r="N194" s="165"/>
      <c r="O194" s="165"/>
      <c r="P194" s="165"/>
      <c r="Q194" s="165"/>
      <c r="R194" s="164"/>
      <c r="S194" s="165"/>
      <c r="T194" s="165"/>
      <c r="U194" s="165"/>
      <c r="V194" s="165"/>
      <c r="W194" s="164"/>
      <c r="X194" s="165"/>
      <c r="Y194" s="165"/>
      <c r="Z194" s="165"/>
      <c r="AA194" s="165"/>
      <c r="AB194" s="164"/>
      <c r="AC194" s="165"/>
      <c r="AD194" s="165"/>
      <c r="AE194" s="165"/>
      <c r="AF194" s="165"/>
      <c r="AG194" s="164"/>
      <c r="AH194" s="165"/>
      <c r="AI194" s="165"/>
      <c r="AJ194" s="165"/>
      <c r="AK194" s="165"/>
      <c r="AL194" s="164"/>
    </row>
    <row r="195" ht="10.5" customHeight="1">
      <c r="A195" s="164"/>
      <c r="B195" s="165"/>
      <c r="C195" s="165"/>
      <c r="D195" s="165"/>
      <c r="E195" s="165"/>
      <c r="F195" s="165"/>
      <c r="G195" s="165"/>
      <c r="H195" s="165"/>
      <c r="I195" s="165"/>
      <c r="J195" s="165"/>
      <c r="K195" s="165"/>
      <c r="L195" s="165"/>
      <c r="M195" s="164"/>
      <c r="N195" s="165"/>
      <c r="O195" s="165"/>
      <c r="P195" s="165"/>
      <c r="Q195" s="165"/>
      <c r="R195" s="164"/>
      <c r="S195" s="165"/>
      <c r="T195" s="165"/>
      <c r="U195" s="165"/>
      <c r="V195" s="165"/>
      <c r="W195" s="164"/>
      <c r="X195" s="165"/>
      <c r="Y195" s="165"/>
      <c r="Z195" s="165"/>
      <c r="AA195" s="165"/>
      <c r="AB195" s="164"/>
      <c r="AC195" s="165"/>
      <c r="AD195" s="165"/>
      <c r="AE195" s="165"/>
      <c r="AF195" s="165"/>
      <c r="AG195" s="164"/>
      <c r="AH195" s="165"/>
      <c r="AI195" s="165"/>
      <c r="AJ195" s="165"/>
      <c r="AK195" s="165"/>
      <c r="AL195" s="164"/>
    </row>
    <row r="196" ht="10.5" customHeight="1">
      <c r="A196" s="164"/>
      <c r="B196" s="165"/>
      <c r="C196" s="165"/>
      <c r="D196" s="165"/>
      <c r="E196" s="165"/>
      <c r="F196" s="165"/>
      <c r="G196" s="165"/>
      <c r="H196" s="165"/>
      <c r="I196" s="165"/>
      <c r="J196" s="165"/>
      <c r="K196" s="165"/>
      <c r="L196" s="165"/>
      <c r="M196" s="164"/>
      <c r="N196" s="165"/>
      <c r="O196" s="165"/>
      <c r="P196" s="165"/>
      <c r="Q196" s="165"/>
      <c r="R196" s="164"/>
      <c r="S196" s="165"/>
      <c r="T196" s="165"/>
      <c r="U196" s="165"/>
      <c r="V196" s="165"/>
      <c r="W196" s="164"/>
      <c r="X196" s="165"/>
      <c r="Y196" s="165"/>
      <c r="Z196" s="165"/>
      <c r="AA196" s="165"/>
      <c r="AB196" s="164"/>
      <c r="AC196" s="165"/>
      <c r="AD196" s="165"/>
      <c r="AE196" s="165"/>
      <c r="AF196" s="165"/>
      <c r="AG196" s="164"/>
      <c r="AH196" s="165"/>
      <c r="AI196" s="165"/>
      <c r="AJ196" s="165"/>
      <c r="AK196" s="165"/>
      <c r="AL196" s="164"/>
    </row>
    <row r="197" ht="10.5" customHeight="1">
      <c r="A197" s="164"/>
      <c r="B197" s="165"/>
      <c r="C197" s="165"/>
      <c r="D197" s="165"/>
      <c r="E197" s="165"/>
      <c r="F197" s="165"/>
      <c r="G197" s="165"/>
      <c r="H197" s="165"/>
      <c r="I197" s="165"/>
      <c r="J197" s="165"/>
      <c r="K197" s="165"/>
      <c r="L197" s="165"/>
      <c r="M197" s="164"/>
      <c r="N197" s="165"/>
      <c r="O197" s="165"/>
      <c r="P197" s="165"/>
      <c r="Q197" s="165"/>
      <c r="R197" s="164"/>
      <c r="S197" s="165"/>
      <c r="T197" s="165"/>
      <c r="U197" s="165"/>
      <c r="V197" s="165"/>
      <c r="W197" s="164"/>
      <c r="X197" s="165"/>
      <c r="Y197" s="165"/>
      <c r="Z197" s="165"/>
      <c r="AA197" s="165"/>
      <c r="AB197" s="164"/>
      <c r="AC197" s="165"/>
      <c r="AD197" s="165"/>
      <c r="AE197" s="165"/>
      <c r="AF197" s="165"/>
      <c r="AG197" s="164"/>
      <c r="AH197" s="165"/>
      <c r="AI197" s="165"/>
      <c r="AJ197" s="165"/>
      <c r="AK197" s="165"/>
      <c r="AL197" s="164"/>
    </row>
    <row r="198" ht="10.5" customHeight="1">
      <c r="A198" s="164"/>
      <c r="B198" s="165"/>
      <c r="C198" s="165"/>
      <c r="D198" s="165"/>
      <c r="E198" s="165"/>
      <c r="F198" s="165"/>
      <c r="G198" s="165"/>
      <c r="H198" s="165"/>
      <c r="I198" s="165"/>
      <c r="J198" s="165"/>
      <c r="K198" s="165"/>
      <c r="L198" s="165"/>
      <c r="M198" s="164"/>
      <c r="N198" s="165"/>
      <c r="O198" s="165"/>
      <c r="P198" s="165"/>
      <c r="Q198" s="165"/>
      <c r="R198" s="164"/>
      <c r="S198" s="165"/>
      <c r="T198" s="165"/>
      <c r="U198" s="165"/>
      <c r="V198" s="165"/>
      <c r="W198" s="164"/>
      <c r="X198" s="165"/>
      <c r="Y198" s="165"/>
      <c r="Z198" s="165"/>
      <c r="AA198" s="165"/>
      <c r="AB198" s="164"/>
      <c r="AC198" s="165"/>
      <c r="AD198" s="165"/>
      <c r="AE198" s="165"/>
      <c r="AF198" s="165"/>
      <c r="AG198" s="164"/>
      <c r="AH198" s="165"/>
      <c r="AI198" s="165"/>
      <c r="AJ198" s="165"/>
      <c r="AK198" s="165"/>
      <c r="AL198" s="164"/>
    </row>
    <row r="199" ht="10.5" customHeight="1">
      <c r="A199" s="164"/>
      <c r="B199" s="165"/>
      <c r="C199" s="165"/>
      <c r="D199" s="165"/>
      <c r="E199" s="165"/>
      <c r="F199" s="165"/>
      <c r="G199" s="165"/>
      <c r="H199" s="165"/>
      <c r="I199" s="165"/>
      <c r="J199" s="165"/>
      <c r="K199" s="165"/>
      <c r="L199" s="165"/>
      <c r="M199" s="164"/>
      <c r="N199" s="165"/>
      <c r="O199" s="165"/>
      <c r="P199" s="165"/>
      <c r="Q199" s="165"/>
      <c r="R199" s="164"/>
      <c r="S199" s="165"/>
      <c r="T199" s="165"/>
      <c r="U199" s="165"/>
      <c r="V199" s="165"/>
      <c r="W199" s="164"/>
      <c r="X199" s="165"/>
      <c r="Y199" s="165"/>
      <c r="Z199" s="165"/>
      <c r="AA199" s="165"/>
      <c r="AB199" s="164"/>
      <c r="AC199" s="165"/>
      <c r="AD199" s="165"/>
      <c r="AE199" s="165"/>
      <c r="AF199" s="165"/>
      <c r="AG199" s="164"/>
      <c r="AH199" s="165"/>
      <c r="AI199" s="165"/>
      <c r="AJ199" s="165"/>
      <c r="AK199" s="165"/>
      <c r="AL199" s="164"/>
    </row>
    <row r="200" ht="10.5" customHeight="1">
      <c r="A200" s="164"/>
      <c r="B200" s="165"/>
      <c r="C200" s="165"/>
      <c r="D200" s="165"/>
      <c r="E200" s="165"/>
      <c r="F200" s="165"/>
      <c r="G200" s="165"/>
      <c r="H200" s="165"/>
      <c r="I200" s="165"/>
      <c r="J200" s="165"/>
      <c r="K200" s="165"/>
      <c r="L200" s="165"/>
      <c r="M200" s="164"/>
      <c r="N200" s="165"/>
      <c r="O200" s="165"/>
      <c r="P200" s="165"/>
      <c r="Q200" s="165"/>
      <c r="R200" s="164"/>
      <c r="S200" s="165"/>
      <c r="T200" s="165"/>
      <c r="U200" s="165"/>
      <c r="V200" s="165"/>
      <c r="W200" s="164"/>
      <c r="X200" s="165"/>
      <c r="Y200" s="165"/>
      <c r="Z200" s="165"/>
      <c r="AA200" s="165"/>
      <c r="AB200" s="164"/>
      <c r="AC200" s="165"/>
      <c r="AD200" s="165"/>
      <c r="AE200" s="165"/>
      <c r="AF200" s="165"/>
      <c r="AG200" s="164"/>
      <c r="AH200" s="165"/>
      <c r="AI200" s="165"/>
      <c r="AJ200" s="165"/>
      <c r="AK200" s="165"/>
      <c r="AL200" s="164"/>
    </row>
    <row r="201" ht="10.5" customHeight="1">
      <c r="A201" s="164"/>
      <c r="B201" s="165"/>
      <c r="C201" s="165"/>
      <c r="D201" s="165"/>
      <c r="E201" s="165"/>
      <c r="F201" s="165"/>
      <c r="G201" s="165"/>
      <c r="H201" s="165"/>
      <c r="I201" s="165"/>
      <c r="J201" s="165"/>
      <c r="K201" s="165"/>
      <c r="L201" s="165"/>
      <c r="M201" s="164"/>
      <c r="N201" s="165"/>
      <c r="O201" s="165"/>
      <c r="P201" s="165"/>
      <c r="Q201" s="165"/>
      <c r="R201" s="164"/>
      <c r="S201" s="165"/>
      <c r="T201" s="165"/>
      <c r="U201" s="165"/>
      <c r="V201" s="165"/>
      <c r="W201" s="164"/>
      <c r="X201" s="165"/>
      <c r="Y201" s="165"/>
      <c r="Z201" s="165"/>
      <c r="AA201" s="165"/>
      <c r="AB201" s="164"/>
      <c r="AC201" s="165"/>
      <c r="AD201" s="165"/>
      <c r="AE201" s="165"/>
      <c r="AF201" s="165"/>
      <c r="AG201" s="164"/>
      <c r="AH201" s="165"/>
      <c r="AI201" s="165"/>
      <c r="AJ201" s="165"/>
      <c r="AK201" s="165"/>
      <c r="AL201" s="164"/>
    </row>
    <row r="202" ht="10.5" customHeight="1">
      <c r="A202" s="164"/>
      <c r="B202" s="165"/>
      <c r="C202" s="165"/>
      <c r="D202" s="165"/>
      <c r="E202" s="165"/>
      <c r="F202" s="165"/>
      <c r="G202" s="165"/>
      <c r="H202" s="165"/>
      <c r="I202" s="165"/>
      <c r="J202" s="165"/>
      <c r="K202" s="165"/>
      <c r="L202" s="165"/>
      <c r="M202" s="164"/>
      <c r="N202" s="165"/>
      <c r="O202" s="165"/>
      <c r="P202" s="165"/>
      <c r="Q202" s="165"/>
      <c r="R202" s="164"/>
      <c r="S202" s="165"/>
      <c r="T202" s="165"/>
      <c r="U202" s="165"/>
      <c r="V202" s="165"/>
      <c r="W202" s="164"/>
      <c r="X202" s="165"/>
      <c r="Y202" s="165"/>
      <c r="Z202" s="165"/>
      <c r="AA202" s="165"/>
      <c r="AB202" s="164"/>
      <c r="AC202" s="165"/>
      <c r="AD202" s="165"/>
      <c r="AE202" s="165"/>
      <c r="AF202" s="165"/>
      <c r="AG202" s="164"/>
      <c r="AH202" s="165"/>
      <c r="AI202" s="165"/>
      <c r="AJ202" s="165"/>
      <c r="AK202" s="165"/>
      <c r="AL202" s="164"/>
    </row>
    <row r="203" ht="10.5" customHeight="1">
      <c r="A203" s="164"/>
      <c r="B203" s="165"/>
      <c r="C203" s="165"/>
      <c r="D203" s="165"/>
      <c r="E203" s="165"/>
      <c r="F203" s="165"/>
      <c r="G203" s="165"/>
      <c r="H203" s="165"/>
      <c r="I203" s="165"/>
      <c r="J203" s="165"/>
      <c r="K203" s="165"/>
      <c r="L203" s="165"/>
      <c r="M203" s="164"/>
      <c r="N203" s="165"/>
      <c r="O203" s="165"/>
      <c r="P203" s="165"/>
      <c r="Q203" s="165"/>
      <c r="R203" s="164"/>
      <c r="S203" s="165"/>
      <c r="T203" s="165"/>
      <c r="U203" s="165"/>
      <c r="V203" s="165"/>
      <c r="W203" s="164"/>
      <c r="X203" s="165"/>
      <c r="Y203" s="165"/>
      <c r="Z203" s="165"/>
      <c r="AA203" s="165"/>
      <c r="AB203" s="164"/>
      <c r="AC203" s="165"/>
      <c r="AD203" s="165"/>
      <c r="AE203" s="165"/>
      <c r="AF203" s="165"/>
      <c r="AG203" s="164"/>
      <c r="AH203" s="165"/>
      <c r="AI203" s="165"/>
      <c r="AJ203" s="165"/>
      <c r="AK203" s="165"/>
      <c r="AL203" s="164"/>
    </row>
    <row r="204" ht="10.5" customHeight="1">
      <c r="A204" s="164"/>
      <c r="B204" s="165"/>
      <c r="C204" s="165"/>
      <c r="D204" s="165"/>
      <c r="E204" s="165"/>
      <c r="F204" s="165"/>
      <c r="G204" s="165"/>
      <c r="H204" s="165"/>
      <c r="I204" s="165"/>
      <c r="J204" s="165"/>
      <c r="K204" s="165"/>
      <c r="L204" s="165"/>
      <c r="M204" s="164"/>
      <c r="N204" s="165"/>
      <c r="O204" s="165"/>
      <c r="P204" s="165"/>
      <c r="Q204" s="165"/>
      <c r="R204" s="164"/>
      <c r="S204" s="165"/>
      <c r="T204" s="165"/>
      <c r="U204" s="165"/>
      <c r="V204" s="165"/>
      <c r="W204" s="164"/>
      <c r="X204" s="165"/>
      <c r="Y204" s="165"/>
      <c r="Z204" s="165"/>
      <c r="AA204" s="165"/>
      <c r="AB204" s="164"/>
      <c r="AC204" s="165"/>
      <c r="AD204" s="165"/>
      <c r="AE204" s="165"/>
      <c r="AF204" s="165"/>
      <c r="AG204" s="164"/>
      <c r="AH204" s="165"/>
      <c r="AI204" s="165"/>
      <c r="AJ204" s="165"/>
      <c r="AK204" s="165"/>
      <c r="AL204" s="164"/>
    </row>
    <row r="205" ht="10.5" customHeight="1">
      <c r="A205" s="164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4"/>
      <c r="N205" s="165"/>
      <c r="O205" s="165"/>
      <c r="P205" s="165"/>
      <c r="Q205" s="165"/>
      <c r="R205" s="164"/>
      <c r="S205" s="165"/>
      <c r="T205" s="165"/>
      <c r="U205" s="165"/>
      <c r="V205" s="165"/>
      <c r="W205" s="164"/>
      <c r="X205" s="165"/>
      <c r="Y205" s="165"/>
      <c r="Z205" s="165"/>
      <c r="AA205" s="165"/>
      <c r="AB205" s="164"/>
      <c r="AC205" s="165"/>
      <c r="AD205" s="165"/>
      <c r="AE205" s="165"/>
      <c r="AF205" s="165"/>
      <c r="AG205" s="164"/>
      <c r="AH205" s="165"/>
      <c r="AI205" s="165"/>
      <c r="AJ205" s="165"/>
      <c r="AK205" s="165"/>
      <c r="AL205" s="164"/>
    </row>
    <row r="206" ht="10.5" customHeight="1">
      <c r="A206" s="164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5"/>
      <c r="M206" s="164"/>
      <c r="N206" s="165"/>
      <c r="O206" s="165"/>
      <c r="P206" s="165"/>
      <c r="Q206" s="165"/>
      <c r="R206" s="164"/>
      <c r="S206" s="165"/>
      <c r="T206" s="165"/>
      <c r="U206" s="165"/>
      <c r="V206" s="165"/>
      <c r="W206" s="164"/>
      <c r="X206" s="165"/>
      <c r="Y206" s="165"/>
      <c r="Z206" s="165"/>
      <c r="AA206" s="165"/>
      <c r="AB206" s="164"/>
      <c r="AC206" s="165"/>
      <c r="AD206" s="165"/>
      <c r="AE206" s="165"/>
      <c r="AF206" s="165"/>
      <c r="AG206" s="164"/>
      <c r="AH206" s="165"/>
      <c r="AI206" s="165"/>
      <c r="AJ206" s="165"/>
      <c r="AK206" s="165"/>
      <c r="AL206" s="164"/>
    </row>
    <row r="207" ht="10.5" customHeight="1">
      <c r="A207" s="164"/>
      <c r="B207" s="165"/>
      <c r="C207" s="165"/>
      <c r="D207" s="165"/>
      <c r="E207" s="165"/>
      <c r="F207" s="165"/>
      <c r="G207" s="165"/>
      <c r="H207" s="165"/>
      <c r="I207" s="165"/>
      <c r="J207" s="165"/>
      <c r="K207" s="165"/>
      <c r="L207" s="165"/>
      <c r="M207" s="164"/>
      <c r="N207" s="165"/>
      <c r="O207" s="165"/>
      <c r="P207" s="165"/>
      <c r="Q207" s="165"/>
      <c r="R207" s="164"/>
      <c r="S207" s="165"/>
      <c r="T207" s="165"/>
      <c r="U207" s="165"/>
      <c r="V207" s="165"/>
      <c r="W207" s="164"/>
      <c r="X207" s="165"/>
      <c r="Y207" s="165"/>
      <c r="Z207" s="165"/>
      <c r="AA207" s="165"/>
      <c r="AB207" s="164"/>
      <c r="AC207" s="165"/>
      <c r="AD207" s="165"/>
      <c r="AE207" s="165"/>
      <c r="AF207" s="165"/>
      <c r="AG207" s="164"/>
      <c r="AH207" s="165"/>
      <c r="AI207" s="165"/>
      <c r="AJ207" s="165"/>
      <c r="AK207" s="165"/>
      <c r="AL207" s="164"/>
    </row>
    <row r="208" ht="10.5" customHeight="1">
      <c r="A208" s="164"/>
      <c r="B208" s="165"/>
      <c r="C208" s="165"/>
      <c r="D208" s="165"/>
      <c r="E208" s="165"/>
      <c r="F208" s="165"/>
      <c r="G208" s="165"/>
      <c r="H208" s="165"/>
      <c r="I208" s="165"/>
      <c r="J208" s="165"/>
      <c r="K208" s="165"/>
      <c r="L208" s="165"/>
      <c r="M208" s="164"/>
      <c r="N208" s="165"/>
      <c r="O208" s="165"/>
      <c r="P208" s="165"/>
      <c r="Q208" s="165"/>
      <c r="R208" s="164"/>
      <c r="S208" s="165"/>
      <c r="T208" s="165"/>
      <c r="U208" s="165"/>
      <c r="V208" s="165"/>
      <c r="W208" s="164"/>
      <c r="X208" s="165"/>
      <c r="Y208" s="165"/>
      <c r="Z208" s="165"/>
      <c r="AA208" s="165"/>
      <c r="AB208" s="164"/>
      <c r="AC208" s="165"/>
      <c r="AD208" s="165"/>
      <c r="AE208" s="165"/>
      <c r="AF208" s="165"/>
      <c r="AG208" s="164"/>
      <c r="AH208" s="165"/>
      <c r="AI208" s="165"/>
      <c r="AJ208" s="165"/>
      <c r="AK208" s="165"/>
      <c r="AL208" s="164"/>
    </row>
    <row r="209" ht="10.5" customHeight="1">
      <c r="A209" s="164"/>
      <c r="B209" s="165"/>
      <c r="C209" s="165"/>
      <c r="D209" s="165"/>
      <c r="E209" s="165"/>
      <c r="F209" s="165"/>
      <c r="G209" s="165"/>
      <c r="H209" s="165"/>
      <c r="I209" s="165"/>
      <c r="J209" s="165"/>
      <c r="K209" s="165"/>
      <c r="L209" s="165"/>
      <c r="M209" s="164"/>
      <c r="N209" s="165"/>
      <c r="O209" s="165"/>
      <c r="P209" s="165"/>
      <c r="Q209" s="165"/>
      <c r="R209" s="164"/>
      <c r="S209" s="165"/>
      <c r="T209" s="165"/>
      <c r="U209" s="165"/>
      <c r="V209" s="165"/>
      <c r="W209" s="164"/>
      <c r="X209" s="165"/>
      <c r="Y209" s="165"/>
      <c r="Z209" s="165"/>
      <c r="AA209" s="165"/>
      <c r="AB209" s="164"/>
      <c r="AC209" s="165"/>
      <c r="AD209" s="165"/>
      <c r="AE209" s="165"/>
      <c r="AF209" s="165"/>
      <c r="AG209" s="164"/>
      <c r="AH209" s="165"/>
      <c r="AI209" s="165"/>
      <c r="AJ209" s="165"/>
      <c r="AK209" s="165"/>
      <c r="AL209" s="164"/>
    </row>
    <row r="210" ht="10.5" customHeight="1">
      <c r="A210" s="164"/>
      <c r="B210" s="165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4"/>
      <c r="N210" s="165"/>
      <c r="O210" s="165"/>
      <c r="P210" s="165"/>
      <c r="Q210" s="165"/>
      <c r="R210" s="164"/>
      <c r="S210" s="165"/>
      <c r="T210" s="165"/>
      <c r="U210" s="165"/>
      <c r="V210" s="165"/>
      <c r="W210" s="164"/>
      <c r="X210" s="165"/>
      <c r="Y210" s="165"/>
      <c r="Z210" s="165"/>
      <c r="AA210" s="165"/>
      <c r="AB210" s="164"/>
      <c r="AC210" s="165"/>
      <c r="AD210" s="165"/>
      <c r="AE210" s="165"/>
      <c r="AF210" s="165"/>
      <c r="AG210" s="164"/>
      <c r="AH210" s="165"/>
      <c r="AI210" s="165"/>
      <c r="AJ210" s="165"/>
      <c r="AK210" s="165"/>
      <c r="AL210" s="164"/>
    </row>
    <row r="211" ht="10.5" customHeight="1">
      <c r="A211" s="164"/>
      <c r="B211" s="165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4"/>
      <c r="N211" s="165"/>
      <c r="O211" s="165"/>
      <c r="P211" s="165"/>
      <c r="Q211" s="165"/>
      <c r="R211" s="164"/>
      <c r="S211" s="165"/>
      <c r="T211" s="165"/>
      <c r="U211" s="165"/>
      <c r="V211" s="165"/>
      <c r="W211" s="164"/>
      <c r="X211" s="165"/>
      <c r="Y211" s="165"/>
      <c r="Z211" s="165"/>
      <c r="AA211" s="165"/>
      <c r="AB211" s="164"/>
      <c r="AC211" s="165"/>
      <c r="AD211" s="165"/>
      <c r="AE211" s="165"/>
      <c r="AF211" s="165"/>
      <c r="AG211" s="164"/>
      <c r="AH211" s="165"/>
      <c r="AI211" s="165"/>
      <c r="AJ211" s="165"/>
      <c r="AK211" s="165"/>
      <c r="AL211" s="164"/>
    </row>
    <row r="212" ht="10.5" customHeight="1">
      <c r="A212" s="164"/>
      <c r="B212" s="165"/>
      <c r="C212" s="165"/>
      <c r="D212" s="165"/>
      <c r="E212" s="165"/>
      <c r="F212" s="165"/>
      <c r="G212" s="165"/>
      <c r="H212" s="165"/>
      <c r="I212" s="165"/>
      <c r="J212" s="165"/>
      <c r="K212" s="165"/>
      <c r="L212" s="165"/>
      <c r="M212" s="164"/>
      <c r="N212" s="165"/>
      <c r="O212" s="165"/>
      <c r="P212" s="165"/>
      <c r="Q212" s="165"/>
      <c r="R212" s="164"/>
      <c r="S212" s="165"/>
      <c r="T212" s="165"/>
      <c r="U212" s="165"/>
      <c r="V212" s="165"/>
      <c r="W212" s="164"/>
      <c r="X212" s="165"/>
      <c r="Y212" s="165"/>
      <c r="Z212" s="165"/>
      <c r="AA212" s="165"/>
      <c r="AB212" s="164"/>
      <c r="AC212" s="165"/>
      <c r="AD212" s="165"/>
      <c r="AE212" s="165"/>
      <c r="AF212" s="165"/>
      <c r="AG212" s="164"/>
      <c r="AH212" s="165"/>
      <c r="AI212" s="165"/>
      <c r="AJ212" s="165"/>
      <c r="AK212" s="165"/>
      <c r="AL212" s="164"/>
    </row>
    <row r="213" ht="10.5" customHeight="1">
      <c r="A213" s="164"/>
      <c r="B213" s="165"/>
      <c r="C213" s="165"/>
      <c r="D213" s="165"/>
      <c r="E213" s="165"/>
      <c r="F213" s="165"/>
      <c r="G213" s="165"/>
      <c r="H213" s="165"/>
      <c r="I213" s="165"/>
      <c r="J213" s="165"/>
      <c r="K213" s="165"/>
      <c r="L213" s="165"/>
      <c r="M213" s="164"/>
      <c r="N213" s="165"/>
      <c r="O213" s="165"/>
      <c r="P213" s="165"/>
      <c r="Q213" s="165"/>
      <c r="R213" s="164"/>
      <c r="S213" s="165"/>
      <c r="T213" s="165"/>
      <c r="U213" s="165"/>
      <c r="V213" s="165"/>
      <c r="W213" s="164"/>
      <c r="X213" s="165"/>
      <c r="Y213" s="165"/>
      <c r="Z213" s="165"/>
      <c r="AA213" s="165"/>
      <c r="AB213" s="164"/>
      <c r="AC213" s="165"/>
      <c r="AD213" s="165"/>
      <c r="AE213" s="165"/>
      <c r="AF213" s="165"/>
      <c r="AG213" s="164"/>
      <c r="AH213" s="165"/>
      <c r="AI213" s="165"/>
      <c r="AJ213" s="165"/>
      <c r="AK213" s="165"/>
      <c r="AL213" s="164"/>
    </row>
    <row r="214" ht="10.5" customHeight="1">
      <c r="A214" s="164"/>
      <c r="B214" s="165"/>
      <c r="C214" s="165"/>
      <c r="D214" s="165"/>
      <c r="E214" s="165"/>
      <c r="F214" s="165"/>
      <c r="G214" s="165"/>
      <c r="H214" s="165"/>
      <c r="I214" s="165"/>
      <c r="J214" s="165"/>
      <c r="K214" s="165"/>
      <c r="L214" s="165"/>
      <c r="M214" s="164"/>
      <c r="N214" s="165"/>
      <c r="O214" s="165"/>
      <c r="P214" s="165"/>
      <c r="Q214" s="165"/>
      <c r="R214" s="164"/>
      <c r="S214" s="165"/>
      <c r="T214" s="165"/>
      <c r="U214" s="165"/>
      <c r="V214" s="165"/>
      <c r="W214" s="164"/>
      <c r="X214" s="165"/>
      <c r="Y214" s="165"/>
      <c r="Z214" s="165"/>
      <c r="AA214" s="165"/>
      <c r="AB214" s="164"/>
      <c r="AC214" s="165"/>
      <c r="AD214" s="165"/>
      <c r="AE214" s="165"/>
      <c r="AF214" s="165"/>
      <c r="AG214" s="164"/>
      <c r="AH214" s="165"/>
      <c r="AI214" s="165"/>
      <c r="AJ214" s="165"/>
      <c r="AK214" s="165"/>
      <c r="AL214" s="164"/>
    </row>
    <row r="215" ht="10.5" customHeight="1">
      <c r="A215" s="164"/>
      <c r="B215" s="165"/>
      <c r="C215" s="165"/>
      <c r="D215" s="165"/>
      <c r="E215" s="165"/>
      <c r="F215" s="165"/>
      <c r="G215" s="165"/>
      <c r="H215" s="165"/>
      <c r="I215" s="165"/>
      <c r="J215" s="165"/>
      <c r="K215" s="165"/>
      <c r="L215" s="165"/>
      <c r="M215" s="164"/>
      <c r="N215" s="165"/>
      <c r="O215" s="165"/>
      <c r="P215" s="165"/>
      <c r="Q215" s="165"/>
      <c r="R215" s="164"/>
      <c r="S215" s="165"/>
      <c r="T215" s="165"/>
      <c r="U215" s="165"/>
      <c r="V215" s="165"/>
      <c r="W215" s="164"/>
      <c r="X215" s="165"/>
      <c r="Y215" s="165"/>
      <c r="Z215" s="165"/>
      <c r="AA215" s="165"/>
      <c r="AB215" s="164"/>
      <c r="AC215" s="165"/>
      <c r="AD215" s="165"/>
      <c r="AE215" s="165"/>
      <c r="AF215" s="165"/>
      <c r="AG215" s="164"/>
      <c r="AH215" s="165"/>
      <c r="AI215" s="165"/>
      <c r="AJ215" s="165"/>
      <c r="AK215" s="165"/>
      <c r="AL215" s="164"/>
    </row>
    <row r="216" ht="10.5" customHeight="1">
      <c r="A216" s="164"/>
      <c r="B216" s="165"/>
      <c r="C216" s="165"/>
      <c r="D216" s="165"/>
      <c r="E216" s="165"/>
      <c r="F216" s="165"/>
      <c r="G216" s="165"/>
      <c r="H216" s="165"/>
      <c r="I216" s="165"/>
      <c r="J216" s="165"/>
      <c r="K216" s="165"/>
      <c r="L216" s="165"/>
      <c r="M216" s="164"/>
      <c r="N216" s="165"/>
      <c r="O216" s="165"/>
      <c r="P216" s="165"/>
      <c r="Q216" s="165"/>
      <c r="R216" s="164"/>
      <c r="S216" s="165"/>
      <c r="T216" s="165"/>
      <c r="U216" s="165"/>
      <c r="V216" s="165"/>
      <c r="W216" s="164"/>
      <c r="X216" s="165"/>
      <c r="Y216" s="165"/>
      <c r="Z216" s="165"/>
      <c r="AA216" s="165"/>
      <c r="AB216" s="164"/>
      <c r="AC216" s="165"/>
      <c r="AD216" s="165"/>
      <c r="AE216" s="165"/>
      <c r="AF216" s="165"/>
      <c r="AG216" s="164"/>
      <c r="AH216" s="165"/>
      <c r="AI216" s="165"/>
      <c r="AJ216" s="165"/>
      <c r="AK216" s="165"/>
      <c r="AL216" s="164"/>
    </row>
    <row r="217" ht="10.5" customHeight="1">
      <c r="A217" s="164"/>
      <c r="B217" s="165"/>
      <c r="C217" s="165"/>
      <c r="D217" s="165"/>
      <c r="E217" s="165"/>
      <c r="F217" s="165"/>
      <c r="G217" s="165"/>
      <c r="H217" s="165"/>
      <c r="I217" s="165"/>
      <c r="J217" s="165"/>
      <c r="K217" s="165"/>
      <c r="L217" s="165"/>
      <c r="M217" s="164"/>
      <c r="N217" s="165"/>
      <c r="O217" s="165"/>
      <c r="P217" s="165"/>
      <c r="Q217" s="165"/>
      <c r="R217" s="164"/>
      <c r="S217" s="165"/>
      <c r="T217" s="165"/>
      <c r="U217" s="165"/>
      <c r="V217" s="165"/>
      <c r="W217" s="164"/>
      <c r="X217" s="165"/>
      <c r="Y217" s="165"/>
      <c r="Z217" s="165"/>
      <c r="AA217" s="165"/>
      <c r="AB217" s="164"/>
      <c r="AC217" s="165"/>
      <c r="AD217" s="165"/>
      <c r="AE217" s="165"/>
      <c r="AF217" s="165"/>
      <c r="AG217" s="164"/>
      <c r="AH217" s="165"/>
      <c r="AI217" s="165"/>
      <c r="AJ217" s="165"/>
      <c r="AK217" s="165"/>
      <c r="AL217" s="164"/>
    </row>
    <row r="218" ht="10.5" customHeight="1">
      <c r="A218" s="164"/>
      <c r="B218" s="165"/>
      <c r="C218" s="165"/>
      <c r="D218" s="165"/>
      <c r="E218" s="165"/>
      <c r="F218" s="165"/>
      <c r="G218" s="165"/>
      <c r="H218" s="165"/>
      <c r="I218" s="165"/>
      <c r="J218" s="165"/>
      <c r="K218" s="165"/>
      <c r="L218" s="165"/>
      <c r="M218" s="164"/>
      <c r="N218" s="165"/>
      <c r="O218" s="165"/>
      <c r="P218" s="165"/>
      <c r="Q218" s="165"/>
      <c r="R218" s="164"/>
      <c r="S218" s="165"/>
      <c r="T218" s="165"/>
      <c r="U218" s="165"/>
      <c r="V218" s="165"/>
      <c r="W218" s="164"/>
      <c r="X218" s="165"/>
      <c r="Y218" s="165"/>
      <c r="Z218" s="165"/>
      <c r="AA218" s="165"/>
      <c r="AB218" s="164"/>
      <c r="AC218" s="165"/>
      <c r="AD218" s="165"/>
      <c r="AE218" s="165"/>
      <c r="AF218" s="165"/>
      <c r="AG218" s="164"/>
      <c r="AH218" s="165"/>
      <c r="AI218" s="165"/>
      <c r="AJ218" s="165"/>
      <c r="AK218" s="165"/>
      <c r="AL218" s="164"/>
    </row>
    <row r="219" ht="10.5" customHeight="1">
      <c r="A219" s="164"/>
      <c r="B219" s="165"/>
      <c r="C219" s="165"/>
      <c r="D219" s="165"/>
      <c r="E219" s="165"/>
      <c r="F219" s="165"/>
      <c r="G219" s="165"/>
      <c r="H219" s="165"/>
      <c r="I219" s="165"/>
      <c r="J219" s="165"/>
      <c r="K219" s="165"/>
      <c r="L219" s="165"/>
      <c r="M219" s="164"/>
      <c r="N219" s="165"/>
      <c r="O219" s="165"/>
      <c r="P219" s="165"/>
      <c r="Q219" s="165"/>
      <c r="R219" s="164"/>
      <c r="S219" s="165"/>
      <c r="T219" s="165"/>
      <c r="U219" s="165"/>
      <c r="V219" s="165"/>
      <c r="W219" s="164"/>
      <c r="X219" s="165"/>
      <c r="Y219" s="165"/>
      <c r="Z219" s="165"/>
      <c r="AA219" s="165"/>
      <c r="AB219" s="164"/>
      <c r="AC219" s="165"/>
      <c r="AD219" s="165"/>
      <c r="AE219" s="165"/>
      <c r="AF219" s="165"/>
      <c r="AG219" s="164"/>
      <c r="AH219" s="165"/>
      <c r="AI219" s="165"/>
      <c r="AJ219" s="165"/>
      <c r="AK219" s="165"/>
      <c r="AL219" s="164"/>
    </row>
    <row r="220" ht="10.5" customHeight="1">
      <c r="A220" s="164"/>
      <c r="B220" s="165"/>
      <c r="C220" s="165"/>
      <c r="D220" s="165"/>
      <c r="E220" s="165"/>
      <c r="F220" s="165"/>
      <c r="G220" s="165"/>
      <c r="H220" s="165"/>
      <c r="I220" s="165"/>
      <c r="J220" s="165"/>
      <c r="K220" s="165"/>
      <c r="L220" s="165"/>
      <c r="M220" s="164"/>
      <c r="N220" s="165"/>
      <c r="O220" s="165"/>
      <c r="P220" s="165"/>
      <c r="Q220" s="165"/>
      <c r="R220" s="164"/>
      <c r="S220" s="165"/>
      <c r="T220" s="165"/>
      <c r="U220" s="165"/>
      <c r="V220" s="165"/>
      <c r="W220" s="164"/>
      <c r="X220" s="165"/>
      <c r="Y220" s="165"/>
      <c r="Z220" s="165"/>
      <c r="AA220" s="165"/>
      <c r="AB220" s="164"/>
      <c r="AC220" s="165"/>
      <c r="AD220" s="165"/>
      <c r="AE220" s="165"/>
      <c r="AF220" s="165"/>
      <c r="AG220" s="164"/>
      <c r="AH220" s="165"/>
      <c r="AI220" s="165"/>
      <c r="AJ220" s="165"/>
      <c r="AK220" s="165"/>
      <c r="AL220" s="164"/>
    </row>
    <row r="221" ht="10.5" customHeight="1">
      <c r="A221" s="164"/>
      <c r="B221" s="165"/>
      <c r="C221" s="165"/>
      <c r="D221" s="165"/>
      <c r="E221" s="165"/>
      <c r="F221" s="165"/>
      <c r="G221" s="165"/>
      <c r="H221" s="165"/>
      <c r="I221" s="165"/>
      <c r="J221" s="165"/>
      <c r="K221" s="165"/>
      <c r="L221" s="165"/>
      <c r="M221" s="164"/>
      <c r="N221" s="165"/>
      <c r="O221" s="165"/>
      <c r="P221" s="165"/>
      <c r="Q221" s="165"/>
      <c r="R221" s="164"/>
      <c r="S221" s="165"/>
      <c r="T221" s="165"/>
      <c r="U221" s="165"/>
      <c r="V221" s="165"/>
      <c r="W221" s="164"/>
      <c r="X221" s="165"/>
      <c r="Y221" s="165"/>
      <c r="Z221" s="165"/>
      <c r="AA221" s="165"/>
      <c r="AB221" s="164"/>
      <c r="AC221" s="165"/>
      <c r="AD221" s="165"/>
      <c r="AE221" s="165"/>
      <c r="AF221" s="165"/>
      <c r="AG221" s="164"/>
      <c r="AH221" s="165"/>
      <c r="AI221" s="165"/>
      <c r="AJ221" s="165"/>
      <c r="AK221" s="165"/>
      <c r="AL221" s="164"/>
    </row>
    <row r="222" ht="10.5" customHeight="1">
      <c r="A222" s="164"/>
      <c r="B222" s="165"/>
      <c r="C222" s="165"/>
      <c r="D222" s="165"/>
      <c r="E222" s="165"/>
      <c r="F222" s="165"/>
      <c r="G222" s="165"/>
      <c r="H222" s="165"/>
      <c r="I222" s="165"/>
      <c r="J222" s="165"/>
      <c r="K222" s="165"/>
      <c r="L222" s="165"/>
      <c r="M222" s="164"/>
      <c r="N222" s="165"/>
      <c r="O222" s="165"/>
      <c r="P222" s="165"/>
      <c r="Q222" s="165"/>
      <c r="R222" s="164"/>
      <c r="S222" s="165"/>
      <c r="T222" s="165"/>
      <c r="U222" s="165"/>
      <c r="V222" s="165"/>
      <c r="W222" s="164"/>
      <c r="X222" s="165"/>
      <c r="Y222" s="165"/>
      <c r="Z222" s="165"/>
      <c r="AA222" s="165"/>
      <c r="AB222" s="164"/>
      <c r="AC222" s="165"/>
      <c r="AD222" s="165"/>
      <c r="AE222" s="165"/>
      <c r="AF222" s="165"/>
      <c r="AG222" s="164"/>
      <c r="AH222" s="165"/>
      <c r="AI222" s="165"/>
      <c r="AJ222" s="165"/>
      <c r="AK222" s="165"/>
      <c r="AL222" s="164"/>
    </row>
    <row r="223" ht="10.5" customHeight="1">
      <c r="A223" s="164"/>
      <c r="B223" s="165"/>
      <c r="C223" s="165"/>
      <c r="D223" s="165"/>
      <c r="E223" s="165"/>
      <c r="F223" s="165"/>
      <c r="G223" s="165"/>
      <c r="H223" s="165"/>
      <c r="I223" s="165"/>
      <c r="J223" s="165"/>
      <c r="K223" s="165"/>
      <c r="L223" s="165"/>
      <c r="M223" s="164"/>
      <c r="N223" s="165"/>
      <c r="O223" s="165"/>
      <c r="P223" s="165"/>
      <c r="Q223" s="165"/>
      <c r="R223" s="164"/>
      <c r="S223" s="165"/>
      <c r="T223" s="165"/>
      <c r="U223" s="165"/>
      <c r="V223" s="165"/>
      <c r="W223" s="164"/>
      <c r="X223" s="165"/>
      <c r="Y223" s="165"/>
      <c r="Z223" s="165"/>
      <c r="AA223" s="165"/>
      <c r="AB223" s="164"/>
      <c r="AC223" s="165"/>
      <c r="AD223" s="165"/>
      <c r="AE223" s="165"/>
      <c r="AF223" s="165"/>
      <c r="AG223" s="164"/>
      <c r="AH223" s="165"/>
      <c r="AI223" s="165"/>
      <c r="AJ223" s="165"/>
      <c r="AK223" s="165"/>
      <c r="AL223" s="164"/>
    </row>
    <row r="224" ht="10.5" customHeight="1">
      <c r="A224" s="164"/>
      <c r="B224" s="165"/>
      <c r="C224" s="165"/>
      <c r="D224" s="165"/>
      <c r="E224" s="165"/>
      <c r="F224" s="165"/>
      <c r="G224" s="165"/>
      <c r="H224" s="165"/>
      <c r="I224" s="165"/>
      <c r="J224" s="165"/>
      <c r="K224" s="165"/>
      <c r="L224" s="165"/>
      <c r="M224" s="164"/>
      <c r="N224" s="165"/>
      <c r="O224" s="165"/>
      <c r="P224" s="165"/>
      <c r="Q224" s="165"/>
      <c r="R224" s="164"/>
      <c r="S224" s="165"/>
      <c r="T224" s="165"/>
      <c r="U224" s="165"/>
      <c r="V224" s="165"/>
      <c r="W224" s="164"/>
      <c r="X224" s="165"/>
      <c r="Y224" s="165"/>
      <c r="Z224" s="165"/>
      <c r="AA224" s="165"/>
      <c r="AB224" s="164"/>
      <c r="AC224" s="165"/>
      <c r="AD224" s="165"/>
      <c r="AE224" s="165"/>
      <c r="AF224" s="165"/>
      <c r="AG224" s="164"/>
      <c r="AH224" s="165"/>
      <c r="AI224" s="165"/>
      <c r="AJ224" s="165"/>
      <c r="AK224" s="165"/>
      <c r="AL224" s="164"/>
    </row>
    <row r="225" ht="10.5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4"/>
      <c r="N225" s="165"/>
      <c r="O225" s="165"/>
      <c r="P225" s="165"/>
      <c r="Q225" s="165"/>
      <c r="R225" s="164"/>
      <c r="S225" s="165"/>
      <c r="T225" s="165"/>
      <c r="U225" s="165"/>
      <c r="V225" s="165"/>
      <c r="W225" s="164"/>
      <c r="X225" s="165"/>
      <c r="Y225" s="165"/>
      <c r="Z225" s="165"/>
      <c r="AA225" s="165"/>
      <c r="AB225" s="164"/>
      <c r="AC225" s="165"/>
      <c r="AD225" s="165"/>
      <c r="AE225" s="165"/>
      <c r="AF225" s="165"/>
      <c r="AG225" s="164"/>
      <c r="AH225" s="165"/>
      <c r="AI225" s="165"/>
      <c r="AJ225" s="165"/>
      <c r="AK225" s="165"/>
      <c r="AL225" s="164"/>
    </row>
    <row r="226" ht="10.5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4"/>
      <c r="N226" s="165"/>
      <c r="O226" s="165"/>
      <c r="P226" s="165"/>
      <c r="Q226" s="165"/>
      <c r="R226" s="164"/>
      <c r="S226" s="165"/>
      <c r="T226" s="165"/>
      <c r="U226" s="165"/>
      <c r="V226" s="165"/>
      <c r="W226" s="164"/>
      <c r="X226" s="165"/>
      <c r="Y226" s="165"/>
      <c r="Z226" s="165"/>
      <c r="AA226" s="165"/>
      <c r="AB226" s="164"/>
      <c r="AC226" s="165"/>
      <c r="AD226" s="165"/>
      <c r="AE226" s="165"/>
      <c r="AF226" s="165"/>
      <c r="AG226" s="164"/>
      <c r="AH226" s="165"/>
      <c r="AI226" s="165"/>
      <c r="AJ226" s="165"/>
      <c r="AK226" s="165"/>
      <c r="AL226" s="164"/>
    </row>
    <row r="227" ht="10.5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4"/>
      <c r="N227" s="165"/>
      <c r="O227" s="165"/>
      <c r="P227" s="165"/>
      <c r="Q227" s="165"/>
      <c r="R227" s="164"/>
      <c r="S227" s="165"/>
      <c r="T227" s="165"/>
      <c r="U227" s="165"/>
      <c r="V227" s="165"/>
      <c r="W227" s="164"/>
      <c r="X227" s="165"/>
      <c r="Y227" s="165"/>
      <c r="Z227" s="165"/>
      <c r="AA227" s="165"/>
      <c r="AB227" s="164"/>
      <c r="AC227" s="165"/>
      <c r="AD227" s="165"/>
      <c r="AE227" s="165"/>
      <c r="AF227" s="165"/>
      <c r="AG227" s="164"/>
      <c r="AH227" s="165"/>
      <c r="AI227" s="165"/>
      <c r="AJ227" s="165"/>
      <c r="AK227" s="165"/>
      <c r="AL227" s="164"/>
    </row>
    <row r="228" ht="10.5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4"/>
      <c r="N228" s="165"/>
      <c r="O228" s="165"/>
      <c r="P228" s="165"/>
      <c r="Q228" s="165"/>
      <c r="R228" s="164"/>
      <c r="S228" s="165"/>
      <c r="T228" s="165"/>
      <c r="U228" s="165"/>
      <c r="V228" s="165"/>
      <c r="W228" s="164"/>
      <c r="X228" s="165"/>
      <c r="Y228" s="165"/>
      <c r="Z228" s="165"/>
      <c r="AA228" s="165"/>
      <c r="AB228" s="164"/>
      <c r="AC228" s="165"/>
      <c r="AD228" s="165"/>
      <c r="AE228" s="165"/>
      <c r="AF228" s="165"/>
      <c r="AG228" s="164"/>
      <c r="AH228" s="165"/>
      <c r="AI228" s="165"/>
      <c r="AJ228" s="165"/>
      <c r="AK228" s="165"/>
      <c r="AL228" s="164"/>
    </row>
    <row r="229" ht="10.5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65"/>
      <c r="K229" s="165"/>
      <c r="L229" s="165"/>
      <c r="M229" s="164"/>
      <c r="N229" s="165"/>
      <c r="O229" s="165"/>
      <c r="P229" s="165"/>
      <c r="Q229" s="165"/>
      <c r="R229" s="164"/>
      <c r="S229" s="165"/>
      <c r="T229" s="165"/>
      <c r="U229" s="165"/>
      <c r="V229" s="165"/>
      <c r="W229" s="164"/>
      <c r="X229" s="165"/>
      <c r="Y229" s="165"/>
      <c r="Z229" s="165"/>
      <c r="AA229" s="165"/>
      <c r="AB229" s="164"/>
      <c r="AC229" s="165"/>
      <c r="AD229" s="165"/>
      <c r="AE229" s="165"/>
      <c r="AF229" s="165"/>
      <c r="AG229" s="164"/>
      <c r="AH229" s="165"/>
      <c r="AI229" s="165"/>
      <c r="AJ229" s="165"/>
      <c r="AK229" s="165"/>
      <c r="AL229" s="164"/>
    </row>
    <row r="230" ht="10.5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65"/>
      <c r="K230" s="165"/>
      <c r="L230" s="165"/>
      <c r="M230" s="164"/>
      <c r="N230" s="165"/>
      <c r="O230" s="165"/>
      <c r="P230" s="165"/>
      <c r="Q230" s="165"/>
      <c r="R230" s="164"/>
      <c r="S230" s="165"/>
      <c r="T230" s="165"/>
      <c r="U230" s="165"/>
      <c r="V230" s="165"/>
      <c r="W230" s="164"/>
      <c r="X230" s="165"/>
      <c r="Y230" s="165"/>
      <c r="Z230" s="165"/>
      <c r="AA230" s="165"/>
      <c r="AB230" s="164"/>
      <c r="AC230" s="165"/>
      <c r="AD230" s="165"/>
      <c r="AE230" s="165"/>
      <c r="AF230" s="165"/>
      <c r="AG230" s="164"/>
      <c r="AH230" s="165"/>
      <c r="AI230" s="165"/>
      <c r="AJ230" s="165"/>
      <c r="AK230" s="165"/>
      <c r="AL230" s="164"/>
    </row>
    <row r="231" ht="10.5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65"/>
      <c r="M231" s="164"/>
      <c r="N231" s="165"/>
      <c r="O231" s="165"/>
      <c r="P231" s="165"/>
      <c r="Q231" s="165"/>
      <c r="R231" s="164"/>
      <c r="S231" s="165"/>
      <c r="T231" s="165"/>
      <c r="U231" s="165"/>
      <c r="V231" s="165"/>
      <c r="W231" s="164"/>
      <c r="X231" s="165"/>
      <c r="Y231" s="165"/>
      <c r="Z231" s="165"/>
      <c r="AA231" s="165"/>
      <c r="AB231" s="164"/>
      <c r="AC231" s="165"/>
      <c r="AD231" s="165"/>
      <c r="AE231" s="165"/>
      <c r="AF231" s="165"/>
      <c r="AG231" s="164"/>
      <c r="AH231" s="165"/>
      <c r="AI231" s="165"/>
      <c r="AJ231" s="165"/>
      <c r="AK231" s="165"/>
      <c r="AL231" s="164"/>
    </row>
    <row r="232" ht="10.5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65"/>
      <c r="M232" s="164"/>
      <c r="N232" s="165"/>
      <c r="O232" s="165"/>
      <c r="P232" s="165"/>
      <c r="Q232" s="165"/>
      <c r="R232" s="164"/>
      <c r="S232" s="165"/>
      <c r="T232" s="165"/>
      <c r="U232" s="165"/>
      <c r="V232" s="165"/>
      <c r="W232" s="164"/>
      <c r="X232" s="165"/>
      <c r="Y232" s="165"/>
      <c r="Z232" s="165"/>
      <c r="AA232" s="165"/>
      <c r="AB232" s="164"/>
      <c r="AC232" s="165"/>
      <c r="AD232" s="165"/>
      <c r="AE232" s="165"/>
      <c r="AF232" s="165"/>
      <c r="AG232" s="164"/>
      <c r="AH232" s="165"/>
      <c r="AI232" s="165"/>
      <c r="AJ232" s="165"/>
      <c r="AK232" s="165"/>
      <c r="AL232" s="164"/>
    </row>
    <row r="233" ht="10.5" customHeight="1">
      <c r="A233" s="164"/>
      <c r="B233" s="165"/>
      <c r="C233" s="165"/>
      <c r="D233" s="165"/>
      <c r="E233" s="165"/>
      <c r="F233" s="165"/>
      <c r="G233" s="165"/>
      <c r="H233" s="165"/>
      <c r="I233" s="165"/>
      <c r="J233" s="165"/>
      <c r="K233" s="165"/>
      <c r="L233" s="165"/>
      <c r="M233" s="164"/>
      <c r="N233" s="165"/>
      <c r="O233" s="165"/>
      <c r="P233" s="165"/>
      <c r="Q233" s="165"/>
      <c r="R233" s="164"/>
      <c r="S233" s="165"/>
      <c r="T233" s="165"/>
      <c r="U233" s="165"/>
      <c r="V233" s="165"/>
      <c r="W233" s="164"/>
      <c r="X233" s="165"/>
      <c r="Y233" s="165"/>
      <c r="Z233" s="165"/>
      <c r="AA233" s="165"/>
      <c r="AB233" s="164"/>
      <c r="AC233" s="165"/>
      <c r="AD233" s="165"/>
      <c r="AE233" s="165"/>
      <c r="AF233" s="165"/>
      <c r="AG233" s="164"/>
      <c r="AH233" s="165"/>
      <c r="AI233" s="165"/>
      <c r="AJ233" s="165"/>
      <c r="AK233" s="165"/>
      <c r="AL233" s="164"/>
    </row>
    <row r="234" ht="10.5" customHeight="1">
      <c r="A234" s="164"/>
      <c r="B234" s="165"/>
      <c r="C234" s="165"/>
      <c r="D234" s="165"/>
      <c r="E234" s="165"/>
      <c r="F234" s="165"/>
      <c r="G234" s="165"/>
      <c r="H234" s="165"/>
      <c r="I234" s="165"/>
      <c r="J234" s="165"/>
      <c r="K234" s="165"/>
      <c r="L234" s="165"/>
      <c r="M234" s="164"/>
      <c r="N234" s="165"/>
      <c r="O234" s="165"/>
      <c r="P234" s="165"/>
      <c r="Q234" s="165"/>
      <c r="R234" s="164"/>
      <c r="S234" s="165"/>
      <c r="T234" s="165"/>
      <c r="U234" s="165"/>
      <c r="V234" s="165"/>
      <c r="W234" s="164"/>
      <c r="X234" s="165"/>
      <c r="Y234" s="165"/>
      <c r="Z234" s="165"/>
      <c r="AA234" s="165"/>
      <c r="AB234" s="164"/>
      <c r="AC234" s="165"/>
      <c r="AD234" s="165"/>
      <c r="AE234" s="165"/>
      <c r="AF234" s="165"/>
      <c r="AG234" s="164"/>
      <c r="AH234" s="165"/>
      <c r="AI234" s="165"/>
      <c r="AJ234" s="165"/>
      <c r="AK234" s="165"/>
      <c r="AL234" s="164"/>
    </row>
    <row r="235" ht="10.5" customHeight="1">
      <c r="A235" s="164"/>
      <c r="B235" s="165"/>
      <c r="C235" s="165"/>
      <c r="D235" s="165"/>
      <c r="E235" s="165"/>
      <c r="F235" s="165"/>
      <c r="G235" s="165"/>
      <c r="H235" s="165"/>
      <c r="I235" s="165"/>
      <c r="J235" s="165"/>
      <c r="K235" s="165"/>
      <c r="L235" s="165"/>
      <c r="M235" s="164"/>
      <c r="N235" s="165"/>
      <c r="O235" s="165"/>
      <c r="P235" s="165"/>
      <c r="Q235" s="165"/>
      <c r="R235" s="164"/>
      <c r="S235" s="165"/>
      <c r="T235" s="165"/>
      <c r="U235" s="165"/>
      <c r="V235" s="165"/>
      <c r="W235" s="164"/>
      <c r="X235" s="165"/>
      <c r="Y235" s="165"/>
      <c r="Z235" s="165"/>
      <c r="AA235" s="165"/>
      <c r="AB235" s="164"/>
      <c r="AC235" s="165"/>
      <c r="AD235" s="165"/>
      <c r="AE235" s="165"/>
      <c r="AF235" s="165"/>
      <c r="AG235" s="164"/>
      <c r="AH235" s="165"/>
      <c r="AI235" s="165"/>
      <c r="AJ235" s="165"/>
      <c r="AK235" s="165"/>
      <c r="AL235" s="164"/>
    </row>
    <row r="236" ht="10.5" customHeight="1">
      <c r="A236" s="164"/>
      <c r="B236" s="165"/>
      <c r="C236" s="165"/>
      <c r="D236" s="165"/>
      <c r="E236" s="165"/>
      <c r="F236" s="165"/>
      <c r="G236" s="165"/>
      <c r="H236" s="165"/>
      <c r="I236" s="165"/>
      <c r="J236" s="165"/>
      <c r="K236" s="165"/>
      <c r="L236" s="165"/>
      <c r="M236" s="164"/>
      <c r="N236" s="165"/>
      <c r="O236" s="165"/>
      <c r="P236" s="165"/>
      <c r="Q236" s="165"/>
      <c r="R236" s="164"/>
      <c r="S236" s="165"/>
      <c r="T236" s="165"/>
      <c r="U236" s="165"/>
      <c r="V236" s="165"/>
      <c r="W236" s="164"/>
      <c r="X236" s="165"/>
      <c r="Y236" s="165"/>
      <c r="Z236" s="165"/>
      <c r="AA236" s="165"/>
      <c r="AB236" s="164"/>
      <c r="AC236" s="165"/>
      <c r="AD236" s="165"/>
      <c r="AE236" s="165"/>
      <c r="AF236" s="165"/>
      <c r="AG236" s="164"/>
      <c r="AH236" s="165"/>
      <c r="AI236" s="165"/>
      <c r="AJ236" s="165"/>
      <c r="AK236" s="165"/>
      <c r="AL236" s="164"/>
    </row>
    <row r="237" ht="10.5" customHeight="1">
      <c r="A237" s="164"/>
      <c r="B237" s="165"/>
      <c r="C237" s="165"/>
      <c r="D237" s="165"/>
      <c r="E237" s="165"/>
      <c r="F237" s="165"/>
      <c r="G237" s="165"/>
      <c r="H237" s="165"/>
      <c r="I237" s="165"/>
      <c r="J237" s="165"/>
      <c r="K237" s="165"/>
      <c r="L237" s="165"/>
      <c r="M237" s="164"/>
      <c r="N237" s="165"/>
      <c r="O237" s="165"/>
      <c r="P237" s="165"/>
      <c r="Q237" s="165"/>
      <c r="R237" s="164"/>
      <c r="S237" s="165"/>
      <c r="T237" s="165"/>
      <c r="U237" s="165"/>
      <c r="V237" s="165"/>
      <c r="W237" s="164"/>
      <c r="X237" s="165"/>
      <c r="Y237" s="165"/>
      <c r="Z237" s="165"/>
      <c r="AA237" s="165"/>
      <c r="AB237" s="164"/>
      <c r="AC237" s="165"/>
      <c r="AD237" s="165"/>
      <c r="AE237" s="165"/>
      <c r="AF237" s="165"/>
      <c r="AG237" s="164"/>
      <c r="AH237" s="165"/>
      <c r="AI237" s="165"/>
      <c r="AJ237" s="165"/>
      <c r="AK237" s="165"/>
      <c r="AL237" s="164"/>
    </row>
    <row r="238" ht="10.5" customHeight="1">
      <c r="A238" s="164"/>
      <c r="B238" s="165"/>
      <c r="C238" s="165"/>
      <c r="D238" s="165"/>
      <c r="E238" s="165"/>
      <c r="F238" s="165"/>
      <c r="G238" s="165"/>
      <c r="H238" s="165"/>
      <c r="I238" s="165"/>
      <c r="J238" s="165"/>
      <c r="K238" s="165"/>
      <c r="L238" s="165"/>
      <c r="M238" s="164"/>
      <c r="N238" s="165"/>
      <c r="O238" s="165"/>
      <c r="P238" s="165"/>
      <c r="Q238" s="165"/>
      <c r="R238" s="164"/>
      <c r="S238" s="165"/>
      <c r="T238" s="165"/>
      <c r="U238" s="165"/>
      <c r="V238" s="165"/>
      <c r="W238" s="164"/>
      <c r="X238" s="165"/>
      <c r="Y238" s="165"/>
      <c r="Z238" s="165"/>
      <c r="AA238" s="165"/>
      <c r="AB238" s="164"/>
      <c r="AC238" s="165"/>
      <c r="AD238" s="165"/>
      <c r="AE238" s="165"/>
      <c r="AF238" s="165"/>
      <c r="AG238" s="164"/>
      <c r="AH238" s="165"/>
      <c r="AI238" s="165"/>
      <c r="AJ238" s="165"/>
      <c r="AK238" s="165"/>
      <c r="AL238" s="164"/>
    </row>
    <row r="239" ht="10.5" customHeight="1">
      <c r="A239" s="164"/>
      <c r="B239" s="165"/>
      <c r="C239" s="165"/>
      <c r="D239" s="165"/>
      <c r="E239" s="165"/>
      <c r="F239" s="165"/>
      <c r="G239" s="165"/>
      <c r="H239" s="165"/>
      <c r="I239" s="165"/>
      <c r="J239" s="165"/>
      <c r="K239" s="165"/>
      <c r="L239" s="165"/>
      <c r="M239" s="164"/>
      <c r="N239" s="165"/>
      <c r="O239" s="165"/>
      <c r="P239" s="165"/>
      <c r="Q239" s="165"/>
      <c r="R239" s="164"/>
      <c r="S239" s="165"/>
      <c r="T239" s="165"/>
      <c r="U239" s="165"/>
      <c r="V239" s="165"/>
      <c r="W239" s="164"/>
      <c r="X239" s="165"/>
      <c r="Y239" s="165"/>
      <c r="Z239" s="165"/>
      <c r="AA239" s="165"/>
      <c r="AB239" s="164"/>
      <c r="AC239" s="165"/>
      <c r="AD239" s="165"/>
      <c r="AE239" s="165"/>
      <c r="AF239" s="165"/>
      <c r="AG239" s="164"/>
      <c r="AH239" s="165"/>
      <c r="AI239" s="165"/>
      <c r="AJ239" s="165"/>
      <c r="AK239" s="165"/>
      <c r="AL239" s="164"/>
    </row>
    <row r="240" ht="10.5" customHeight="1">
      <c r="A240" s="164"/>
      <c r="B240" s="165"/>
      <c r="C240" s="165"/>
      <c r="D240" s="165"/>
      <c r="E240" s="165"/>
      <c r="F240" s="165"/>
      <c r="G240" s="165"/>
      <c r="H240" s="165"/>
      <c r="I240" s="165"/>
      <c r="J240" s="165"/>
      <c r="K240" s="165"/>
      <c r="L240" s="165"/>
      <c r="M240" s="164"/>
      <c r="N240" s="165"/>
      <c r="O240" s="165"/>
      <c r="P240" s="165"/>
      <c r="Q240" s="165"/>
      <c r="R240" s="164"/>
      <c r="S240" s="165"/>
      <c r="T240" s="165"/>
      <c r="U240" s="165"/>
      <c r="V240" s="165"/>
      <c r="W240" s="164"/>
      <c r="X240" s="165"/>
      <c r="Y240" s="165"/>
      <c r="Z240" s="165"/>
      <c r="AA240" s="165"/>
      <c r="AB240" s="164"/>
      <c r="AC240" s="165"/>
      <c r="AD240" s="165"/>
      <c r="AE240" s="165"/>
      <c r="AF240" s="165"/>
      <c r="AG240" s="164"/>
      <c r="AH240" s="165"/>
      <c r="AI240" s="165"/>
      <c r="AJ240" s="165"/>
      <c r="AK240" s="165"/>
      <c r="AL240" s="164"/>
    </row>
    <row r="241" ht="10.5" customHeight="1">
      <c r="A241" s="164"/>
      <c r="B241" s="165"/>
      <c r="C241" s="165"/>
      <c r="D241" s="165"/>
      <c r="E241" s="165"/>
      <c r="F241" s="165"/>
      <c r="G241" s="165"/>
      <c r="H241" s="165"/>
      <c r="I241" s="165"/>
      <c r="J241" s="165"/>
      <c r="K241" s="165"/>
      <c r="L241" s="165"/>
      <c r="M241" s="164"/>
      <c r="N241" s="165"/>
      <c r="O241" s="165"/>
      <c r="P241" s="165"/>
      <c r="Q241" s="165"/>
      <c r="R241" s="164"/>
      <c r="S241" s="165"/>
      <c r="T241" s="165"/>
      <c r="U241" s="165"/>
      <c r="V241" s="165"/>
      <c r="W241" s="164"/>
      <c r="X241" s="165"/>
      <c r="Y241" s="165"/>
      <c r="Z241" s="165"/>
      <c r="AA241" s="165"/>
      <c r="AB241" s="164"/>
      <c r="AC241" s="165"/>
      <c r="AD241" s="165"/>
      <c r="AE241" s="165"/>
      <c r="AF241" s="165"/>
      <c r="AG241" s="164"/>
      <c r="AH241" s="165"/>
      <c r="AI241" s="165"/>
      <c r="AJ241" s="165"/>
      <c r="AK241" s="165"/>
      <c r="AL241" s="164"/>
    </row>
    <row r="242" ht="10.5" customHeight="1">
      <c r="A242" s="164"/>
      <c r="B242" s="165"/>
      <c r="C242" s="165"/>
      <c r="D242" s="165"/>
      <c r="E242" s="165"/>
      <c r="F242" s="165"/>
      <c r="G242" s="165"/>
      <c r="H242" s="165"/>
      <c r="I242" s="165"/>
      <c r="J242" s="165"/>
      <c r="K242" s="165"/>
      <c r="L242" s="165"/>
      <c r="M242" s="164"/>
      <c r="N242" s="165"/>
      <c r="O242" s="165"/>
      <c r="P242" s="165"/>
      <c r="Q242" s="165"/>
      <c r="R242" s="164"/>
      <c r="S242" s="165"/>
      <c r="T242" s="165"/>
      <c r="U242" s="165"/>
      <c r="V242" s="165"/>
      <c r="W242" s="164"/>
      <c r="X242" s="165"/>
      <c r="Y242" s="165"/>
      <c r="Z242" s="165"/>
      <c r="AA242" s="165"/>
      <c r="AB242" s="164"/>
      <c r="AC242" s="165"/>
      <c r="AD242" s="165"/>
      <c r="AE242" s="165"/>
      <c r="AF242" s="165"/>
      <c r="AG242" s="164"/>
      <c r="AH242" s="165"/>
      <c r="AI242" s="165"/>
      <c r="AJ242" s="165"/>
      <c r="AK242" s="165"/>
      <c r="AL242" s="164"/>
    </row>
    <row r="243" ht="10.5" customHeight="1">
      <c r="A243" s="164"/>
      <c r="B243" s="165"/>
      <c r="C243" s="165"/>
      <c r="D243" s="165"/>
      <c r="E243" s="165"/>
      <c r="F243" s="165"/>
      <c r="G243" s="165"/>
      <c r="H243" s="165"/>
      <c r="I243" s="165"/>
      <c r="J243" s="165"/>
      <c r="K243" s="165"/>
      <c r="L243" s="165"/>
      <c r="M243" s="164"/>
      <c r="N243" s="165"/>
      <c r="O243" s="165"/>
      <c r="P243" s="165"/>
      <c r="Q243" s="165"/>
      <c r="R243" s="164"/>
      <c r="S243" s="165"/>
      <c r="T243" s="165"/>
      <c r="U243" s="165"/>
      <c r="V243" s="165"/>
      <c r="W243" s="164"/>
      <c r="X243" s="165"/>
      <c r="Y243" s="165"/>
      <c r="Z243" s="165"/>
      <c r="AA243" s="165"/>
      <c r="AB243" s="164"/>
      <c r="AC243" s="165"/>
      <c r="AD243" s="165"/>
      <c r="AE243" s="165"/>
      <c r="AF243" s="165"/>
      <c r="AG243" s="164"/>
      <c r="AH243" s="165"/>
      <c r="AI243" s="165"/>
      <c r="AJ243" s="165"/>
      <c r="AK243" s="165"/>
      <c r="AL243" s="164"/>
    </row>
    <row r="244" ht="10.5" customHeight="1">
      <c r="A244" s="164"/>
      <c r="B244" s="165"/>
      <c r="C244" s="165"/>
      <c r="D244" s="165"/>
      <c r="E244" s="165"/>
      <c r="F244" s="165"/>
      <c r="G244" s="165"/>
      <c r="H244" s="165"/>
      <c r="I244" s="165"/>
      <c r="J244" s="165"/>
      <c r="K244" s="165"/>
      <c r="L244" s="165"/>
      <c r="M244" s="164"/>
      <c r="N244" s="165"/>
      <c r="O244" s="165"/>
      <c r="P244" s="165"/>
      <c r="Q244" s="165"/>
      <c r="R244" s="164"/>
      <c r="S244" s="165"/>
      <c r="T244" s="165"/>
      <c r="U244" s="165"/>
      <c r="V244" s="165"/>
      <c r="W244" s="164"/>
      <c r="X244" s="165"/>
      <c r="Y244" s="165"/>
      <c r="Z244" s="165"/>
      <c r="AA244" s="165"/>
      <c r="AB244" s="164"/>
      <c r="AC244" s="165"/>
      <c r="AD244" s="165"/>
      <c r="AE244" s="165"/>
      <c r="AF244" s="165"/>
      <c r="AG244" s="164"/>
      <c r="AH244" s="165"/>
      <c r="AI244" s="165"/>
      <c r="AJ244" s="165"/>
      <c r="AK244" s="165"/>
      <c r="AL244" s="164"/>
    </row>
    <row r="245" ht="10.5" customHeight="1">
      <c r="A245" s="164"/>
      <c r="B245" s="165"/>
      <c r="C245" s="165"/>
      <c r="D245" s="165"/>
      <c r="E245" s="165"/>
      <c r="F245" s="165"/>
      <c r="G245" s="165"/>
      <c r="H245" s="165"/>
      <c r="I245" s="165"/>
      <c r="J245" s="165"/>
      <c r="K245" s="165"/>
      <c r="L245" s="165"/>
      <c r="M245" s="164"/>
      <c r="N245" s="165"/>
      <c r="O245" s="165"/>
      <c r="P245" s="165"/>
      <c r="Q245" s="165"/>
      <c r="R245" s="164"/>
      <c r="S245" s="165"/>
      <c r="T245" s="165"/>
      <c r="U245" s="165"/>
      <c r="V245" s="165"/>
      <c r="W245" s="164"/>
      <c r="X245" s="165"/>
      <c r="Y245" s="165"/>
      <c r="Z245" s="165"/>
      <c r="AA245" s="165"/>
      <c r="AB245" s="164"/>
      <c r="AC245" s="165"/>
      <c r="AD245" s="165"/>
      <c r="AE245" s="165"/>
      <c r="AF245" s="165"/>
      <c r="AG245" s="164"/>
      <c r="AH245" s="165"/>
      <c r="AI245" s="165"/>
      <c r="AJ245" s="165"/>
      <c r="AK245" s="165"/>
      <c r="AL245" s="164"/>
    </row>
    <row r="246" ht="10.5" customHeight="1">
      <c r="A246" s="164"/>
      <c r="B246" s="165"/>
      <c r="C246" s="165"/>
      <c r="D246" s="165"/>
      <c r="E246" s="165"/>
      <c r="F246" s="165"/>
      <c r="G246" s="165"/>
      <c r="H246" s="165"/>
      <c r="I246" s="165"/>
      <c r="J246" s="165"/>
      <c r="K246" s="165"/>
      <c r="L246" s="165"/>
      <c r="M246" s="164"/>
      <c r="N246" s="165"/>
      <c r="O246" s="165"/>
      <c r="P246" s="165"/>
      <c r="Q246" s="165"/>
      <c r="R246" s="164"/>
      <c r="S246" s="165"/>
      <c r="T246" s="165"/>
      <c r="U246" s="165"/>
      <c r="V246" s="165"/>
      <c r="W246" s="164"/>
      <c r="X246" s="165"/>
      <c r="Y246" s="165"/>
      <c r="Z246" s="165"/>
      <c r="AA246" s="165"/>
      <c r="AB246" s="164"/>
      <c r="AC246" s="165"/>
      <c r="AD246" s="165"/>
      <c r="AE246" s="165"/>
      <c r="AF246" s="165"/>
      <c r="AG246" s="164"/>
      <c r="AH246" s="165"/>
      <c r="AI246" s="165"/>
      <c r="AJ246" s="165"/>
      <c r="AK246" s="165"/>
      <c r="AL246" s="164"/>
    </row>
    <row r="247" ht="10.5" customHeight="1">
      <c r="A247" s="164"/>
      <c r="B247" s="165"/>
      <c r="C247" s="165"/>
      <c r="D247" s="165"/>
      <c r="E247" s="165"/>
      <c r="F247" s="165"/>
      <c r="G247" s="165"/>
      <c r="H247" s="165"/>
      <c r="I247" s="165"/>
      <c r="J247" s="165"/>
      <c r="K247" s="165"/>
      <c r="L247" s="165"/>
      <c r="M247" s="164"/>
      <c r="N247" s="165"/>
      <c r="O247" s="165"/>
      <c r="P247" s="165"/>
      <c r="Q247" s="165"/>
      <c r="R247" s="164"/>
      <c r="S247" s="165"/>
      <c r="T247" s="165"/>
      <c r="U247" s="165"/>
      <c r="V247" s="165"/>
      <c r="W247" s="164"/>
      <c r="X247" s="165"/>
      <c r="Y247" s="165"/>
      <c r="Z247" s="165"/>
      <c r="AA247" s="165"/>
      <c r="AB247" s="164"/>
      <c r="AC247" s="165"/>
      <c r="AD247" s="165"/>
      <c r="AE247" s="165"/>
      <c r="AF247" s="165"/>
      <c r="AG247" s="164"/>
      <c r="AH247" s="165"/>
      <c r="AI247" s="165"/>
      <c r="AJ247" s="165"/>
      <c r="AK247" s="165"/>
      <c r="AL247" s="164"/>
    </row>
    <row r="248" ht="10.5" customHeight="1">
      <c r="A248" s="164"/>
      <c r="B248" s="165"/>
      <c r="C248" s="165"/>
      <c r="D248" s="165"/>
      <c r="E248" s="165"/>
      <c r="F248" s="165"/>
      <c r="G248" s="165"/>
      <c r="H248" s="165"/>
      <c r="I248" s="165"/>
      <c r="J248" s="165"/>
      <c r="K248" s="165"/>
      <c r="L248" s="165"/>
      <c r="M248" s="164"/>
      <c r="N248" s="165"/>
      <c r="O248" s="165"/>
      <c r="P248" s="165"/>
      <c r="Q248" s="165"/>
      <c r="R248" s="164"/>
      <c r="S248" s="165"/>
      <c r="T248" s="165"/>
      <c r="U248" s="165"/>
      <c r="V248" s="165"/>
      <c r="W248" s="164"/>
      <c r="X248" s="165"/>
      <c r="Y248" s="165"/>
      <c r="Z248" s="165"/>
      <c r="AA248" s="165"/>
      <c r="AB248" s="164"/>
      <c r="AC248" s="165"/>
      <c r="AD248" s="165"/>
      <c r="AE248" s="165"/>
      <c r="AF248" s="165"/>
      <c r="AG248" s="164"/>
      <c r="AH248" s="165"/>
      <c r="AI248" s="165"/>
      <c r="AJ248" s="165"/>
      <c r="AK248" s="165"/>
      <c r="AL248" s="164"/>
    </row>
    <row r="249" ht="10.5" customHeight="1">
      <c r="A249" s="164"/>
      <c r="B249" s="165"/>
      <c r="C249" s="165"/>
      <c r="D249" s="165"/>
      <c r="E249" s="165"/>
      <c r="F249" s="165"/>
      <c r="G249" s="165"/>
      <c r="H249" s="165"/>
      <c r="I249" s="165"/>
      <c r="J249" s="165"/>
      <c r="K249" s="165"/>
      <c r="L249" s="165"/>
      <c r="M249" s="164"/>
      <c r="N249" s="165"/>
      <c r="O249" s="165"/>
      <c r="P249" s="165"/>
      <c r="Q249" s="165"/>
      <c r="R249" s="164"/>
      <c r="S249" s="165"/>
      <c r="T249" s="165"/>
      <c r="U249" s="165"/>
      <c r="V249" s="165"/>
      <c r="W249" s="164"/>
      <c r="X249" s="165"/>
      <c r="Y249" s="165"/>
      <c r="Z249" s="165"/>
      <c r="AA249" s="165"/>
      <c r="AB249" s="164"/>
      <c r="AC249" s="165"/>
      <c r="AD249" s="165"/>
      <c r="AE249" s="165"/>
      <c r="AF249" s="165"/>
      <c r="AG249" s="164"/>
      <c r="AH249" s="165"/>
      <c r="AI249" s="165"/>
      <c r="AJ249" s="165"/>
      <c r="AK249" s="165"/>
      <c r="AL249" s="164"/>
    </row>
    <row r="250" ht="10.5" customHeight="1">
      <c r="A250" s="164"/>
      <c r="B250" s="165"/>
      <c r="C250" s="165"/>
      <c r="D250" s="165"/>
      <c r="E250" s="165"/>
      <c r="F250" s="165"/>
      <c r="G250" s="165"/>
      <c r="H250" s="165"/>
      <c r="I250" s="165"/>
      <c r="J250" s="165"/>
      <c r="K250" s="165"/>
      <c r="L250" s="165"/>
      <c r="M250" s="164"/>
      <c r="N250" s="165"/>
      <c r="O250" s="165"/>
      <c r="P250" s="165"/>
      <c r="Q250" s="165"/>
      <c r="R250" s="164"/>
      <c r="S250" s="165"/>
      <c r="T250" s="165"/>
      <c r="U250" s="165"/>
      <c r="V250" s="165"/>
      <c r="W250" s="164"/>
      <c r="X250" s="165"/>
      <c r="Y250" s="165"/>
      <c r="Z250" s="165"/>
      <c r="AA250" s="165"/>
      <c r="AB250" s="164"/>
      <c r="AC250" s="165"/>
      <c r="AD250" s="165"/>
      <c r="AE250" s="165"/>
      <c r="AF250" s="165"/>
      <c r="AG250" s="164"/>
      <c r="AH250" s="165"/>
      <c r="AI250" s="165"/>
      <c r="AJ250" s="165"/>
      <c r="AK250" s="165"/>
      <c r="AL250" s="164"/>
    </row>
    <row r="251" ht="10.5" customHeight="1">
      <c r="A251" s="164"/>
      <c r="B251" s="165"/>
      <c r="C251" s="165"/>
      <c r="D251" s="165"/>
      <c r="E251" s="165"/>
      <c r="F251" s="165"/>
      <c r="G251" s="165"/>
      <c r="H251" s="165"/>
      <c r="I251" s="165"/>
      <c r="J251" s="165"/>
      <c r="K251" s="165"/>
      <c r="L251" s="165"/>
      <c r="M251" s="164"/>
      <c r="N251" s="165"/>
      <c r="O251" s="165"/>
      <c r="P251" s="165"/>
      <c r="Q251" s="165"/>
      <c r="R251" s="164"/>
      <c r="S251" s="165"/>
      <c r="T251" s="165"/>
      <c r="U251" s="165"/>
      <c r="V251" s="165"/>
      <c r="W251" s="164"/>
      <c r="X251" s="165"/>
      <c r="Y251" s="165"/>
      <c r="Z251" s="165"/>
      <c r="AA251" s="165"/>
      <c r="AB251" s="164"/>
      <c r="AC251" s="165"/>
      <c r="AD251" s="165"/>
      <c r="AE251" s="165"/>
      <c r="AF251" s="165"/>
      <c r="AG251" s="164"/>
      <c r="AH251" s="165"/>
      <c r="AI251" s="165"/>
      <c r="AJ251" s="165"/>
      <c r="AK251" s="165"/>
      <c r="AL251" s="164"/>
    </row>
    <row r="252" ht="10.5" customHeight="1">
      <c r="A252" s="164"/>
      <c r="B252" s="165"/>
      <c r="C252" s="165"/>
      <c r="D252" s="165"/>
      <c r="E252" s="165"/>
      <c r="F252" s="165"/>
      <c r="G252" s="165"/>
      <c r="H252" s="165"/>
      <c r="I252" s="165"/>
      <c r="J252" s="165"/>
      <c r="K252" s="165"/>
      <c r="L252" s="165"/>
      <c r="M252" s="164"/>
      <c r="N252" s="165"/>
      <c r="O252" s="165"/>
      <c r="P252" s="165"/>
      <c r="Q252" s="165"/>
      <c r="R252" s="164"/>
      <c r="S252" s="165"/>
      <c r="T252" s="165"/>
      <c r="U252" s="165"/>
      <c r="V252" s="165"/>
      <c r="W252" s="164"/>
      <c r="X252" s="165"/>
      <c r="Y252" s="165"/>
      <c r="Z252" s="165"/>
      <c r="AA252" s="165"/>
      <c r="AB252" s="164"/>
      <c r="AC252" s="165"/>
      <c r="AD252" s="165"/>
      <c r="AE252" s="165"/>
      <c r="AF252" s="165"/>
      <c r="AG252" s="164"/>
      <c r="AH252" s="165"/>
      <c r="AI252" s="165"/>
      <c r="AJ252" s="165"/>
      <c r="AK252" s="165"/>
      <c r="AL252" s="164"/>
    </row>
    <row r="253" ht="10.5" customHeight="1">
      <c r="A253" s="164"/>
      <c r="B253" s="165"/>
      <c r="C253" s="165"/>
      <c r="D253" s="165"/>
      <c r="E253" s="165"/>
      <c r="F253" s="165"/>
      <c r="G253" s="165"/>
      <c r="H253" s="165"/>
      <c r="I253" s="165"/>
      <c r="J253" s="165"/>
      <c r="K253" s="165"/>
      <c r="L253" s="165"/>
      <c r="M253" s="164"/>
      <c r="N253" s="165"/>
      <c r="O253" s="165"/>
      <c r="P253" s="165"/>
      <c r="Q253" s="165"/>
      <c r="R253" s="164"/>
      <c r="S253" s="165"/>
      <c r="T253" s="165"/>
      <c r="U253" s="165"/>
      <c r="V253" s="165"/>
      <c r="W253" s="164"/>
      <c r="X253" s="165"/>
      <c r="Y253" s="165"/>
      <c r="Z253" s="165"/>
      <c r="AA253" s="165"/>
      <c r="AB253" s="164"/>
      <c r="AC253" s="165"/>
      <c r="AD253" s="165"/>
      <c r="AE253" s="165"/>
      <c r="AF253" s="165"/>
      <c r="AG253" s="164"/>
      <c r="AH253" s="165"/>
      <c r="AI253" s="165"/>
      <c r="AJ253" s="165"/>
      <c r="AK253" s="165"/>
      <c r="AL253" s="164"/>
    </row>
    <row r="254" ht="10.5" customHeight="1">
      <c r="A254" s="164"/>
      <c r="B254" s="165"/>
      <c r="C254" s="165"/>
      <c r="D254" s="165"/>
      <c r="E254" s="165"/>
      <c r="F254" s="165"/>
      <c r="G254" s="165"/>
      <c r="H254" s="165"/>
      <c r="I254" s="165"/>
      <c r="J254" s="165"/>
      <c r="K254" s="165"/>
      <c r="L254" s="165"/>
      <c r="M254" s="164"/>
      <c r="N254" s="165"/>
      <c r="O254" s="165"/>
      <c r="P254" s="165"/>
      <c r="Q254" s="165"/>
      <c r="R254" s="164"/>
      <c r="S254" s="165"/>
      <c r="T254" s="165"/>
      <c r="U254" s="165"/>
      <c r="V254" s="165"/>
      <c r="W254" s="164"/>
      <c r="X254" s="165"/>
      <c r="Y254" s="165"/>
      <c r="Z254" s="165"/>
      <c r="AA254" s="165"/>
      <c r="AB254" s="164"/>
      <c r="AC254" s="165"/>
      <c r="AD254" s="165"/>
      <c r="AE254" s="165"/>
      <c r="AF254" s="165"/>
      <c r="AG254" s="164"/>
      <c r="AH254" s="165"/>
      <c r="AI254" s="165"/>
      <c r="AJ254" s="165"/>
      <c r="AK254" s="165"/>
      <c r="AL254" s="164"/>
    </row>
    <row r="255" ht="10.5" customHeight="1">
      <c r="A255" s="164"/>
      <c r="B255" s="165"/>
      <c r="C255" s="165"/>
      <c r="D255" s="165"/>
      <c r="E255" s="165"/>
      <c r="F255" s="165"/>
      <c r="G255" s="165"/>
      <c r="H255" s="165"/>
      <c r="I255" s="165"/>
      <c r="J255" s="165"/>
      <c r="K255" s="165"/>
      <c r="L255" s="165"/>
      <c r="M255" s="164"/>
      <c r="N255" s="165"/>
      <c r="O255" s="165"/>
      <c r="P255" s="165"/>
      <c r="Q255" s="165"/>
      <c r="R255" s="164"/>
      <c r="S255" s="165"/>
      <c r="T255" s="165"/>
      <c r="U255" s="165"/>
      <c r="V255" s="165"/>
      <c r="W255" s="164"/>
      <c r="X255" s="165"/>
      <c r="Y255" s="165"/>
      <c r="Z255" s="165"/>
      <c r="AA255" s="165"/>
      <c r="AB255" s="164"/>
      <c r="AC255" s="165"/>
      <c r="AD255" s="165"/>
      <c r="AE255" s="165"/>
      <c r="AF255" s="165"/>
      <c r="AG255" s="164"/>
      <c r="AH255" s="165"/>
      <c r="AI255" s="165"/>
      <c r="AJ255" s="165"/>
      <c r="AK255" s="165"/>
      <c r="AL255" s="164"/>
    </row>
    <row r="256" ht="10.5" customHeight="1">
      <c r="A256" s="164"/>
      <c r="B256" s="165"/>
      <c r="C256" s="165"/>
      <c r="D256" s="165"/>
      <c r="E256" s="165"/>
      <c r="F256" s="165"/>
      <c r="G256" s="165"/>
      <c r="H256" s="165"/>
      <c r="I256" s="165"/>
      <c r="J256" s="165"/>
      <c r="K256" s="165"/>
      <c r="L256" s="165"/>
      <c r="M256" s="164"/>
      <c r="N256" s="165"/>
      <c r="O256" s="165"/>
      <c r="P256" s="165"/>
      <c r="Q256" s="165"/>
      <c r="R256" s="164"/>
      <c r="S256" s="165"/>
      <c r="T256" s="165"/>
      <c r="U256" s="165"/>
      <c r="V256" s="165"/>
      <c r="W256" s="164"/>
      <c r="X256" s="165"/>
      <c r="Y256" s="165"/>
      <c r="Z256" s="165"/>
      <c r="AA256" s="165"/>
      <c r="AB256" s="164"/>
      <c r="AC256" s="165"/>
      <c r="AD256" s="165"/>
      <c r="AE256" s="165"/>
      <c r="AF256" s="165"/>
      <c r="AG256" s="164"/>
      <c r="AH256" s="165"/>
      <c r="AI256" s="165"/>
      <c r="AJ256" s="165"/>
      <c r="AK256" s="165"/>
      <c r="AL256" s="164"/>
    </row>
    <row r="257" ht="10.5" customHeight="1">
      <c r="A257" s="164"/>
      <c r="B257" s="165"/>
      <c r="C257" s="165"/>
      <c r="D257" s="165"/>
      <c r="E257" s="165"/>
      <c r="F257" s="165"/>
      <c r="G257" s="165"/>
      <c r="H257" s="165"/>
      <c r="I257" s="165"/>
      <c r="J257" s="165"/>
      <c r="K257" s="165"/>
      <c r="L257" s="165"/>
      <c r="M257" s="164"/>
      <c r="N257" s="165"/>
      <c r="O257" s="165"/>
      <c r="P257" s="165"/>
      <c r="Q257" s="165"/>
      <c r="R257" s="164"/>
      <c r="S257" s="165"/>
      <c r="T257" s="165"/>
      <c r="U257" s="165"/>
      <c r="V257" s="165"/>
      <c r="W257" s="164"/>
      <c r="X257" s="165"/>
      <c r="Y257" s="165"/>
      <c r="Z257" s="165"/>
      <c r="AA257" s="165"/>
      <c r="AB257" s="164"/>
      <c r="AC257" s="165"/>
      <c r="AD257" s="165"/>
      <c r="AE257" s="165"/>
      <c r="AF257" s="165"/>
      <c r="AG257" s="164"/>
      <c r="AH257" s="165"/>
      <c r="AI257" s="165"/>
      <c r="AJ257" s="165"/>
      <c r="AK257" s="165"/>
      <c r="AL257" s="164"/>
    </row>
    <row r="258" ht="10.5" customHeight="1">
      <c r="A258" s="164"/>
      <c r="B258" s="165"/>
      <c r="C258" s="165"/>
      <c r="D258" s="165"/>
      <c r="E258" s="165"/>
      <c r="F258" s="165"/>
      <c r="G258" s="165"/>
      <c r="H258" s="165"/>
      <c r="I258" s="165"/>
      <c r="J258" s="165"/>
      <c r="K258" s="165"/>
      <c r="L258" s="165"/>
      <c r="M258" s="164"/>
      <c r="N258" s="165"/>
      <c r="O258" s="165"/>
      <c r="P258" s="165"/>
      <c r="Q258" s="165"/>
      <c r="R258" s="164"/>
      <c r="S258" s="165"/>
      <c r="T258" s="165"/>
      <c r="U258" s="165"/>
      <c r="V258" s="165"/>
      <c r="W258" s="164"/>
      <c r="X258" s="165"/>
      <c r="Y258" s="165"/>
      <c r="Z258" s="165"/>
      <c r="AA258" s="165"/>
      <c r="AB258" s="164"/>
      <c r="AC258" s="165"/>
      <c r="AD258" s="165"/>
      <c r="AE258" s="165"/>
      <c r="AF258" s="165"/>
      <c r="AG258" s="164"/>
      <c r="AH258" s="165"/>
      <c r="AI258" s="165"/>
      <c r="AJ258" s="165"/>
      <c r="AK258" s="165"/>
      <c r="AL258" s="164"/>
    </row>
    <row r="259" ht="10.5" customHeight="1">
      <c r="A259" s="164"/>
      <c r="B259" s="165"/>
      <c r="C259" s="165"/>
      <c r="D259" s="165"/>
      <c r="E259" s="165"/>
      <c r="F259" s="165"/>
      <c r="G259" s="165"/>
      <c r="H259" s="165"/>
      <c r="I259" s="165"/>
      <c r="J259" s="165"/>
      <c r="K259" s="165"/>
      <c r="L259" s="165"/>
      <c r="M259" s="164"/>
      <c r="N259" s="165"/>
      <c r="O259" s="165"/>
      <c r="P259" s="165"/>
      <c r="Q259" s="165"/>
      <c r="R259" s="164"/>
      <c r="S259" s="165"/>
      <c r="T259" s="165"/>
      <c r="U259" s="165"/>
      <c r="V259" s="165"/>
      <c r="W259" s="164"/>
      <c r="X259" s="165"/>
      <c r="Y259" s="165"/>
      <c r="Z259" s="165"/>
      <c r="AA259" s="165"/>
      <c r="AB259" s="164"/>
      <c r="AC259" s="165"/>
      <c r="AD259" s="165"/>
      <c r="AE259" s="165"/>
      <c r="AF259" s="165"/>
      <c r="AG259" s="164"/>
      <c r="AH259" s="165"/>
      <c r="AI259" s="165"/>
      <c r="AJ259" s="165"/>
      <c r="AK259" s="165"/>
      <c r="AL259" s="164"/>
    </row>
    <row r="260" ht="10.5" customHeight="1">
      <c r="A260" s="164"/>
      <c r="B260" s="165"/>
      <c r="C260" s="165"/>
      <c r="D260" s="165"/>
      <c r="E260" s="165"/>
      <c r="F260" s="165"/>
      <c r="G260" s="165"/>
      <c r="H260" s="165"/>
      <c r="I260" s="165"/>
      <c r="J260" s="165"/>
      <c r="K260" s="165"/>
      <c r="L260" s="165"/>
      <c r="M260" s="164"/>
      <c r="N260" s="165"/>
      <c r="O260" s="165"/>
      <c r="P260" s="165"/>
      <c r="Q260" s="165"/>
      <c r="R260" s="164"/>
      <c r="S260" s="165"/>
      <c r="T260" s="165"/>
      <c r="U260" s="165"/>
      <c r="V260" s="165"/>
      <c r="W260" s="164"/>
      <c r="X260" s="165"/>
      <c r="Y260" s="165"/>
      <c r="Z260" s="165"/>
      <c r="AA260" s="165"/>
      <c r="AB260" s="164"/>
      <c r="AC260" s="165"/>
      <c r="AD260" s="165"/>
      <c r="AE260" s="165"/>
      <c r="AF260" s="165"/>
      <c r="AG260" s="164"/>
      <c r="AH260" s="165"/>
      <c r="AI260" s="165"/>
      <c r="AJ260" s="165"/>
      <c r="AK260" s="165"/>
      <c r="AL260" s="164"/>
    </row>
    <row r="261" ht="10.5" customHeight="1">
      <c r="A261" s="164"/>
      <c r="B261" s="165"/>
      <c r="C261" s="165"/>
      <c r="D261" s="165"/>
      <c r="E261" s="165"/>
      <c r="F261" s="165"/>
      <c r="G261" s="165"/>
      <c r="H261" s="165"/>
      <c r="I261" s="165"/>
      <c r="J261" s="165"/>
      <c r="K261" s="165"/>
      <c r="L261" s="165"/>
      <c r="M261" s="164"/>
      <c r="N261" s="165"/>
      <c r="O261" s="165"/>
      <c r="P261" s="165"/>
      <c r="Q261" s="165"/>
      <c r="R261" s="164"/>
      <c r="S261" s="165"/>
      <c r="T261" s="165"/>
      <c r="U261" s="165"/>
      <c r="V261" s="165"/>
      <c r="W261" s="164"/>
      <c r="X261" s="165"/>
      <c r="Y261" s="165"/>
      <c r="Z261" s="165"/>
      <c r="AA261" s="165"/>
      <c r="AB261" s="164"/>
      <c r="AC261" s="165"/>
      <c r="AD261" s="165"/>
      <c r="AE261" s="165"/>
      <c r="AF261" s="165"/>
      <c r="AG261" s="164"/>
      <c r="AH261" s="165"/>
      <c r="AI261" s="165"/>
      <c r="AJ261" s="165"/>
      <c r="AK261" s="165"/>
      <c r="AL261" s="164"/>
    </row>
    <row r="262" ht="10.5" customHeight="1">
      <c r="A262" s="164"/>
      <c r="B262" s="165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4"/>
      <c r="N262" s="165"/>
      <c r="O262" s="165"/>
      <c r="P262" s="165"/>
      <c r="Q262" s="165"/>
      <c r="R262" s="164"/>
      <c r="S262" s="165"/>
      <c r="T262" s="165"/>
      <c r="U262" s="165"/>
      <c r="V262" s="165"/>
      <c r="W262" s="164"/>
      <c r="X262" s="165"/>
      <c r="Y262" s="165"/>
      <c r="Z262" s="165"/>
      <c r="AA262" s="165"/>
      <c r="AB262" s="164"/>
      <c r="AC262" s="165"/>
      <c r="AD262" s="165"/>
      <c r="AE262" s="165"/>
      <c r="AF262" s="165"/>
      <c r="AG262" s="164"/>
      <c r="AH262" s="165"/>
      <c r="AI262" s="165"/>
      <c r="AJ262" s="165"/>
      <c r="AK262" s="165"/>
      <c r="AL262" s="164"/>
    </row>
    <row r="263" ht="10.5" customHeight="1">
      <c r="A263" s="164"/>
      <c r="B263" s="165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4"/>
      <c r="N263" s="165"/>
      <c r="O263" s="165"/>
      <c r="P263" s="165"/>
      <c r="Q263" s="165"/>
      <c r="R263" s="164"/>
      <c r="S263" s="165"/>
      <c r="T263" s="165"/>
      <c r="U263" s="165"/>
      <c r="V263" s="165"/>
      <c r="W263" s="164"/>
      <c r="X263" s="165"/>
      <c r="Y263" s="165"/>
      <c r="Z263" s="165"/>
      <c r="AA263" s="165"/>
      <c r="AB263" s="164"/>
      <c r="AC263" s="165"/>
      <c r="AD263" s="165"/>
      <c r="AE263" s="165"/>
      <c r="AF263" s="165"/>
      <c r="AG263" s="164"/>
      <c r="AH263" s="165"/>
      <c r="AI263" s="165"/>
      <c r="AJ263" s="165"/>
      <c r="AK263" s="165"/>
      <c r="AL263" s="164"/>
    </row>
    <row r="264" ht="10.5" customHeight="1">
      <c r="A264" s="164"/>
      <c r="B264" s="165"/>
      <c r="C264" s="165"/>
      <c r="D264" s="165"/>
      <c r="E264" s="165"/>
      <c r="F264" s="165"/>
      <c r="G264" s="165"/>
      <c r="H264" s="165"/>
      <c r="I264" s="165"/>
      <c r="J264" s="165"/>
      <c r="K264" s="165"/>
      <c r="L264" s="165"/>
      <c r="M264" s="164"/>
      <c r="N264" s="165"/>
      <c r="O264" s="165"/>
      <c r="P264" s="165"/>
      <c r="Q264" s="165"/>
      <c r="R264" s="164"/>
      <c r="S264" s="165"/>
      <c r="T264" s="165"/>
      <c r="U264" s="165"/>
      <c r="V264" s="165"/>
      <c r="W264" s="164"/>
      <c r="X264" s="165"/>
      <c r="Y264" s="165"/>
      <c r="Z264" s="165"/>
      <c r="AA264" s="165"/>
      <c r="AB264" s="164"/>
      <c r="AC264" s="165"/>
      <c r="AD264" s="165"/>
      <c r="AE264" s="165"/>
      <c r="AF264" s="165"/>
      <c r="AG264" s="164"/>
      <c r="AH264" s="165"/>
      <c r="AI264" s="165"/>
      <c r="AJ264" s="165"/>
      <c r="AK264" s="165"/>
      <c r="AL264" s="164"/>
    </row>
    <row r="265" ht="10.5" customHeight="1">
      <c r="A265" s="164"/>
      <c r="B265" s="165"/>
      <c r="C265" s="165"/>
      <c r="D265" s="165"/>
      <c r="E265" s="165"/>
      <c r="F265" s="165"/>
      <c r="G265" s="165"/>
      <c r="H265" s="165"/>
      <c r="I265" s="165"/>
      <c r="J265" s="165"/>
      <c r="K265" s="165"/>
      <c r="L265" s="165"/>
      <c r="M265" s="164"/>
      <c r="N265" s="165"/>
      <c r="O265" s="165"/>
      <c r="P265" s="165"/>
      <c r="Q265" s="165"/>
      <c r="R265" s="164"/>
      <c r="S265" s="165"/>
      <c r="T265" s="165"/>
      <c r="U265" s="165"/>
      <c r="V265" s="165"/>
      <c r="W265" s="164"/>
      <c r="X265" s="165"/>
      <c r="Y265" s="165"/>
      <c r="Z265" s="165"/>
      <c r="AA265" s="165"/>
      <c r="AB265" s="164"/>
      <c r="AC265" s="165"/>
      <c r="AD265" s="165"/>
      <c r="AE265" s="165"/>
      <c r="AF265" s="165"/>
      <c r="AG265" s="164"/>
      <c r="AH265" s="165"/>
      <c r="AI265" s="165"/>
      <c r="AJ265" s="165"/>
      <c r="AK265" s="165"/>
      <c r="AL265" s="164"/>
    </row>
    <row r="266" ht="10.5" customHeight="1">
      <c r="A266" s="164"/>
      <c r="B266" s="165"/>
      <c r="C266" s="165"/>
      <c r="D266" s="165"/>
      <c r="E266" s="165"/>
      <c r="F266" s="165"/>
      <c r="G266" s="165"/>
      <c r="H266" s="165"/>
      <c r="I266" s="165"/>
      <c r="J266" s="165"/>
      <c r="K266" s="165"/>
      <c r="L266" s="165"/>
      <c r="M266" s="164"/>
      <c r="N266" s="165"/>
      <c r="O266" s="165"/>
      <c r="P266" s="165"/>
      <c r="Q266" s="165"/>
      <c r="R266" s="164"/>
      <c r="S266" s="165"/>
      <c r="T266" s="165"/>
      <c r="U266" s="165"/>
      <c r="V266" s="165"/>
      <c r="W266" s="164"/>
      <c r="X266" s="165"/>
      <c r="Y266" s="165"/>
      <c r="Z266" s="165"/>
      <c r="AA266" s="165"/>
      <c r="AB266" s="164"/>
      <c r="AC266" s="165"/>
      <c r="AD266" s="165"/>
      <c r="AE266" s="165"/>
      <c r="AF266" s="165"/>
      <c r="AG266" s="164"/>
      <c r="AH266" s="165"/>
      <c r="AI266" s="165"/>
      <c r="AJ266" s="165"/>
      <c r="AK266" s="165"/>
      <c r="AL266" s="164"/>
    </row>
    <row r="267" ht="10.5" customHeight="1">
      <c r="A267" s="164"/>
      <c r="B267" s="165"/>
      <c r="C267" s="165"/>
      <c r="D267" s="165"/>
      <c r="E267" s="165"/>
      <c r="F267" s="165"/>
      <c r="G267" s="165"/>
      <c r="H267" s="165"/>
      <c r="I267" s="165"/>
      <c r="J267" s="165"/>
      <c r="K267" s="165"/>
      <c r="L267" s="165"/>
      <c r="M267" s="164"/>
      <c r="N267" s="165"/>
      <c r="O267" s="165"/>
      <c r="P267" s="165"/>
      <c r="Q267" s="165"/>
      <c r="R267" s="164"/>
      <c r="S267" s="165"/>
      <c r="T267" s="165"/>
      <c r="U267" s="165"/>
      <c r="V267" s="165"/>
      <c r="W267" s="164"/>
      <c r="X267" s="165"/>
      <c r="Y267" s="165"/>
      <c r="Z267" s="165"/>
      <c r="AA267" s="165"/>
      <c r="AB267" s="164"/>
      <c r="AC267" s="165"/>
      <c r="AD267" s="165"/>
      <c r="AE267" s="165"/>
      <c r="AF267" s="165"/>
      <c r="AG267" s="164"/>
      <c r="AH267" s="165"/>
      <c r="AI267" s="165"/>
      <c r="AJ267" s="165"/>
      <c r="AK267" s="165"/>
      <c r="AL267" s="164"/>
    </row>
    <row r="268" ht="10.5" customHeight="1">
      <c r="A268" s="164"/>
      <c r="B268" s="165"/>
      <c r="C268" s="165"/>
      <c r="D268" s="165"/>
      <c r="E268" s="165"/>
      <c r="F268" s="165"/>
      <c r="G268" s="165"/>
      <c r="H268" s="165"/>
      <c r="I268" s="165"/>
      <c r="J268" s="165"/>
      <c r="K268" s="165"/>
      <c r="L268" s="165"/>
      <c r="M268" s="164"/>
      <c r="N268" s="165"/>
      <c r="O268" s="165"/>
      <c r="P268" s="165"/>
      <c r="Q268" s="165"/>
      <c r="R268" s="164"/>
      <c r="S268" s="165"/>
      <c r="T268" s="165"/>
      <c r="U268" s="165"/>
      <c r="V268" s="165"/>
      <c r="W268" s="164"/>
      <c r="X268" s="165"/>
      <c r="Y268" s="165"/>
      <c r="Z268" s="165"/>
      <c r="AA268" s="165"/>
      <c r="AB268" s="164"/>
      <c r="AC268" s="165"/>
      <c r="AD268" s="165"/>
      <c r="AE268" s="165"/>
      <c r="AF268" s="165"/>
      <c r="AG268" s="164"/>
      <c r="AH268" s="165"/>
      <c r="AI268" s="165"/>
      <c r="AJ268" s="165"/>
      <c r="AK268" s="165"/>
      <c r="AL268" s="164"/>
    </row>
    <row r="269" ht="10.5" customHeight="1">
      <c r="A269" s="164"/>
      <c r="B269" s="165"/>
      <c r="C269" s="165"/>
      <c r="D269" s="165"/>
      <c r="E269" s="165"/>
      <c r="F269" s="165"/>
      <c r="G269" s="165"/>
      <c r="H269" s="165"/>
      <c r="I269" s="165"/>
      <c r="J269" s="165"/>
      <c r="K269" s="165"/>
      <c r="L269" s="165"/>
      <c r="M269" s="164"/>
      <c r="N269" s="165"/>
      <c r="O269" s="165"/>
      <c r="P269" s="165"/>
      <c r="Q269" s="165"/>
      <c r="R269" s="164"/>
      <c r="S269" s="165"/>
      <c r="T269" s="165"/>
      <c r="U269" s="165"/>
      <c r="V269" s="165"/>
      <c r="W269" s="164"/>
      <c r="X269" s="165"/>
      <c r="Y269" s="165"/>
      <c r="Z269" s="165"/>
      <c r="AA269" s="165"/>
      <c r="AB269" s="164"/>
      <c r="AC269" s="165"/>
      <c r="AD269" s="165"/>
      <c r="AE269" s="165"/>
      <c r="AF269" s="165"/>
      <c r="AG269" s="164"/>
      <c r="AH269" s="165"/>
      <c r="AI269" s="165"/>
      <c r="AJ269" s="165"/>
      <c r="AK269" s="165"/>
      <c r="AL269" s="164"/>
    </row>
    <row r="270" ht="10.5" customHeight="1">
      <c r="A270" s="164"/>
      <c r="B270" s="165"/>
      <c r="C270" s="165"/>
      <c r="D270" s="165"/>
      <c r="E270" s="165"/>
      <c r="F270" s="165"/>
      <c r="G270" s="165"/>
      <c r="H270" s="165"/>
      <c r="I270" s="165"/>
      <c r="J270" s="165"/>
      <c r="K270" s="165"/>
      <c r="L270" s="165"/>
      <c r="M270" s="164"/>
      <c r="N270" s="165"/>
      <c r="O270" s="165"/>
      <c r="P270" s="165"/>
      <c r="Q270" s="165"/>
      <c r="R270" s="164"/>
      <c r="S270" s="165"/>
      <c r="T270" s="165"/>
      <c r="U270" s="165"/>
      <c r="V270" s="165"/>
      <c r="W270" s="164"/>
      <c r="X270" s="165"/>
      <c r="Y270" s="165"/>
      <c r="Z270" s="165"/>
      <c r="AA270" s="165"/>
      <c r="AB270" s="164"/>
      <c r="AC270" s="165"/>
      <c r="AD270" s="165"/>
      <c r="AE270" s="165"/>
      <c r="AF270" s="165"/>
      <c r="AG270" s="164"/>
      <c r="AH270" s="165"/>
      <c r="AI270" s="165"/>
      <c r="AJ270" s="165"/>
      <c r="AK270" s="165"/>
      <c r="AL270" s="164"/>
    </row>
    <row r="271" ht="10.5" customHeight="1">
      <c r="A271" s="164"/>
      <c r="B271" s="165"/>
      <c r="C271" s="165"/>
      <c r="D271" s="165"/>
      <c r="E271" s="165"/>
      <c r="F271" s="165"/>
      <c r="G271" s="165"/>
      <c r="H271" s="165"/>
      <c r="I271" s="165"/>
      <c r="J271" s="165"/>
      <c r="K271" s="165"/>
      <c r="L271" s="165"/>
      <c r="M271" s="164"/>
      <c r="N271" s="165"/>
      <c r="O271" s="165"/>
      <c r="P271" s="165"/>
      <c r="Q271" s="165"/>
      <c r="R271" s="164"/>
      <c r="S271" s="165"/>
      <c r="T271" s="165"/>
      <c r="U271" s="165"/>
      <c r="V271" s="165"/>
      <c r="W271" s="164"/>
      <c r="X271" s="165"/>
      <c r="Y271" s="165"/>
      <c r="Z271" s="165"/>
      <c r="AA271" s="165"/>
      <c r="AB271" s="164"/>
      <c r="AC271" s="165"/>
      <c r="AD271" s="165"/>
      <c r="AE271" s="165"/>
      <c r="AF271" s="165"/>
      <c r="AG271" s="164"/>
      <c r="AH271" s="165"/>
      <c r="AI271" s="165"/>
      <c r="AJ271" s="165"/>
      <c r="AK271" s="165"/>
      <c r="AL271" s="164"/>
    </row>
    <row r="272" ht="10.5" customHeight="1">
      <c r="A272" s="164"/>
      <c r="B272" s="165"/>
      <c r="C272" s="165"/>
      <c r="D272" s="165"/>
      <c r="E272" s="165"/>
      <c r="F272" s="165"/>
      <c r="G272" s="165"/>
      <c r="H272" s="165"/>
      <c r="I272" s="165"/>
      <c r="J272" s="165"/>
      <c r="K272" s="165"/>
      <c r="L272" s="165"/>
      <c r="M272" s="164"/>
      <c r="N272" s="165"/>
      <c r="O272" s="165"/>
      <c r="P272" s="165"/>
      <c r="Q272" s="165"/>
      <c r="R272" s="164"/>
      <c r="S272" s="165"/>
      <c r="T272" s="165"/>
      <c r="U272" s="165"/>
      <c r="V272" s="165"/>
      <c r="W272" s="164"/>
      <c r="X272" s="165"/>
      <c r="Y272" s="165"/>
      <c r="Z272" s="165"/>
      <c r="AA272" s="165"/>
      <c r="AB272" s="164"/>
      <c r="AC272" s="165"/>
      <c r="AD272" s="165"/>
      <c r="AE272" s="165"/>
      <c r="AF272" s="165"/>
      <c r="AG272" s="164"/>
      <c r="AH272" s="165"/>
      <c r="AI272" s="165"/>
      <c r="AJ272" s="165"/>
      <c r="AK272" s="165"/>
      <c r="AL272" s="164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D5:G5"/>
    <mergeCell ref="I5:L5"/>
    <mergeCell ref="N5:Q5"/>
    <mergeCell ref="S5:V5"/>
    <mergeCell ref="X5:AA5"/>
    <mergeCell ref="AC5:AF5"/>
    <mergeCell ref="AH5:AK5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E6F5"/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 outlineLevelCol="1" outlineLevelRow="1"/>
  <cols>
    <col customWidth="1" min="1" max="1" width="40.63"/>
    <col customWidth="1" min="2" max="5" width="9.63" outlineLevel="1"/>
    <col customWidth="1" min="6" max="6" width="9.63"/>
    <col customWidth="1" min="7" max="10" width="9.63" outlineLevel="1"/>
    <col customWidth="1" min="11" max="11" width="9.63"/>
    <col customWidth="1" min="12" max="15" width="9.63" outlineLevel="1"/>
    <col customWidth="1" min="16" max="16" width="9.63"/>
    <col customWidth="1" min="17" max="20" width="9.63" outlineLevel="1"/>
    <col customWidth="1" min="21" max="21" width="9.63"/>
    <col customWidth="1" min="22" max="25" width="9.63" outlineLevel="1"/>
    <col customWidth="1" min="26" max="26" width="9.63"/>
    <col customWidth="1" min="27" max="30" width="9.63" outlineLevel="1"/>
    <col customWidth="1" min="31" max="31" width="9.63"/>
    <col customWidth="1" min="32" max="35" width="9.63" outlineLevel="1"/>
    <col customWidth="1" min="36" max="36" width="9.63"/>
    <col customWidth="1" min="37" max="40" width="9.63" outlineLevel="1"/>
    <col customWidth="1" min="41" max="41" width="9.63"/>
  </cols>
  <sheetData>
    <row r="1" ht="10.5" customHeight="1">
      <c r="A1" s="164"/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4"/>
    </row>
    <row r="2" ht="10.5" customHeight="1">
      <c r="A2" s="166" t="s">
        <v>142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</row>
    <row r="3" ht="10.5" customHeight="1">
      <c r="A3" s="168" t="s">
        <v>359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8"/>
    </row>
    <row r="4" ht="10.5" customHeight="1">
      <c r="A4" s="164" t="s">
        <v>299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</row>
    <row r="5" ht="10.5" customHeight="1">
      <c r="A5" s="164"/>
      <c r="B5" s="173" t="s">
        <v>145</v>
      </c>
      <c r="C5" s="174"/>
      <c r="D5" s="174"/>
      <c r="E5" s="175"/>
      <c r="F5" s="176" t="s">
        <v>145</v>
      </c>
      <c r="G5" s="173" t="s">
        <v>146</v>
      </c>
      <c r="H5" s="174"/>
      <c r="I5" s="174"/>
      <c r="J5" s="175"/>
      <c r="K5" s="176" t="s">
        <v>146</v>
      </c>
      <c r="L5" s="173" t="s">
        <v>147</v>
      </c>
      <c r="M5" s="174"/>
      <c r="N5" s="174"/>
      <c r="O5" s="175"/>
      <c r="P5" s="302">
        <v>2025.0</v>
      </c>
      <c r="Q5" s="303">
        <f>P5+1</f>
        <v>2026</v>
      </c>
      <c r="R5" s="174"/>
      <c r="S5" s="174"/>
      <c r="T5" s="175"/>
      <c r="U5" s="302">
        <f>Q5</f>
        <v>2026</v>
      </c>
      <c r="V5" s="303">
        <f>U5+1</f>
        <v>2027</v>
      </c>
      <c r="W5" s="174"/>
      <c r="X5" s="174"/>
      <c r="Y5" s="175"/>
      <c r="Z5" s="302">
        <f>V5</f>
        <v>2027</v>
      </c>
      <c r="AA5" s="303">
        <f>Z5+1</f>
        <v>2028</v>
      </c>
      <c r="AB5" s="174"/>
      <c r="AC5" s="174"/>
      <c r="AD5" s="175"/>
      <c r="AE5" s="302">
        <f>AA5</f>
        <v>2028</v>
      </c>
      <c r="AF5" s="303">
        <f>AE5+1</f>
        <v>2029</v>
      </c>
      <c r="AG5" s="174"/>
      <c r="AH5" s="174"/>
      <c r="AI5" s="175"/>
      <c r="AJ5" s="302">
        <f>AF5</f>
        <v>2029</v>
      </c>
      <c r="AK5" s="303">
        <f>AJ5+1</f>
        <v>2030</v>
      </c>
      <c r="AL5" s="174"/>
      <c r="AM5" s="174"/>
      <c r="AN5" s="175"/>
      <c r="AO5" s="302">
        <f>AK5</f>
        <v>2030</v>
      </c>
    </row>
    <row r="6" ht="10.5" customHeight="1">
      <c r="A6" s="164"/>
      <c r="B6" s="179" t="s">
        <v>148</v>
      </c>
      <c r="C6" s="179" t="s">
        <v>149</v>
      </c>
      <c r="D6" s="179" t="s">
        <v>150</v>
      </c>
      <c r="E6" s="179" t="s">
        <v>151</v>
      </c>
      <c r="F6" s="180" t="s">
        <v>152</v>
      </c>
      <c r="G6" s="179" t="s">
        <v>148</v>
      </c>
      <c r="H6" s="179" t="s">
        <v>149</v>
      </c>
      <c r="I6" s="179" t="s">
        <v>150</v>
      </c>
      <c r="J6" s="179" t="s">
        <v>151</v>
      </c>
      <c r="K6" s="180" t="s">
        <v>152</v>
      </c>
      <c r="L6" s="179" t="s">
        <v>148</v>
      </c>
      <c r="M6" s="179" t="s">
        <v>149</v>
      </c>
      <c r="N6" s="179" t="s">
        <v>150</v>
      </c>
      <c r="O6" s="179" t="s">
        <v>153</v>
      </c>
      <c r="P6" s="180" t="s">
        <v>152</v>
      </c>
      <c r="Q6" s="179" t="s">
        <v>154</v>
      </c>
      <c r="R6" s="179" t="s">
        <v>155</v>
      </c>
      <c r="S6" s="179" t="s">
        <v>156</v>
      </c>
      <c r="T6" s="179" t="s">
        <v>153</v>
      </c>
      <c r="U6" s="180" t="s">
        <v>152</v>
      </c>
      <c r="V6" s="179" t="s">
        <v>154</v>
      </c>
      <c r="W6" s="179" t="s">
        <v>155</v>
      </c>
      <c r="X6" s="179" t="s">
        <v>156</v>
      </c>
      <c r="Y6" s="179" t="s">
        <v>153</v>
      </c>
      <c r="Z6" s="180" t="s">
        <v>152</v>
      </c>
      <c r="AA6" s="179" t="s">
        <v>154</v>
      </c>
      <c r="AB6" s="179" t="s">
        <v>155</v>
      </c>
      <c r="AC6" s="179" t="s">
        <v>156</v>
      </c>
      <c r="AD6" s="179" t="s">
        <v>153</v>
      </c>
      <c r="AE6" s="180" t="s">
        <v>152</v>
      </c>
      <c r="AF6" s="179" t="s">
        <v>154</v>
      </c>
      <c r="AG6" s="179" t="s">
        <v>155</v>
      </c>
      <c r="AH6" s="179" t="s">
        <v>156</v>
      </c>
      <c r="AI6" s="179" t="s">
        <v>153</v>
      </c>
      <c r="AJ6" s="180" t="s">
        <v>152</v>
      </c>
      <c r="AK6" s="179" t="s">
        <v>154</v>
      </c>
      <c r="AL6" s="179" t="s">
        <v>155</v>
      </c>
      <c r="AM6" s="179" t="s">
        <v>156</v>
      </c>
      <c r="AN6" s="179" t="s">
        <v>153</v>
      </c>
      <c r="AO6" s="180" t="s">
        <v>152</v>
      </c>
    </row>
    <row r="7" ht="10.5" customHeight="1">
      <c r="A7" s="181" t="s">
        <v>360</v>
      </c>
      <c r="B7" s="165"/>
      <c r="C7" s="165"/>
      <c r="D7" s="165"/>
      <c r="E7" s="165"/>
      <c r="F7" s="207"/>
      <c r="G7" s="165"/>
      <c r="H7" s="165"/>
      <c r="I7" s="165"/>
      <c r="J7" s="165"/>
      <c r="K7" s="207"/>
      <c r="L7" s="165"/>
      <c r="M7" s="165"/>
      <c r="N7" s="165"/>
      <c r="O7" s="165"/>
      <c r="P7" s="207"/>
      <c r="Q7" s="165"/>
      <c r="R7" s="165"/>
      <c r="S7" s="165"/>
      <c r="T7" s="165"/>
      <c r="U7" s="207"/>
      <c r="V7" s="165"/>
      <c r="W7" s="165"/>
      <c r="X7" s="165"/>
      <c r="Y7" s="165"/>
      <c r="Z7" s="207"/>
      <c r="AA7" s="165"/>
      <c r="AB7" s="165"/>
      <c r="AC7" s="165"/>
      <c r="AD7" s="165"/>
      <c r="AE7" s="207"/>
      <c r="AF7" s="165"/>
      <c r="AG7" s="165"/>
      <c r="AH7" s="165"/>
      <c r="AI7" s="165"/>
      <c r="AJ7" s="207"/>
      <c r="AK7" s="165"/>
      <c r="AL7" s="165"/>
      <c r="AM7" s="165"/>
      <c r="AN7" s="165"/>
      <c r="AO7" s="207"/>
    </row>
    <row r="8" ht="10.5" customHeight="1">
      <c r="A8" s="164" t="s">
        <v>179</v>
      </c>
      <c r="B8" s="186">
        <f>B93</f>
        <v>24.769</v>
      </c>
      <c r="C8" s="186">
        <f t="shared" ref="C8:E8" si="1">C93-B93</f>
        <v>44.179</v>
      </c>
      <c r="D8" s="186">
        <f t="shared" si="1"/>
        <v>41.324</v>
      </c>
      <c r="E8" s="186">
        <f t="shared" si="1"/>
        <v>36.763</v>
      </c>
      <c r="F8" s="185">
        <f>SUM(B8:E8)</f>
        <v>147.035</v>
      </c>
      <c r="G8" s="186">
        <f>G93</f>
        <v>34.973</v>
      </c>
      <c r="H8" s="186">
        <f t="shared" ref="H8:J8" si="2">H93-G93</f>
        <v>49.312</v>
      </c>
      <c r="I8" s="186">
        <f t="shared" si="2"/>
        <v>42.395</v>
      </c>
      <c r="J8" s="186">
        <f t="shared" si="2"/>
        <v>47.563</v>
      </c>
      <c r="K8" s="185">
        <f>SUM(G8:J8)</f>
        <v>174.243</v>
      </c>
      <c r="L8" s="186">
        <f>L93</f>
        <v>42.079</v>
      </c>
      <c r="M8" s="186">
        <f t="shared" ref="M8:N8" si="3">M93-L93</f>
        <v>58.295</v>
      </c>
      <c r="N8" s="186">
        <f t="shared" si="3"/>
        <v>59.183</v>
      </c>
      <c r="O8" s="186">
        <f>'Income Statement'!O30</f>
        <v>58.51335017</v>
      </c>
      <c r="P8" s="185">
        <f>SUM(L8:O8)</f>
        <v>218.0703502</v>
      </c>
      <c r="Q8" s="186">
        <f>'Income Statement'!Q30</f>
        <v>56.44657112</v>
      </c>
      <c r="R8" s="186">
        <f>'Income Statement'!R30</f>
        <v>80.58400809</v>
      </c>
      <c r="S8" s="186">
        <f>'Income Statement'!S30</f>
        <v>76.1106118</v>
      </c>
      <c r="T8" s="186">
        <f>'Income Statement'!T30</f>
        <v>77.23647891</v>
      </c>
      <c r="U8" s="185">
        <f>SUM(Q8:T8)</f>
        <v>290.3776699</v>
      </c>
      <c r="V8" s="186">
        <f>'Income Statement'!V30</f>
        <v>70.82519003</v>
      </c>
      <c r="W8" s="186">
        <f>'Income Statement'!W30</f>
        <v>96.15066981</v>
      </c>
      <c r="X8" s="186">
        <f>'Income Statement'!X30</f>
        <v>93.2770807</v>
      </c>
      <c r="Y8" s="186">
        <f>'Income Statement'!Y30</f>
        <v>92.76161846</v>
      </c>
      <c r="Z8" s="185">
        <f>SUM(V8:Y8)</f>
        <v>353.014559</v>
      </c>
      <c r="AA8" s="186">
        <f>'Income Statement'!AA30</f>
        <v>83.95482906</v>
      </c>
      <c r="AB8" s="186">
        <f>'Income Statement'!AB30</f>
        <v>110.4238881</v>
      </c>
      <c r="AC8" s="186">
        <f>'Income Statement'!AC30</f>
        <v>107.1251394</v>
      </c>
      <c r="AD8" s="186">
        <f>'Income Statement'!AD30</f>
        <v>105.9223516</v>
      </c>
      <c r="AE8" s="185">
        <f>SUM(AA8:AD8)</f>
        <v>407.4262081</v>
      </c>
      <c r="AF8" s="186">
        <f>'Income Statement'!AF30</f>
        <v>103.7099885</v>
      </c>
      <c r="AG8" s="186">
        <f>'Income Statement'!AG30</f>
        <v>124.8153885</v>
      </c>
      <c r="AH8" s="186">
        <f>'Income Statement'!AH30</f>
        <v>116.7244859</v>
      </c>
      <c r="AI8" s="186">
        <f>'Income Statement'!AI30</f>
        <v>116.1643775</v>
      </c>
      <c r="AJ8" s="185">
        <f>SUM(AF8:AI8)</f>
        <v>461.4142404</v>
      </c>
      <c r="AK8" s="186">
        <f>'Income Statement'!AK30</f>
        <v>115.1671718</v>
      </c>
      <c r="AL8" s="186">
        <f>'Income Statement'!AL30</f>
        <v>136.6377144</v>
      </c>
      <c r="AM8" s="186">
        <f>'Income Statement'!AM30</f>
        <v>127.9341777</v>
      </c>
      <c r="AN8" s="186">
        <f>'Income Statement'!AN30</f>
        <v>126.7950532</v>
      </c>
      <c r="AO8" s="185">
        <f>SUM(AK8:AN8)</f>
        <v>506.5341171</v>
      </c>
    </row>
    <row r="9" ht="10.5" customHeight="1">
      <c r="A9" s="304" t="s">
        <v>361</v>
      </c>
      <c r="B9" s="186"/>
      <c r="C9" s="186"/>
      <c r="D9" s="186"/>
      <c r="E9" s="186"/>
      <c r="F9" s="185"/>
      <c r="G9" s="186"/>
      <c r="H9" s="186"/>
      <c r="I9" s="186"/>
      <c r="J9" s="186"/>
      <c r="K9" s="185"/>
      <c r="L9" s="186"/>
      <c r="M9" s="186"/>
      <c r="N9" s="186"/>
      <c r="O9" s="186"/>
      <c r="P9" s="185"/>
      <c r="Q9" s="186"/>
      <c r="R9" s="186"/>
      <c r="S9" s="186"/>
      <c r="T9" s="186"/>
      <c r="U9" s="185"/>
      <c r="V9" s="186"/>
      <c r="W9" s="186"/>
      <c r="X9" s="186"/>
      <c r="Y9" s="186"/>
      <c r="Z9" s="185"/>
      <c r="AA9" s="186"/>
      <c r="AB9" s="186"/>
      <c r="AC9" s="186"/>
      <c r="AD9" s="186"/>
      <c r="AE9" s="185"/>
      <c r="AF9" s="186"/>
      <c r="AG9" s="186"/>
      <c r="AH9" s="186"/>
      <c r="AI9" s="186"/>
      <c r="AJ9" s="185"/>
      <c r="AK9" s="186"/>
      <c r="AL9" s="186"/>
      <c r="AM9" s="186"/>
      <c r="AN9" s="186"/>
      <c r="AO9" s="185"/>
    </row>
    <row r="10" ht="10.5" customHeight="1">
      <c r="A10" s="164" t="s">
        <v>167</v>
      </c>
      <c r="B10" s="186">
        <f t="shared" ref="B10:B31" si="7">B95</f>
        <v>36.01</v>
      </c>
      <c r="C10" s="186">
        <f t="shared" ref="C10:E10" si="4">C95-B95</f>
        <v>36.767</v>
      </c>
      <c r="D10" s="186">
        <f t="shared" si="4"/>
        <v>37.477</v>
      </c>
      <c r="E10" s="186">
        <f t="shared" si="4"/>
        <v>39.159</v>
      </c>
      <c r="F10" s="185">
        <f t="shared" ref="F10:F31" si="9">SUM(B10:E10)</f>
        <v>149.413</v>
      </c>
      <c r="G10" s="186">
        <f t="shared" ref="G10:G31" si="10">G95</f>
        <v>39.38</v>
      </c>
      <c r="H10" s="186">
        <f t="shared" ref="H10:J10" si="5">H95-G95</f>
        <v>39.817</v>
      </c>
      <c r="I10" s="186">
        <f t="shared" si="5"/>
        <v>41.033</v>
      </c>
      <c r="J10" s="186">
        <f t="shared" si="5"/>
        <v>40.116</v>
      </c>
      <c r="K10" s="185">
        <f t="shared" ref="K10:K31" si="12">SUM(G10:J10)</f>
        <v>160.346</v>
      </c>
      <c r="L10" s="186">
        <f t="shared" ref="L10:L31" si="13">L95</f>
        <v>38.281</v>
      </c>
      <c r="M10" s="186">
        <f t="shared" ref="M10:N10" si="6">M95-L95</f>
        <v>38.429</v>
      </c>
      <c r="N10" s="186">
        <f t="shared" si="6"/>
        <v>39.108</v>
      </c>
      <c r="O10" s="186">
        <f>'Income Statement'!O17</f>
        <v>39.12378076</v>
      </c>
      <c r="P10" s="185">
        <f t="shared" ref="P10:P31" si="15">SUM(L10:O10)</f>
        <v>154.9417808</v>
      </c>
      <c r="Q10" s="186">
        <f>'Income Statement'!Q17</f>
        <v>35.63336737</v>
      </c>
      <c r="R10" s="186">
        <f>'Income Statement'!R17</f>
        <v>35.96667246</v>
      </c>
      <c r="S10" s="186">
        <f>'Income Statement'!S17</f>
        <v>36.94346388</v>
      </c>
      <c r="T10" s="186">
        <f>'Income Statement'!T17</f>
        <v>38.15552838</v>
      </c>
      <c r="U10" s="185">
        <f t="shared" ref="U10:U31" si="16">SUM(Q10:T10)</f>
        <v>146.6990321</v>
      </c>
      <c r="V10" s="186">
        <f>'Income Statement'!V17</f>
        <v>37.79306701</v>
      </c>
      <c r="W10" s="186">
        <f>'Income Statement'!W17</f>
        <v>38.25035772</v>
      </c>
      <c r="X10" s="186">
        <f>'Income Statement'!X17</f>
        <v>35.95816238</v>
      </c>
      <c r="Y10" s="186">
        <f>'Income Statement'!Y17</f>
        <v>39.65088761</v>
      </c>
      <c r="Z10" s="185">
        <f t="shared" ref="Z10:Z31" si="17">SUM(V10:Y10)</f>
        <v>151.6524747</v>
      </c>
      <c r="AA10" s="186">
        <f>'Income Statement'!AA17</f>
        <v>40.00620653</v>
      </c>
      <c r="AB10" s="186">
        <f>'Income Statement'!AB17</f>
        <v>40.54134711</v>
      </c>
      <c r="AC10" s="186">
        <f>'Income Statement'!AC17</f>
        <v>38.0984465</v>
      </c>
      <c r="AD10" s="186">
        <f>'Income Statement'!AD17</f>
        <v>42.10975019</v>
      </c>
      <c r="AE10" s="185">
        <f t="shared" ref="AE10:AE31" si="18">SUM(AA10:AD10)</f>
        <v>160.7557503</v>
      </c>
      <c r="AF10" s="186">
        <f>'Income Statement'!AF17</f>
        <v>41.78697249</v>
      </c>
      <c r="AG10" s="186">
        <f>'Income Statement'!AG17</f>
        <v>42.37860031</v>
      </c>
      <c r="AH10" s="186">
        <f>'Income Statement'!AH17</f>
        <v>39.73537066</v>
      </c>
      <c r="AI10" s="186">
        <f>'Income Statement'!AI17</f>
        <v>44.06015782</v>
      </c>
      <c r="AJ10" s="185">
        <f t="shared" ref="AJ10:AJ31" si="19">SUM(AF10:AI10)</f>
        <v>167.9611013</v>
      </c>
      <c r="AK10" s="186">
        <f>'Income Statement'!AK17</f>
        <v>46.00664113</v>
      </c>
      <c r="AL10" s="186">
        <f>'Income Statement'!AL17</f>
        <v>46.62803422</v>
      </c>
      <c r="AM10" s="186">
        <f>'Income Statement'!AM17</f>
        <v>43.74830002</v>
      </c>
      <c r="AN10" s="186">
        <f>'Income Statement'!AN17</f>
        <v>48.38527576</v>
      </c>
      <c r="AO10" s="185">
        <f t="shared" ref="AO10:AO31" si="20">SUM(AK10:AN10)</f>
        <v>184.7682511</v>
      </c>
    </row>
    <row r="11" ht="10.5" customHeight="1">
      <c r="A11" s="164" t="s">
        <v>362</v>
      </c>
      <c r="B11" s="186">
        <f t="shared" si="7"/>
        <v>1.36</v>
      </c>
      <c r="C11" s="186">
        <f t="shared" ref="C11:E11" si="8">C96-B96</f>
        <v>1.371</v>
      </c>
      <c r="D11" s="186">
        <f t="shared" si="8"/>
        <v>1.383</v>
      </c>
      <c r="E11" s="186">
        <f t="shared" si="8"/>
        <v>1.378</v>
      </c>
      <c r="F11" s="185">
        <f t="shared" si="9"/>
        <v>5.492</v>
      </c>
      <c r="G11" s="186">
        <f t="shared" si="10"/>
        <v>1.346</v>
      </c>
      <c r="H11" s="186">
        <f t="shared" ref="H11:J11" si="11">H96-G96</f>
        <v>1.288</v>
      </c>
      <c r="I11" s="186">
        <f t="shared" si="11"/>
        <v>1.35</v>
      </c>
      <c r="J11" s="186">
        <f t="shared" si="11"/>
        <v>1.378</v>
      </c>
      <c r="K11" s="185">
        <f t="shared" si="12"/>
        <v>5.362</v>
      </c>
      <c r="L11" s="186">
        <f t="shared" si="13"/>
        <v>1.314</v>
      </c>
      <c r="M11" s="186">
        <f t="shared" ref="M11:N11" si="14">M96-L96</f>
        <v>1.325</v>
      </c>
      <c r="N11" s="186">
        <f t="shared" si="14"/>
        <v>1.336</v>
      </c>
      <c r="O11" s="247"/>
      <c r="P11" s="185">
        <f t="shared" si="15"/>
        <v>3.975</v>
      </c>
      <c r="Q11" s="247"/>
      <c r="R11" s="247"/>
      <c r="S11" s="247"/>
      <c r="T11" s="247"/>
      <c r="U11" s="185">
        <f t="shared" si="16"/>
        <v>0</v>
      </c>
      <c r="V11" s="247"/>
      <c r="W11" s="247"/>
      <c r="X11" s="247"/>
      <c r="Y11" s="247"/>
      <c r="Z11" s="185">
        <f t="shared" si="17"/>
        <v>0</v>
      </c>
      <c r="AA11" s="247"/>
      <c r="AB11" s="247"/>
      <c r="AC11" s="247"/>
      <c r="AD11" s="247"/>
      <c r="AE11" s="185">
        <f t="shared" si="18"/>
        <v>0</v>
      </c>
      <c r="AF11" s="247"/>
      <c r="AG11" s="247"/>
      <c r="AH11" s="247"/>
      <c r="AI11" s="247"/>
      <c r="AJ11" s="185">
        <f t="shared" si="19"/>
        <v>0</v>
      </c>
      <c r="AK11" s="247"/>
      <c r="AL11" s="247"/>
      <c r="AM11" s="247"/>
      <c r="AN11" s="247"/>
      <c r="AO11" s="185">
        <f t="shared" si="20"/>
        <v>0</v>
      </c>
    </row>
    <row r="12" ht="10.5" customHeight="1">
      <c r="A12" s="164" t="s">
        <v>363</v>
      </c>
      <c r="B12" s="186">
        <f t="shared" si="7"/>
        <v>0</v>
      </c>
      <c r="C12" s="186">
        <f t="shared" ref="C12:E12" si="21">C97-B97</f>
        <v>0</v>
      </c>
      <c r="D12" s="186">
        <f t="shared" si="21"/>
        <v>0</v>
      </c>
      <c r="E12" s="186">
        <f t="shared" si="21"/>
        <v>0</v>
      </c>
      <c r="F12" s="185">
        <f t="shared" si="9"/>
        <v>0</v>
      </c>
      <c r="G12" s="186">
        <f t="shared" si="10"/>
        <v>0</v>
      </c>
      <c r="H12" s="186">
        <f t="shared" ref="H12:J12" si="22">H97-G97</f>
        <v>0</v>
      </c>
      <c r="I12" s="186">
        <f t="shared" si="22"/>
        <v>0</v>
      </c>
      <c r="J12" s="186">
        <f t="shared" si="22"/>
        <v>0</v>
      </c>
      <c r="K12" s="185">
        <f t="shared" si="12"/>
        <v>0</v>
      </c>
      <c r="L12" s="186">
        <f t="shared" si="13"/>
        <v>0</v>
      </c>
      <c r="M12" s="186">
        <f t="shared" ref="M12:N12" si="23">M97-L97</f>
        <v>0</v>
      </c>
      <c r="N12" s="186">
        <f t="shared" si="23"/>
        <v>0</v>
      </c>
      <c r="O12" s="247"/>
      <c r="P12" s="185">
        <f t="shared" si="15"/>
        <v>0</v>
      </c>
      <c r="Q12" s="247"/>
      <c r="R12" s="247"/>
      <c r="S12" s="247"/>
      <c r="T12" s="247"/>
      <c r="U12" s="185">
        <f t="shared" si="16"/>
        <v>0</v>
      </c>
      <c r="V12" s="247"/>
      <c r="W12" s="247"/>
      <c r="X12" s="247"/>
      <c r="Y12" s="247"/>
      <c r="Z12" s="185">
        <f t="shared" si="17"/>
        <v>0</v>
      </c>
      <c r="AA12" s="247"/>
      <c r="AB12" s="247"/>
      <c r="AC12" s="247"/>
      <c r="AD12" s="247"/>
      <c r="AE12" s="185">
        <f t="shared" si="18"/>
        <v>0</v>
      </c>
      <c r="AF12" s="247"/>
      <c r="AG12" s="247"/>
      <c r="AH12" s="247"/>
      <c r="AI12" s="247"/>
      <c r="AJ12" s="185">
        <f t="shared" si="19"/>
        <v>0</v>
      </c>
      <c r="AK12" s="247"/>
      <c r="AL12" s="247"/>
      <c r="AM12" s="247"/>
      <c r="AN12" s="247"/>
      <c r="AO12" s="185">
        <f t="shared" si="20"/>
        <v>0</v>
      </c>
    </row>
    <row r="13" ht="10.5" customHeight="1">
      <c r="A13" s="164" t="s">
        <v>364</v>
      </c>
      <c r="B13" s="186">
        <f t="shared" si="7"/>
        <v>0</v>
      </c>
      <c r="C13" s="186">
        <f t="shared" ref="C13:E13" si="24">C98-B98</f>
        <v>0</v>
      </c>
      <c r="D13" s="186">
        <f t="shared" si="24"/>
        <v>0</v>
      </c>
      <c r="E13" s="186">
        <f t="shared" si="24"/>
        <v>0</v>
      </c>
      <c r="F13" s="185">
        <f t="shared" si="9"/>
        <v>0</v>
      </c>
      <c r="G13" s="186">
        <f t="shared" si="10"/>
        <v>0</v>
      </c>
      <c r="H13" s="186">
        <f t="shared" ref="H13:J13" si="25">H98-G98</f>
        <v>0</v>
      </c>
      <c r="I13" s="186">
        <f t="shared" si="25"/>
        <v>0</v>
      </c>
      <c r="J13" s="186">
        <f t="shared" si="25"/>
        <v>0</v>
      </c>
      <c r="K13" s="185">
        <f t="shared" si="12"/>
        <v>0</v>
      </c>
      <c r="L13" s="186">
        <f t="shared" si="13"/>
        <v>0</v>
      </c>
      <c r="M13" s="186">
        <f t="shared" ref="M13:N13" si="26">M98-L98</f>
        <v>0</v>
      </c>
      <c r="N13" s="186">
        <f t="shared" si="26"/>
        <v>0</v>
      </c>
      <c r="O13" s="247"/>
      <c r="P13" s="185">
        <f t="shared" si="15"/>
        <v>0</v>
      </c>
      <c r="Q13" s="247"/>
      <c r="R13" s="247"/>
      <c r="S13" s="247"/>
      <c r="T13" s="247"/>
      <c r="U13" s="185">
        <f t="shared" si="16"/>
        <v>0</v>
      </c>
      <c r="V13" s="247"/>
      <c r="W13" s="247"/>
      <c r="X13" s="247"/>
      <c r="Y13" s="247"/>
      <c r="Z13" s="185">
        <f t="shared" si="17"/>
        <v>0</v>
      </c>
      <c r="AA13" s="247"/>
      <c r="AB13" s="247"/>
      <c r="AC13" s="247"/>
      <c r="AD13" s="247"/>
      <c r="AE13" s="185">
        <f t="shared" si="18"/>
        <v>0</v>
      </c>
      <c r="AF13" s="247"/>
      <c r="AG13" s="247"/>
      <c r="AH13" s="247"/>
      <c r="AI13" s="247"/>
      <c r="AJ13" s="185">
        <f t="shared" si="19"/>
        <v>0</v>
      </c>
      <c r="AK13" s="247"/>
      <c r="AL13" s="247"/>
      <c r="AM13" s="247"/>
      <c r="AN13" s="247"/>
      <c r="AO13" s="185">
        <f t="shared" si="20"/>
        <v>0</v>
      </c>
    </row>
    <row r="14" ht="10.5" customHeight="1">
      <c r="A14" s="164" t="s">
        <v>365</v>
      </c>
      <c r="B14" s="186">
        <f t="shared" si="7"/>
        <v>0</v>
      </c>
      <c r="C14" s="186">
        <f t="shared" ref="C14:E14" si="27">C99-B99</f>
        <v>0</v>
      </c>
      <c r="D14" s="186">
        <f t="shared" si="27"/>
        <v>0</v>
      </c>
      <c r="E14" s="186">
        <f t="shared" si="27"/>
        <v>0</v>
      </c>
      <c r="F14" s="185">
        <f t="shared" si="9"/>
        <v>0</v>
      </c>
      <c r="G14" s="186">
        <f t="shared" si="10"/>
        <v>0</v>
      </c>
      <c r="H14" s="186">
        <f t="shared" ref="H14:J14" si="28">H99-G99</f>
        <v>0</v>
      </c>
      <c r="I14" s="186">
        <f t="shared" si="28"/>
        <v>0</v>
      </c>
      <c r="J14" s="186">
        <f t="shared" si="28"/>
        <v>0</v>
      </c>
      <c r="K14" s="185">
        <f t="shared" si="12"/>
        <v>0</v>
      </c>
      <c r="L14" s="186">
        <f t="shared" si="13"/>
        <v>0</v>
      </c>
      <c r="M14" s="186">
        <f t="shared" ref="M14:N14" si="29">M99-L99</f>
        <v>0</v>
      </c>
      <c r="N14" s="186">
        <f t="shared" si="29"/>
        <v>0</v>
      </c>
      <c r="O14" s="247"/>
      <c r="P14" s="185">
        <f t="shared" si="15"/>
        <v>0</v>
      </c>
      <c r="Q14" s="247"/>
      <c r="R14" s="247"/>
      <c r="S14" s="247"/>
      <c r="T14" s="247"/>
      <c r="U14" s="185">
        <f t="shared" si="16"/>
        <v>0</v>
      </c>
      <c r="V14" s="247"/>
      <c r="W14" s="247"/>
      <c r="X14" s="247"/>
      <c r="Y14" s="247"/>
      <c r="Z14" s="185">
        <f t="shared" si="17"/>
        <v>0</v>
      </c>
      <c r="AA14" s="247"/>
      <c r="AB14" s="247"/>
      <c r="AC14" s="247"/>
      <c r="AD14" s="247"/>
      <c r="AE14" s="185">
        <f t="shared" si="18"/>
        <v>0</v>
      </c>
      <c r="AF14" s="247"/>
      <c r="AG14" s="247"/>
      <c r="AH14" s="247"/>
      <c r="AI14" s="247"/>
      <c r="AJ14" s="185">
        <f t="shared" si="19"/>
        <v>0</v>
      </c>
      <c r="AK14" s="247"/>
      <c r="AL14" s="247"/>
      <c r="AM14" s="247"/>
      <c r="AN14" s="247"/>
      <c r="AO14" s="185">
        <f t="shared" si="20"/>
        <v>0</v>
      </c>
    </row>
    <row r="15" ht="10.5" customHeight="1">
      <c r="A15" s="164" t="s">
        <v>214</v>
      </c>
      <c r="B15" s="186">
        <f t="shared" si="7"/>
        <v>0</v>
      </c>
      <c r="C15" s="186">
        <f t="shared" ref="C15:E15" si="30">C100-B100</f>
        <v>0</v>
      </c>
      <c r="D15" s="186">
        <f t="shared" si="30"/>
        <v>0</v>
      </c>
      <c r="E15" s="186">
        <f t="shared" si="30"/>
        <v>0</v>
      </c>
      <c r="F15" s="185">
        <f t="shared" si="9"/>
        <v>0</v>
      </c>
      <c r="G15" s="186">
        <f t="shared" si="10"/>
        <v>0</v>
      </c>
      <c r="H15" s="186">
        <f t="shared" ref="H15:J15" si="31">H100-G100</f>
        <v>2.285</v>
      </c>
      <c r="I15" s="186">
        <f t="shared" si="31"/>
        <v>0</v>
      </c>
      <c r="J15" s="186">
        <f t="shared" si="31"/>
        <v>-2.285</v>
      </c>
      <c r="K15" s="185">
        <f t="shared" si="12"/>
        <v>0</v>
      </c>
      <c r="L15" s="186">
        <f t="shared" si="13"/>
        <v>0</v>
      </c>
      <c r="M15" s="186">
        <f t="shared" ref="M15:N15" si="32">M100-L100</f>
        <v>0</v>
      </c>
      <c r="N15" s="186">
        <f t="shared" si="32"/>
        <v>0</v>
      </c>
      <c r="O15" s="247"/>
      <c r="P15" s="185">
        <f t="shared" si="15"/>
        <v>0</v>
      </c>
      <c r="Q15" s="247"/>
      <c r="R15" s="247"/>
      <c r="S15" s="247"/>
      <c r="T15" s="247"/>
      <c r="U15" s="185">
        <f t="shared" si="16"/>
        <v>0</v>
      </c>
      <c r="V15" s="247"/>
      <c r="W15" s="247"/>
      <c r="X15" s="247"/>
      <c r="Y15" s="247"/>
      <c r="Z15" s="185">
        <f t="shared" si="17"/>
        <v>0</v>
      </c>
      <c r="AA15" s="247"/>
      <c r="AB15" s="247"/>
      <c r="AC15" s="247"/>
      <c r="AD15" s="247"/>
      <c r="AE15" s="185">
        <f t="shared" si="18"/>
        <v>0</v>
      </c>
      <c r="AF15" s="247"/>
      <c r="AG15" s="247"/>
      <c r="AH15" s="247"/>
      <c r="AI15" s="247"/>
      <c r="AJ15" s="185">
        <f t="shared" si="19"/>
        <v>0</v>
      </c>
      <c r="AK15" s="247"/>
      <c r="AL15" s="247"/>
      <c r="AM15" s="247"/>
      <c r="AN15" s="247"/>
      <c r="AO15" s="185">
        <f t="shared" si="20"/>
        <v>0</v>
      </c>
    </row>
    <row r="16" ht="10.5" customHeight="1">
      <c r="A16" s="164" t="s">
        <v>366</v>
      </c>
      <c r="B16" s="186">
        <f t="shared" si="7"/>
        <v>0</v>
      </c>
      <c r="C16" s="186">
        <f t="shared" ref="C16:E16" si="33">C101-B101</f>
        <v>0</v>
      </c>
      <c r="D16" s="186">
        <f t="shared" si="33"/>
        <v>0</v>
      </c>
      <c r="E16" s="186">
        <f t="shared" si="33"/>
        <v>0</v>
      </c>
      <c r="F16" s="185">
        <f t="shared" si="9"/>
        <v>0</v>
      </c>
      <c r="G16" s="186">
        <f t="shared" si="10"/>
        <v>0</v>
      </c>
      <c r="H16" s="186">
        <f t="shared" ref="H16:J16" si="34">H101-G101</f>
        <v>0</v>
      </c>
      <c r="I16" s="186">
        <f t="shared" si="34"/>
        <v>0</v>
      </c>
      <c r="J16" s="186">
        <f t="shared" si="34"/>
        <v>2.285</v>
      </c>
      <c r="K16" s="185">
        <f t="shared" si="12"/>
        <v>2.285</v>
      </c>
      <c r="L16" s="186">
        <f t="shared" si="13"/>
        <v>0</v>
      </c>
      <c r="M16" s="186">
        <f t="shared" ref="M16:N16" si="35">M101-L101</f>
        <v>0</v>
      </c>
      <c r="N16" s="186">
        <f t="shared" si="35"/>
        <v>0</v>
      </c>
      <c r="O16" s="247"/>
      <c r="P16" s="185">
        <f t="shared" si="15"/>
        <v>0</v>
      </c>
      <c r="Q16" s="247"/>
      <c r="R16" s="247"/>
      <c r="S16" s="247"/>
      <c r="T16" s="247"/>
      <c r="U16" s="185">
        <f t="shared" si="16"/>
        <v>0</v>
      </c>
      <c r="V16" s="247"/>
      <c r="W16" s="247"/>
      <c r="X16" s="247"/>
      <c r="Y16" s="247"/>
      <c r="Z16" s="185">
        <f t="shared" si="17"/>
        <v>0</v>
      </c>
      <c r="AA16" s="247"/>
      <c r="AB16" s="247"/>
      <c r="AC16" s="247"/>
      <c r="AD16" s="247"/>
      <c r="AE16" s="185">
        <f t="shared" si="18"/>
        <v>0</v>
      </c>
      <c r="AF16" s="247"/>
      <c r="AG16" s="247"/>
      <c r="AH16" s="247"/>
      <c r="AI16" s="247"/>
      <c r="AJ16" s="185">
        <f t="shared" si="19"/>
        <v>0</v>
      </c>
      <c r="AK16" s="247"/>
      <c r="AL16" s="247"/>
      <c r="AM16" s="247"/>
      <c r="AN16" s="247"/>
      <c r="AO16" s="185">
        <f t="shared" si="20"/>
        <v>0</v>
      </c>
    </row>
    <row r="17" ht="10.5" customHeight="1">
      <c r="A17" s="164" t="s">
        <v>367</v>
      </c>
      <c r="B17" s="186">
        <f t="shared" si="7"/>
        <v>0</v>
      </c>
      <c r="C17" s="186">
        <f t="shared" ref="C17:E17" si="36">C102-B102</f>
        <v>-0.944</v>
      </c>
      <c r="D17" s="186">
        <f t="shared" si="36"/>
        <v>-1.28</v>
      </c>
      <c r="E17" s="186">
        <f t="shared" si="36"/>
        <v>-1.049</v>
      </c>
      <c r="F17" s="185">
        <f t="shared" si="9"/>
        <v>-3.273</v>
      </c>
      <c r="G17" s="186">
        <f t="shared" si="10"/>
        <v>-0.871</v>
      </c>
      <c r="H17" s="186">
        <f t="shared" ref="H17:J17" si="37">H102-G102</f>
        <v>-1.008</v>
      </c>
      <c r="I17" s="186">
        <f t="shared" si="37"/>
        <v>-0.779</v>
      </c>
      <c r="J17" s="186">
        <f t="shared" si="37"/>
        <v>-0.649</v>
      </c>
      <c r="K17" s="185">
        <f t="shared" si="12"/>
        <v>-3.307</v>
      </c>
      <c r="L17" s="186">
        <f t="shared" si="13"/>
        <v>-0.488</v>
      </c>
      <c r="M17" s="186">
        <f t="shared" ref="M17:N17" si="38">M102-L102</f>
        <v>-0.349</v>
      </c>
      <c r="N17" s="186">
        <f t="shared" si="38"/>
        <v>-0.272</v>
      </c>
      <c r="O17" s="247"/>
      <c r="P17" s="185">
        <f t="shared" si="15"/>
        <v>-1.109</v>
      </c>
      <c r="Q17" s="247"/>
      <c r="R17" s="247"/>
      <c r="S17" s="247"/>
      <c r="T17" s="247"/>
      <c r="U17" s="185">
        <f t="shared" si="16"/>
        <v>0</v>
      </c>
      <c r="V17" s="247"/>
      <c r="W17" s="247"/>
      <c r="X17" s="247"/>
      <c r="Y17" s="247"/>
      <c r="Z17" s="185">
        <f t="shared" si="17"/>
        <v>0</v>
      </c>
      <c r="AA17" s="247"/>
      <c r="AB17" s="247"/>
      <c r="AC17" s="247"/>
      <c r="AD17" s="247"/>
      <c r="AE17" s="185">
        <f t="shared" si="18"/>
        <v>0</v>
      </c>
      <c r="AF17" s="247"/>
      <c r="AG17" s="247"/>
      <c r="AH17" s="247"/>
      <c r="AI17" s="247"/>
      <c r="AJ17" s="185">
        <f t="shared" si="19"/>
        <v>0</v>
      </c>
      <c r="AK17" s="247"/>
      <c r="AL17" s="247"/>
      <c r="AM17" s="247"/>
      <c r="AN17" s="247"/>
      <c r="AO17" s="185">
        <f t="shared" si="20"/>
        <v>0</v>
      </c>
    </row>
    <row r="18" ht="10.5" customHeight="1">
      <c r="A18" s="164" t="s">
        <v>178</v>
      </c>
      <c r="B18" s="186">
        <f t="shared" si="7"/>
        <v>0.265</v>
      </c>
      <c r="C18" s="186">
        <f t="shared" ref="C18:E18" si="39">C103-B103</f>
        <v>0.073</v>
      </c>
      <c r="D18" s="186">
        <f t="shared" si="39"/>
        <v>-0.338</v>
      </c>
      <c r="E18" s="186">
        <f t="shared" si="39"/>
        <v>1.994</v>
      </c>
      <c r="F18" s="185">
        <f t="shared" si="9"/>
        <v>1.994</v>
      </c>
      <c r="G18" s="186">
        <f t="shared" si="10"/>
        <v>1.2</v>
      </c>
      <c r="H18" s="186">
        <f t="shared" ref="H18:J18" si="40">H103-G103</f>
        <v>1.216</v>
      </c>
      <c r="I18" s="186">
        <f t="shared" si="40"/>
        <v>0.782</v>
      </c>
      <c r="J18" s="186">
        <f t="shared" si="40"/>
        <v>0.844</v>
      </c>
      <c r="K18" s="185">
        <f t="shared" si="12"/>
        <v>4.042</v>
      </c>
      <c r="L18" s="186">
        <f t="shared" si="13"/>
        <v>0.805</v>
      </c>
      <c r="M18" s="186">
        <f t="shared" ref="M18:N18" si="41">M103-L103</f>
        <v>0.628</v>
      </c>
      <c r="N18" s="186">
        <f t="shared" si="41"/>
        <v>0.572</v>
      </c>
      <c r="O18" s="247"/>
      <c r="P18" s="185">
        <f t="shared" si="15"/>
        <v>2.005</v>
      </c>
      <c r="Q18" s="247"/>
      <c r="R18" s="247"/>
      <c r="S18" s="247"/>
      <c r="T18" s="247"/>
      <c r="U18" s="185">
        <f t="shared" si="16"/>
        <v>0</v>
      </c>
      <c r="V18" s="247"/>
      <c r="W18" s="247"/>
      <c r="X18" s="247"/>
      <c r="Y18" s="247"/>
      <c r="Z18" s="185">
        <f t="shared" si="17"/>
        <v>0</v>
      </c>
      <c r="AA18" s="247"/>
      <c r="AB18" s="247"/>
      <c r="AC18" s="247"/>
      <c r="AD18" s="247"/>
      <c r="AE18" s="185">
        <f t="shared" si="18"/>
        <v>0</v>
      </c>
      <c r="AF18" s="247"/>
      <c r="AG18" s="247"/>
      <c r="AH18" s="247"/>
      <c r="AI18" s="247"/>
      <c r="AJ18" s="185">
        <f t="shared" si="19"/>
        <v>0</v>
      </c>
      <c r="AK18" s="247"/>
      <c r="AL18" s="247"/>
      <c r="AM18" s="247"/>
      <c r="AN18" s="247"/>
      <c r="AO18" s="185">
        <f t="shared" si="20"/>
        <v>0</v>
      </c>
    </row>
    <row r="19" ht="10.5" customHeight="1">
      <c r="A19" s="164" t="s">
        <v>368</v>
      </c>
      <c r="B19" s="186">
        <f t="shared" si="7"/>
        <v>-0.483</v>
      </c>
      <c r="C19" s="186">
        <f t="shared" ref="C19:E19" si="42">C104-B104</f>
        <v>-0.496</v>
      </c>
      <c r="D19" s="186">
        <f t="shared" si="42"/>
        <v>-0.511</v>
      </c>
      <c r="E19" s="186">
        <f t="shared" si="42"/>
        <v>-0.576</v>
      </c>
      <c r="F19" s="185">
        <f t="shared" si="9"/>
        <v>-2.066</v>
      </c>
      <c r="G19" s="186">
        <f t="shared" si="10"/>
        <v>-0.528</v>
      </c>
      <c r="H19" s="186">
        <f t="shared" ref="H19:J19" si="43">H104-G104</f>
        <v>-0.537</v>
      </c>
      <c r="I19" s="186">
        <f t="shared" si="43"/>
        <v>-0.553</v>
      </c>
      <c r="J19" s="186">
        <f t="shared" si="43"/>
        <v>-0.562</v>
      </c>
      <c r="K19" s="185">
        <f t="shared" si="12"/>
        <v>-2.18</v>
      </c>
      <c r="L19" s="186">
        <f t="shared" si="13"/>
        <v>-0.561</v>
      </c>
      <c r="M19" s="186">
        <f t="shared" ref="M19:N19" si="44">M104-L104</f>
        <v>-0.578</v>
      </c>
      <c r="N19" s="186">
        <f t="shared" si="44"/>
        <v>-0.594</v>
      </c>
      <c r="O19" s="247"/>
      <c r="P19" s="185">
        <f t="shared" si="15"/>
        <v>-1.733</v>
      </c>
      <c r="Q19" s="247"/>
      <c r="R19" s="247"/>
      <c r="S19" s="247"/>
      <c r="T19" s="247"/>
      <c r="U19" s="185">
        <f t="shared" si="16"/>
        <v>0</v>
      </c>
      <c r="V19" s="247"/>
      <c r="W19" s="247"/>
      <c r="X19" s="247"/>
      <c r="Y19" s="247"/>
      <c r="Z19" s="185">
        <f t="shared" si="17"/>
        <v>0</v>
      </c>
      <c r="AA19" s="247"/>
      <c r="AB19" s="247"/>
      <c r="AC19" s="247"/>
      <c r="AD19" s="247"/>
      <c r="AE19" s="185">
        <f t="shared" si="18"/>
        <v>0</v>
      </c>
      <c r="AF19" s="247"/>
      <c r="AG19" s="247"/>
      <c r="AH19" s="247"/>
      <c r="AI19" s="247"/>
      <c r="AJ19" s="185">
        <f t="shared" si="19"/>
        <v>0</v>
      </c>
      <c r="AK19" s="247"/>
      <c r="AL19" s="247"/>
      <c r="AM19" s="247"/>
      <c r="AN19" s="247"/>
      <c r="AO19" s="185">
        <f t="shared" si="20"/>
        <v>0</v>
      </c>
    </row>
    <row r="20" ht="10.5" customHeight="1">
      <c r="A20" s="164" t="s">
        <v>369</v>
      </c>
      <c r="B20" s="186">
        <f t="shared" si="7"/>
        <v>0.255</v>
      </c>
      <c r="C20" s="186">
        <f t="shared" ref="C20:E20" si="45">C105-B105</f>
        <v>-0.16</v>
      </c>
      <c r="D20" s="186">
        <f t="shared" si="45"/>
        <v>-0.095</v>
      </c>
      <c r="E20" s="186">
        <f t="shared" si="45"/>
        <v>2.732</v>
      </c>
      <c r="F20" s="185">
        <f t="shared" si="9"/>
        <v>2.732</v>
      </c>
      <c r="G20" s="186">
        <f t="shared" si="10"/>
        <v>0.475</v>
      </c>
      <c r="H20" s="186">
        <f t="shared" ref="H20:J20" si="46">H105-G105</f>
        <v>0.082</v>
      </c>
      <c r="I20" s="186">
        <f t="shared" si="46"/>
        <v>0.292</v>
      </c>
      <c r="J20" s="186">
        <f t="shared" si="46"/>
        <v>0.296</v>
      </c>
      <c r="K20" s="185">
        <f t="shared" si="12"/>
        <v>1.145</v>
      </c>
      <c r="L20" s="186">
        <f t="shared" si="13"/>
        <v>0.292</v>
      </c>
      <c r="M20" s="186">
        <f t="shared" ref="M20:N20" si="47">M105-L105</f>
        <v>4.311</v>
      </c>
      <c r="N20" s="186">
        <f t="shared" si="47"/>
        <v>0.486</v>
      </c>
      <c r="O20" s="247"/>
      <c r="P20" s="185">
        <f t="shared" si="15"/>
        <v>5.089</v>
      </c>
      <c r="Q20" s="247"/>
      <c r="R20" s="247"/>
      <c r="S20" s="247"/>
      <c r="T20" s="247"/>
      <c r="U20" s="185">
        <f t="shared" si="16"/>
        <v>0</v>
      </c>
      <c r="V20" s="247"/>
      <c r="W20" s="247"/>
      <c r="X20" s="247"/>
      <c r="Y20" s="247"/>
      <c r="Z20" s="185">
        <f t="shared" si="17"/>
        <v>0</v>
      </c>
      <c r="AA20" s="247"/>
      <c r="AB20" s="247"/>
      <c r="AC20" s="247"/>
      <c r="AD20" s="247"/>
      <c r="AE20" s="185">
        <f t="shared" si="18"/>
        <v>0</v>
      </c>
      <c r="AF20" s="247"/>
      <c r="AG20" s="247"/>
      <c r="AH20" s="247"/>
      <c r="AI20" s="247"/>
      <c r="AJ20" s="185">
        <f t="shared" si="19"/>
        <v>0</v>
      </c>
      <c r="AK20" s="247"/>
      <c r="AL20" s="247"/>
      <c r="AM20" s="247"/>
      <c r="AN20" s="247"/>
      <c r="AO20" s="185">
        <f t="shared" si="20"/>
        <v>0</v>
      </c>
    </row>
    <row r="21" ht="10.5" customHeight="1">
      <c r="A21" s="164" t="s">
        <v>370</v>
      </c>
      <c r="B21" s="186">
        <f t="shared" si="7"/>
        <v>8.082</v>
      </c>
      <c r="C21" s="186">
        <f t="shared" ref="C21:E21" si="48">C106-B106</f>
        <v>13.493</v>
      </c>
      <c r="D21" s="186">
        <f t="shared" si="48"/>
        <v>13.309</v>
      </c>
      <c r="E21" s="186">
        <f t="shared" si="48"/>
        <v>16.305</v>
      </c>
      <c r="F21" s="185">
        <f t="shared" si="9"/>
        <v>51.189</v>
      </c>
      <c r="G21" s="186">
        <f t="shared" si="10"/>
        <v>11.367</v>
      </c>
      <c r="H21" s="186">
        <f t="shared" ref="H21:J21" si="49">H106-G106</f>
        <v>15.394</v>
      </c>
      <c r="I21" s="186">
        <f t="shared" si="49"/>
        <v>13.316</v>
      </c>
      <c r="J21" s="186">
        <f t="shared" si="49"/>
        <v>15.612</v>
      </c>
      <c r="K21" s="185">
        <f t="shared" si="12"/>
        <v>55.689</v>
      </c>
      <c r="L21" s="186">
        <f t="shared" si="13"/>
        <v>10.961</v>
      </c>
      <c r="M21" s="186">
        <f t="shared" ref="M21:N21" si="50">M106-L106</f>
        <v>16.658</v>
      </c>
      <c r="N21" s="186">
        <f t="shared" si="50"/>
        <v>26.789</v>
      </c>
      <c r="O21" s="247"/>
      <c r="P21" s="185">
        <f t="shared" si="15"/>
        <v>54.408</v>
      </c>
      <c r="Q21" s="247"/>
      <c r="R21" s="247"/>
      <c r="S21" s="247"/>
      <c r="T21" s="247"/>
      <c r="U21" s="185">
        <f t="shared" si="16"/>
        <v>0</v>
      </c>
      <c r="V21" s="247"/>
      <c r="W21" s="247"/>
      <c r="X21" s="247"/>
      <c r="Y21" s="247"/>
      <c r="Z21" s="185">
        <f t="shared" si="17"/>
        <v>0</v>
      </c>
      <c r="AA21" s="247"/>
      <c r="AB21" s="247"/>
      <c r="AC21" s="247"/>
      <c r="AD21" s="247"/>
      <c r="AE21" s="185">
        <f t="shared" si="18"/>
        <v>0</v>
      </c>
      <c r="AF21" s="247"/>
      <c r="AG21" s="247"/>
      <c r="AH21" s="247"/>
      <c r="AI21" s="247"/>
      <c r="AJ21" s="185">
        <f t="shared" si="19"/>
        <v>0</v>
      </c>
      <c r="AK21" s="247"/>
      <c r="AL21" s="247"/>
      <c r="AM21" s="247"/>
      <c r="AN21" s="247"/>
      <c r="AO21" s="185">
        <f t="shared" si="20"/>
        <v>0</v>
      </c>
    </row>
    <row r="22" ht="10.5" customHeight="1">
      <c r="A22" s="164" t="s">
        <v>371</v>
      </c>
      <c r="B22" s="186">
        <f t="shared" si="7"/>
        <v>0</v>
      </c>
      <c r="C22" s="186">
        <f t="shared" ref="C22:E22" si="51">C107-B107</f>
        <v>0</v>
      </c>
      <c r="D22" s="186">
        <f t="shared" si="51"/>
        <v>0.58</v>
      </c>
      <c r="E22" s="186">
        <f t="shared" si="51"/>
        <v>-0.58</v>
      </c>
      <c r="F22" s="185">
        <f t="shared" si="9"/>
        <v>0</v>
      </c>
      <c r="G22" s="186">
        <f t="shared" si="10"/>
        <v>0</v>
      </c>
      <c r="H22" s="186">
        <f t="shared" ref="H22:J22" si="52">H107-G107</f>
        <v>0</v>
      </c>
      <c r="I22" s="186">
        <f t="shared" si="52"/>
        <v>0</v>
      </c>
      <c r="J22" s="186">
        <f t="shared" si="52"/>
        <v>0</v>
      </c>
      <c r="K22" s="185">
        <f t="shared" si="12"/>
        <v>0</v>
      </c>
      <c r="L22" s="186">
        <f t="shared" si="13"/>
        <v>0</v>
      </c>
      <c r="M22" s="186">
        <f t="shared" ref="M22:N22" si="53">M107-L107</f>
        <v>0</v>
      </c>
      <c r="N22" s="186">
        <f t="shared" si="53"/>
        <v>0</v>
      </c>
      <c r="O22" s="247"/>
      <c r="P22" s="185">
        <f t="shared" si="15"/>
        <v>0</v>
      </c>
      <c r="Q22" s="247"/>
      <c r="R22" s="247"/>
      <c r="S22" s="247"/>
      <c r="T22" s="247"/>
      <c r="U22" s="185">
        <f t="shared" si="16"/>
        <v>0</v>
      </c>
      <c r="V22" s="247"/>
      <c r="W22" s="247"/>
      <c r="X22" s="247"/>
      <c r="Y22" s="247"/>
      <c r="Z22" s="185">
        <f t="shared" si="17"/>
        <v>0</v>
      </c>
      <c r="AA22" s="247"/>
      <c r="AB22" s="247"/>
      <c r="AC22" s="247"/>
      <c r="AD22" s="247"/>
      <c r="AE22" s="185">
        <f t="shared" si="18"/>
        <v>0</v>
      </c>
      <c r="AF22" s="247"/>
      <c r="AG22" s="247"/>
      <c r="AH22" s="247"/>
      <c r="AI22" s="247"/>
      <c r="AJ22" s="185">
        <f t="shared" si="19"/>
        <v>0</v>
      </c>
      <c r="AK22" s="247"/>
      <c r="AL22" s="247"/>
      <c r="AM22" s="247"/>
      <c r="AN22" s="247"/>
      <c r="AO22" s="185">
        <f t="shared" si="20"/>
        <v>0</v>
      </c>
    </row>
    <row r="23" ht="10.5" customHeight="1">
      <c r="A23" s="164" t="s">
        <v>372</v>
      </c>
      <c r="B23" s="186">
        <f t="shared" si="7"/>
        <v>0</v>
      </c>
      <c r="C23" s="186">
        <f t="shared" ref="C23:E23" si="54">C108-B108</f>
        <v>0</v>
      </c>
      <c r="D23" s="186">
        <f t="shared" si="54"/>
        <v>0</v>
      </c>
      <c r="E23" s="186">
        <f t="shared" si="54"/>
        <v>0</v>
      </c>
      <c r="F23" s="185">
        <f t="shared" si="9"/>
        <v>0</v>
      </c>
      <c r="G23" s="186">
        <f t="shared" si="10"/>
        <v>0</v>
      </c>
      <c r="H23" s="186">
        <f t="shared" ref="H23:J23" si="55">H108-G108</f>
        <v>0</v>
      </c>
      <c r="I23" s="186">
        <f t="shared" si="55"/>
        <v>0</v>
      </c>
      <c r="J23" s="186">
        <f t="shared" si="55"/>
        <v>0</v>
      </c>
      <c r="K23" s="185">
        <f t="shared" si="12"/>
        <v>0</v>
      </c>
      <c r="L23" s="186">
        <f t="shared" si="13"/>
        <v>0</v>
      </c>
      <c r="M23" s="186">
        <f t="shared" ref="M23:N23" si="56">M108-L108</f>
        <v>0</v>
      </c>
      <c r="N23" s="186">
        <f t="shared" si="56"/>
        <v>0</v>
      </c>
      <c r="O23" s="247"/>
      <c r="P23" s="185">
        <f t="shared" si="15"/>
        <v>0</v>
      </c>
      <c r="Q23" s="247"/>
      <c r="R23" s="247"/>
      <c r="S23" s="247"/>
      <c r="T23" s="247"/>
      <c r="U23" s="185">
        <f t="shared" si="16"/>
        <v>0</v>
      </c>
      <c r="V23" s="247"/>
      <c r="W23" s="247"/>
      <c r="X23" s="247"/>
      <c r="Y23" s="247"/>
      <c r="Z23" s="185">
        <f t="shared" si="17"/>
        <v>0</v>
      </c>
      <c r="AA23" s="247"/>
      <c r="AB23" s="247"/>
      <c r="AC23" s="247"/>
      <c r="AD23" s="247"/>
      <c r="AE23" s="185">
        <f t="shared" si="18"/>
        <v>0</v>
      </c>
      <c r="AF23" s="247"/>
      <c r="AG23" s="247"/>
      <c r="AH23" s="247"/>
      <c r="AI23" s="247"/>
      <c r="AJ23" s="185">
        <f t="shared" si="19"/>
        <v>0</v>
      </c>
      <c r="AK23" s="247"/>
      <c r="AL23" s="247"/>
      <c r="AM23" s="247"/>
      <c r="AN23" s="247"/>
      <c r="AO23" s="185">
        <f t="shared" si="20"/>
        <v>0</v>
      </c>
    </row>
    <row r="24" ht="10.5" customHeight="1">
      <c r="A24" s="164" t="s">
        <v>373</v>
      </c>
      <c r="B24" s="186">
        <f t="shared" si="7"/>
        <v>0</v>
      </c>
      <c r="C24" s="186">
        <f t="shared" ref="C24:E24" si="57">C109-B109</f>
        <v>0</v>
      </c>
      <c r="D24" s="186">
        <f t="shared" si="57"/>
        <v>-0.006</v>
      </c>
      <c r="E24" s="186">
        <f t="shared" si="57"/>
        <v>0.006</v>
      </c>
      <c r="F24" s="185">
        <f t="shared" si="9"/>
        <v>0</v>
      </c>
      <c r="G24" s="186">
        <f t="shared" si="10"/>
        <v>0</v>
      </c>
      <c r="H24" s="186">
        <f t="shared" ref="H24:J24" si="58">H109-G109</f>
        <v>0</v>
      </c>
      <c r="I24" s="186">
        <f t="shared" si="58"/>
        <v>-0.774</v>
      </c>
      <c r="J24" s="186">
        <f t="shared" si="58"/>
        <v>0.774</v>
      </c>
      <c r="K24" s="185">
        <f t="shared" si="12"/>
        <v>0</v>
      </c>
      <c r="L24" s="186">
        <f t="shared" si="13"/>
        <v>0</v>
      </c>
      <c r="M24" s="186">
        <f t="shared" ref="M24:N24" si="59">M109-L109</f>
        <v>0</v>
      </c>
      <c r="N24" s="186">
        <f t="shared" si="59"/>
        <v>-1.769</v>
      </c>
      <c r="O24" s="247"/>
      <c r="P24" s="185">
        <f t="shared" si="15"/>
        <v>-1.769</v>
      </c>
      <c r="Q24" s="247"/>
      <c r="R24" s="247"/>
      <c r="S24" s="247"/>
      <c r="T24" s="247"/>
      <c r="U24" s="185">
        <f t="shared" si="16"/>
        <v>0</v>
      </c>
      <c r="V24" s="247"/>
      <c r="W24" s="247"/>
      <c r="X24" s="247"/>
      <c r="Y24" s="247"/>
      <c r="Z24" s="185">
        <f t="shared" si="17"/>
        <v>0</v>
      </c>
      <c r="AA24" s="247"/>
      <c r="AB24" s="247"/>
      <c r="AC24" s="247"/>
      <c r="AD24" s="247"/>
      <c r="AE24" s="185">
        <f t="shared" si="18"/>
        <v>0</v>
      </c>
      <c r="AF24" s="247"/>
      <c r="AG24" s="247"/>
      <c r="AH24" s="247"/>
      <c r="AI24" s="247"/>
      <c r="AJ24" s="185">
        <f t="shared" si="19"/>
        <v>0</v>
      </c>
      <c r="AK24" s="247"/>
      <c r="AL24" s="247"/>
      <c r="AM24" s="247"/>
      <c r="AN24" s="247"/>
      <c r="AO24" s="185">
        <f t="shared" si="20"/>
        <v>0</v>
      </c>
    </row>
    <row r="25" ht="10.5" customHeight="1">
      <c r="A25" s="164" t="s">
        <v>374</v>
      </c>
      <c r="B25" s="186">
        <f t="shared" si="7"/>
        <v>0</v>
      </c>
      <c r="C25" s="186">
        <f t="shared" ref="C25:E25" si="60">C110-B110</f>
        <v>0</v>
      </c>
      <c r="D25" s="186">
        <f t="shared" si="60"/>
        <v>0</v>
      </c>
      <c r="E25" s="186">
        <f t="shared" si="60"/>
        <v>-1.964</v>
      </c>
      <c r="F25" s="185">
        <f t="shared" si="9"/>
        <v>-1.964</v>
      </c>
      <c r="G25" s="186">
        <f t="shared" si="10"/>
        <v>-0.362</v>
      </c>
      <c r="H25" s="186">
        <f t="shared" ref="H25:J25" si="61">H110-G110</f>
        <v>-0.987</v>
      </c>
      <c r="I25" s="186">
        <f t="shared" si="61"/>
        <v>1.349</v>
      </c>
      <c r="J25" s="186">
        <f t="shared" si="61"/>
        <v>1.3</v>
      </c>
      <c r="K25" s="185">
        <f t="shared" si="12"/>
        <v>1.3</v>
      </c>
      <c r="L25" s="186">
        <f t="shared" si="13"/>
        <v>-0.084</v>
      </c>
      <c r="M25" s="186">
        <f t="shared" ref="M25:N25" si="62">M110-L110</f>
        <v>-1.21</v>
      </c>
      <c r="N25" s="186">
        <f t="shared" si="62"/>
        <v>1.294</v>
      </c>
      <c r="O25" s="247"/>
      <c r="P25" s="185">
        <f t="shared" si="15"/>
        <v>0</v>
      </c>
      <c r="Q25" s="247"/>
      <c r="R25" s="247"/>
      <c r="S25" s="247"/>
      <c r="T25" s="247"/>
      <c r="U25" s="185">
        <f t="shared" si="16"/>
        <v>0</v>
      </c>
      <c r="V25" s="247"/>
      <c r="W25" s="247"/>
      <c r="X25" s="247"/>
      <c r="Y25" s="247"/>
      <c r="Z25" s="185">
        <f t="shared" si="17"/>
        <v>0</v>
      </c>
      <c r="AA25" s="247"/>
      <c r="AB25" s="247"/>
      <c r="AC25" s="247"/>
      <c r="AD25" s="247"/>
      <c r="AE25" s="185">
        <f t="shared" si="18"/>
        <v>0</v>
      </c>
      <c r="AF25" s="247"/>
      <c r="AG25" s="247"/>
      <c r="AH25" s="247"/>
      <c r="AI25" s="247"/>
      <c r="AJ25" s="185">
        <f t="shared" si="19"/>
        <v>0</v>
      </c>
      <c r="AK25" s="247"/>
      <c r="AL25" s="247"/>
      <c r="AM25" s="247"/>
      <c r="AN25" s="247"/>
      <c r="AO25" s="185">
        <f t="shared" si="20"/>
        <v>0</v>
      </c>
    </row>
    <row r="26" ht="10.5" customHeight="1">
      <c r="A26" s="164" t="s">
        <v>375</v>
      </c>
      <c r="B26" s="186">
        <f t="shared" si="7"/>
        <v>0</v>
      </c>
      <c r="C26" s="186">
        <f t="shared" ref="C26:E26" si="63">C111-B111</f>
        <v>0</v>
      </c>
      <c r="D26" s="186">
        <f t="shared" si="63"/>
        <v>0</v>
      </c>
      <c r="E26" s="186">
        <f t="shared" si="63"/>
        <v>0</v>
      </c>
      <c r="F26" s="185">
        <f t="shared" si="9"/>
        <v>0</v>
      </c>
      <c r="G26" s="186">
        <f t="shared" si="10"/>
        <v>0.867</v>
      </c>
      <c r="H26" s="186">
        <f t="shared" ref="H26:J26" si="64">H111-G111</f>
        <v>-0.867</v>
      </c>
      <c r="I26" s="186">
        <f t="shared" si="64"/>
        <v>0.4</v>
      </c>
      <c r="J26" s="186">
        <f t="shared" si="64"/>
        <v>-1.071</v>
      </c>
      <c r="K26" s="185">
        <f t="shared" si="12"/>
        <v>-0.671</v>
      </c>
      <c r="L26" s="186">
        <f t="shared" si="13"/>
        <v>0.056</v>
      </c>
      <c r="M26" s="186">
        <f t="shared" ref="M26:N26" si="65">M111-L111</f>
        <v>-0.056</v>
      </c>
      <c r="N26" s="186">
        <f t="shared" si="65"/>
        <v>0</v>
      </c>
      <c r="O26" s="247"/>
      <c r="P26" s="185">
        <f t="shared" si="15"/>
        <v>0</v>
      </c>
      <c r="Q26" s="247"/>
      <c r="R26" s="247"/>
      <c r="S26" s="247"/>
      <c r="T26" s="247"/>
      <c r="U26" s="185">
        <f t="shared" si="16"/>
        <v>0</v>
      </c>
      <c r="V26" s="247"/>
      <c r="W26" s="247"/>
      <c r="X26" s="247"/>
      <c r="Y26" s="247"/>
      <c r="Z26" s="185">
        <f t="shared" si="17"/>
        <v>0</v>
      </c>
      <c r="AA26" s="247"/>
      <c r="AB26" s="247"/>
      <c r="AC26" s="247"/>
      <c r="AD26" s="247"/>
      <c r="AE26" s="185">
        <f t="shared" si="18"/>
        <v>0</v>
      </c>
      <c r="AF26" s="247"/>
      <c r="AG26" s="247"/>
      <c r="AH26" s="247"/>
      <c r="AI26" s="247"/>
      <c r="AJ26" s="185">
        <f t="shared" si="19"/>
        <v>0</v>
      </c>
      <c r="AK26" s="247"/>
      <c r="AL26" s="247"/>
      <c r="AM26" s="247"/>
      <c r="AN26" s="247"/>
      <c r="AO26" s="185">
        <f t="shared" si="20"/>
        <v>0</v>
      </c>
    </row>
    <row r="27" ht="10.5" customHeight="1">
      <c r="A27" s="164" t="s">
        <v>193</v>
      </c>
      <c r="B27" s="186">
        <f t="shared" si="7"/>
        <v>0</v>
      </c>
      <c r="C27" s="186">
        <f t="shared" ref="C27:E27" si="66">C112-B112</f>
        <v>0.11</v>
      </c>
      <c r="D27" s="186">
        <f t="shared" si="66"/>
        <v>0</v>
      </c>
      <c r="E27" s="186">
        <f t="shared" si="66"/>
        <v>0</v>
      </c>
      <c r="F27" s="185">
        <f t="shared" si="9"/>
        <v>0.11</v>
      </c>
      <c r="G27" s="186">
        <f t="shared" si="10"/>
        <v>0</v>
      </c>
      <c r="H27" s="186">
        <f t="shared" ref="H27:J27" si="67">H112-G112</f>
        <v>0</v>
      </c>
      <c r="I27" s="186">
        <f t="shared" si="67"/>
        <v>0</v>
      </c>
      <c r="J27" s="186">
        <f t="shared" si="67"/>
        <v>0</v>
      </c>
      <c r="K27" s="185">
        <f t="shared" si="12"/>
        <v>0</v>
      </c>
      <c r="L27" s="186">
        <f t="shared" si="13"/>
        <v>0</v>
      </c>
      <c r="M27" s="186">
        <f t="shared" ref="M27:N27" si="68">M112-L112</f>
        <v>0</v>
      </c>
      <c r="N27" s="186">
        <f t="shared" si="68"/>
        <v>0</v>
      </c>
      <c r="O27" s="247"/>
      <c r="P27" s="185">
        <f t="shared" si="15"/>
        <v>0</v>
      </c>
      <c r="Q27" s="247"/>
      <c r="R27" s="247"/>
      <c r="S27" s="247"/>
      <c r="T27" s="247"/>
      <c r="U27" s="185">
        <f t="shared" si="16"/>
        <v>0</v>
      </c>
      <c r="V27" s="247"/>
      <c r="W27" s="247"/>
      <c r="X27" s="247"/>
      <c r="Y27" s="247"/>
      <c r="Z27" s="185">
        <f t="shared" si="17"/>
        <v>0</v>
      </c>
      <c r="AA27" s="247"/>
      <c r="AB27" s="247"/>
      <c r="AC27" s="247"/>
      <c r="AD27" s="247"/>
      <c r="AE27" s="185">
        <f t="shared" si="18"/>
        <v>0</v>
      </c>
      <c r="AF27" s="247"/>
      <c r="AG27" s="247"/>
      <c r="AH27" s="247"/>
      <c r="AI27" s="247"/>
      <c r="AJ27" s="185">
        <f t="shared" si="19"/>
        <v>0</v>
      </c>
      <c r="AK27" s="247"/>
      <c r="AL27" s="247"/>
      <c r="AM27" s="247"/>
      <c r="AN27" s="247"/>
      <c r="AO27" s="185">
        <f t="shared" si="20"/>
        <v>0</v>
      </c>
    </row>
    <row r="28" ht="10.5" customHeight="1">
      <c r="A28" s="164" t="s">
        <v>208</v>
      </c>
      <c r="B28" s="186">
        <f t="shared" si="7"/>
        <v>0</v>
      </c>
      <c r="C28" s="186">
        <f t="shared" ref="C28:E28" si="69">C113-B113</f>
        <v>0</v>
      </c>
      <c r="D28" s="186">
        <f t="shared" si="69"/>
        <v>0</v>
      </c>
      <c r="E28" s="186">
        <f t="shared" si="69"/>
        <v>0</v>
      </c>
      <c r="F28" s="185">
        <f t="shared" si="9"/>
        <v>0</v>
      </c>
      <c r="G28" s="186">
        <f t="shared" si="10"/>
        <v>0</v>
      </c>
      <c r="H28" s="186">
        <f t="shared" ref="H28:J28" si="70">H113-G113</f>
        <v>0</v>
      </c>
      <c r="I28" s="186">
        <f t="shared" si="70"/>
        <v>0</v>
      </c>
      <c r="J28" s="186">
        <f t="shared" si="70"/>
        <v>0</v>
      </c>
      <c r="K28" s="185">
        <f t="shared" si="12"/>
        <v>0</v>
      </c>
      <c r="L28" s="186">
        <f t="shared" si="13"/>
        <v>0</v>
      </c>
      <c r="M28" s="186">
        <f t="shared" ref="M28:N28" si="71">M113-L113</f>
        <v>0</v>
      </c>
      <c r="N28" s="186">
        <f t="shared" si="71"/>
        <v>-6.443</v>
      </c>
      <c r="O28" s="247"/>
      <c r="P28" s="185">
        <f t="shared" si="15"/>
        <v>-6.443</v>
      </c>
      <c r="Q28" s="247"/>
      <c r="R28" s="247"/>
      <c r="S28" s="247"/>
      <c r="T28" s="247"/>
      <c r="U28" s="185">
        <f t="shared" si="16"/>
        <v>0</v>
      </c>
      <c r="V28" s="247"/>
      <c r="W28" s="247"/>
      <c r="X28" s="247"/>
      <c r="Y28" s="247"/>
      <c r="Z28" s="185">
        <f t="shared" si="17"/>
        <v>0</v>
      </c>
      <c r="AA28" s="247"/>
      <c r="AB28" s="247"/>
      <c r="AC28" s="247"/>
      <c r="AD28" s="247"/>
      <c r="AE28" s="185">
        <f t="shared" si="18"/>
        <v>0</v>
      </c>
      <c r="AF28" s="247"/>
      <c r="AG28" s="247"/>
      <c r="AH28" s="247"/>
      <c r="AI28" s="247"/>
      <c r="AJ28" s="185">
        <f t="shared" si="19"/>
        <v>0</v>
      </c>
      <c r="AK28" s="247"/>
      <c r="AL28" s="247"/>
      <c r="AM28" s="247"/>
      <c r="AN28" s="247"/>
      <c r="AO28" s="185">
        <f t="shared" si="20"/>
        <v>0</v>
      </c>
    </row>
    <row r="29" ht="10.5" customHeight="1">
      <c r="A29" s="164" t="s">
        <v>376</v>
      </c>
      <c r="B29" s="186">
        <f t="shared" si="7"/>
        <v>0</v>
      </c>
      <c r="C29" s="186">
        <f t="shared" ref="C29:E29" si="72">C114-B114</f>
        <v>0</v>
      </c>
      <c r="D29" s="186">
        <f t="shared" si="72"/>
        <v>0</v>
      </c>
      <c r="E29" s="186">
        <f t="shared" si="72"/>
        <v>0</v>
      </c>
      <c r="F29" s="185">
        <f t="shared" si="9"/>
        <v>0</v>
      </c>
      <c r="G29" s="186">
        <f t="shared" si="10"/>
        <v>0</v>
      </c>
      <c r="H29" s="186">
        <f t="shared" ref="H29:J29" si="73">H114-G114</f>
        <v>0</v>
      </c>
      <c r="I29" s="186">
        <f t="shared" si="73"/>
        <v>0</v>
      </c>
      <c r="J29" s="186">
        <f t="shared" si="73"/>
        <v>0</v>
      </c>
      <c r="K29" s="185">
        <f t="shared" si="12"/>
        <v>0</v>
      </c>
      <c r="L29" s="186">
        <f t="shared" si="13"/>
        <v>0</v>
      </c>
      <c r="M29" s="186">
        <f t="shared" ref="M29:N29" si="74">M114-L114</f>
        <v>0</v>
      </c>
      <c r="N29" s="186">
        <f t="shared" si="74"/>
        <v>0</v>
      </c>
      <c r="O29" s="247"/>
      <c r="P29" s="185">
        <f t="shared" si="15"/>
        <v>0</v>
      </c>
      <c r="Q29" s="247"/>
      <c r="R29" s="247"/>
      <c r="S29" s="247"/>
      <c r="T29" s="247"/>
      <c r="U29" s="185">
        <f t="shared" si="16"/>
        <v>0</v>
      </c>
      <c r="V29" s="247"/>
      <c r="W29" s="247"/>
      <c r="X29" s="247"/>
      <c r="Y29" s="247"/>
      <c r="Z29" s="185">
        <f t="shared" si="17"/>
        <v>0</v>
      </c>
      <c r="AA29" s="247"/>
      <c r="AB29" s="247"/>
      <c r="AC29" s="247"/>
      <c r="AD29" s="247"/>
      <c r="AE29" s="185">
        <f t="shared" si="18"/>
        <v>0</v>
      </c>
      <c r="AF29" s="247"/>
      <c r="AG29" s="247"/>
      <c r="AH29" s="247"/>
      <c r="AI29" s="247"/>
      <c r="AJ29" s="185">
        <f t="shared" si="19"/>
        <v>0</v>
      </c>
      <c r="AK29" s="247"/>
      <c r="AL29" s="247"/>
      <c r="AM29" s="247"/>
      <c r="AN29" s="247"/>
      <c r="AO29" s="185">
        <f t="shared" si="20"/>
        <v>0</v>
      </c>
    </row>
    <row r="30" ht="10.5" customHeight="1">
      <c r="A30" s="164" t="s">
        <v>377</v>
      </c>
      <c r="B30" s="186">
        <f t="shared" si="7"/>
        <v>2.049</v>
      </c>
      <c r="C30" s="186">
        <f t="shared" ref="C30:E30" si="75">C115-B115</f>
        <v>2.744</v>
      </c>
      <c r="D30" s="186">
        <f t="shared" si="75"/>
        <v>1.533</v>
      </c>
      <c r="E30" s="186">
        <f t="shared" si="75"/>
        <v>1.58</v>
      </c>
      <c r="F30" s="185">
        <f t="shared" si="9"/>
        <v>7.906</v>
      </c>
      <c r="G30" s="186">
        <f t="shared" si="10"/>
        <v>0.975</v>
      </c>
      <c r="H30" s="186">
        <f t="shared" ref="H30:J30" si="76">H115-G115</f>
        <v>1.872</v>
      </c>
      <c r="I30" s="186">
        <f t="shared" si="76"/>
        <v>3.118</v>
      </c>
      <c r="J30" s="186">
        <f t="shared" si="76"/>
        <v>2.948</v>
      </c>
      <c r="K30" s="185">
        <f t="shared" si="12"/>
        <v>8.913</v>
      </c>
      <c r="L30" s="186">
        <f t="shared" si="13"/>
        <v>2.631</v>
      </c>
      <c r="M30" s="186">
        <f t="shared" ref="M30:N30" si="77">M115-L115</f>
        <v>3.507</v>
      </c>
      <c r="N30" s="186">
        <f t="shared" si="77"/>
        <v>2.994</v>
      </c>
      <c r="O30" s="186">
        <f>Assumptions!O116</f>
        <v>2.92303129</v>
      </c>
      <c r="P30" s="185">
        <f t="shared" si="15"/>
        <v>12.05503129</v>
      </c>
      <c r="Q30" s="186">
        <f>Assumptions!Q116</f>
        <v>3.02061602</v>
      </c>
      <c r="R30" s="186">
        <f>Assumptions!R116</f>
        <v>3.98772667</v>
      </c>
      <c r="S30" s="186">
        <f>Assumptions!S116</f>
        <v>3.408623647</v>
      </c>
      <c r="T30" s="186">
        <f>Assumptions!T116</f>
        <v>3.323284418</v>
      </c>
      <c r="U30" s="185">
        <f t="shared" si="16"/>
        <v>13.74025076</v>
      </c>
      <c r="V30" s="186">
        <f>Assumptions!V116</f>
        <v>3.35728714</v>
      </c>
      <c r="W30" s="186">
        <f>Assumptions!W116</f>
        <v>4.417038429</v>
      </c>
      <c r="X30" s="186">
        <f>Assumptions!X116</f>
        <v>3.768421269</v>
      </c>
      <c r="Y30" s="186">
        <f>Assumptions!Y116</f>
        <v>3.666457858</v>
      </c>
      <c r="Z30" s="185">
        <f t="shared" si="17"/>
        <v>15.2092047</v>
      </c>
      <c r="AA30" s="186">
        <f>Assumptions!AA116</f>
        <v>3.700300318</v>
      </c>
      <c r="AB30" s="186">
        <f>Assumptions!AB116</f>
        <v>4.82632393</v>
      </c>
      <c r="AC30" s="186">
        <f>Assumptions!AC116</f>
        <v>4.115613019</v>
      </c>
      <c r="AD30" s="186">
        <f>Assumptions!AD116</f>
        <v>3.988868421</v>
      </c>
      <c r="AE30" s="185">
        <f t="shared" si="18"/>
        <v>16.63110569</v>
      </c>
      <c r="AF30" s="186">
        <f>Assumptions!AF116</f>
        <v>3.390148426</v>
      </c>
      <c r="AG30" s="186">
        <f>Assumptions!AG116</f>
        <v>5.211886673</v>
      </c>
      <c r="AH30" s="186">
        <f>Assumptions!AH116</f>
        <v>5.001123305</v>
      </c>
      <c r="AI30" s="186">
        <f>Assumptions!AI116</f>
        <v>4.544067875</v>
      </c>
      <c r="AJ30" s="185">
        <f t="shared" si="19"/>
        <v>18.14722628</v>
      </c>
      <c r="AK30" s="186">
        <f>Assumptions!AK116</f>
        <v>3.652813436</v>
      </c>
      <c r="AL30" s="186">
        <f>Assumptions!AL116</f>
        <v>5.578393022</v>
      </c>
      <c r="AM30" s="186">
        <f>Assumptions!AM116</f>
        <v>5.350639134</v>
      </c>
      <c r="AN30" s="186">
        <f>Assumptions!AN116</f>
        <v>4.847771125</v>
      </c>
      <c r="AO30" s="185">
        <f t="shared" si="20"/>
        <v>19.42961672</v>
      </c>
    </row>
    <row r="31" ht="10.5" customHeight="1">
      <c r="A31" s="164" t="s">
        <v>210</v>
      </c>
      <c r="B31" s="186">
        <f t="shared" si="7"/>
        <v>-0.044</v>
      </c>
      <c r="C31" s="186">
        <f t="shared" ref="C31:E31" si="78">C116-B116</f>
        <v>-0.007</v>
      </c>
      <c r="D31" s="186">
        <f t="shared" si="78"/>
        <v>0.184</v>
      </c>
      <c r="E31" s="186">
        <f t="shared" si="78"/>
        <v>-0.527</v>
      </c>
      <c r="F31" s="185">
        <f t="shared" si="9"/>
        <v>-0.394</v>
      </c>
      <c r="G31" s="186">
        <f t="shared" si="10"/>
        <v>-0.041</v>
      </c>
      <c r="H31" s="186">
        <f t="shared" ref="H31:J31" si="79">H116-G116</f>
        <v>1.341</v>
      </c>
      <c r="I31" s="186">
        <f t="shared" si="79"/>
        <v>-1.162</v>
      </c>
      <c r="J31" s="186">
        <f t="shared" si="79"/>
        <v>1.142</v>
      </c>
      <c r="K31" s="185">
        <f t="shared" si="12"/>
        <v>1.28</v>
      </c>
      <c r="L31" s="186">
        <f t="shared" si="13"/>
        <v>-1.777</v>
      </c>
      <c r="M31" s="186">
        <f t="shared" ref="M31:N31" si="80">M116-L116</f>
        <v>0.527</v>
      </c>
      <c r="N31" s="186">
        <f t="shared" si="80"/>
        <v>-0.361</v>
      </c>
      <c r="O31" s="247"/>
      <c r="P31" s="185">
        <f t="shared" si="15"/>
        <v>-1.611</v>
      </c>
      <c r="Q31" s="247"/>
      <c r="R31" s="247"/>
      <c r="S31" s="247"/>
      <c r="T31" s="247"/>
      <c r="U31" s="185">
        <f t="shared" si="16"/>
        <v>0</v>
      </c>
      <c r="V31" s="247"/>
      <c r="W31" s="247"/>
      <c r="X31" s="247"/>
      <c r="Y31" s="247"/>
      <c r="Z31" s="185">
        <f t="shared" si="17"/>
        <v>0</v>
      </c>
      <c r="AA31" s="247"/>
      <c r="AB31" s="247"/>
      <c r="AC31" s="247"/>
      <c r="AD31" s="247"/>
      <c r="AE31" s="185">
        <f t="shared" si="18"/>
        <v>0</v>
      </c>
      <c r="AF31" s="247"/>
      <c r="AG31" s="247"/>
      <c r="AH31" s="247"/>
      <c r="AI31" s="247"/>
      <c r="AJ31" s="185">
        <f t="shared" si="19"/>
        <v>0</v>
      </c>
      <c r="AK31" s="247"/>
      <c r="AL31" s="247"/>
      <c r="AM31" s="247"/>
      <c r="AN31" s="247"/>
      <c r="AO31" s="185">
        <f t="shared" si="20"/>
        <v>0</v>
      </c>
    </row>
    <row r="32" ht="10.5" customHeight="1">
      <c r="A32" s="164" t="s">
        <v>378</v>
      </c>
      <c r="B32" s="186"/>
      <c r="C32" s="186"/>
      <c r="D32" s="186"/>
      <c r="E32" s="186"/>
      <c r="F32" s="185"/>
      <c r="G32" s="186"/>
      <c r="H32" s="186"/>
      <c r="I32" s="186"/>
      <c r="J32" s="186"/>
      <c r="K32" s="185"/>
      <c r="L32" s="186"/>
      <c r="M32" s="186"/>
      <c r="N32" s="186"/>
      <c r="O32" s="186"/>
      <c r="P32" s="185"/>
      <c r="Q32" s="186"/>
      <c r="R32" s="186"/>
      <c r="S32" s="186"/>
      <c r="T32" s="186"/>
      <c r="U32" s="185"/>
      <c r="V32" s="186"/>
      <c r="W32" s="186"/>
      <c r="X32" s="186"/>
      <c r="Y32" s="186"/>
      <c r="Z32" s="185"/>
      <c r="AA32" s="186"/>
      <c r="AB32" s="186"/>
      <c r="AC32" s="186"/>
      <c r="AD32" s="186"/>
      <c r="AE32" s="185"/>
      <c r="AF32" s="186"/>
      <c r="AG32" s="186"/>
      <c r="AH32" s="186"/>
      <c r="AI32" s="186"/>
      <c r="AJ32" s="185"/>
      <c r="AK32" s="186"/>
      <c r="AL32" s="186"/>
      <c r="AM32" s="186"/>
      <c r="AN32" s="186"/>
      <c r="AO32" s="185"/>
    </row>
    <row r="33" ht="10.5" customHeight="1">
      <c r="A33" s="183" t="s">
        <v>305</v>
      </c>
      <c r="B33" s="186">
        <f t="shared" ref="B33:B44" si="84">B118</f>
        <v>25.619</v>
      </c>
      <c r="C33" s="186">
        <f t="shared" ref="C33:E33" si="81">C118-B118</f>
        <v>-26.4</v>
      </c>
      <c r="D33" s="186">
        <f t="shared" si="81"/>
        <v>10.867</v>
      </c>
      <c r="E33" s="186">
        <f t="shared" si="81"/>
        <v>-5.325</v>
      </c>
      <c r="F33" s="185">
        <f t="shared" ref="F33:F44" si="86">SUM(B33:E33)</f>
        <v>4.761</v>
      </c>
      <c r="G33" s="186">
        <f t="shared" ref="G33:G44" si="87">G118</f>
        <v>18.084</v>
      </c>
      <c r="H33" s="186">
        <f t="shared" ref="H33:J33" si="82">H118-G118</f>
        <v>-17.704</v>
      </c>
      <c r="I33" s="186">
        <f t="shared" si="82"/>
        <v>-7.823</v>
      </c>
      <c r="J33" s="186">
        <f t="shared" si="82"/>
        <v>-29.016</v>
      </c>
      <c r="K33" s="185">
        <f t="shared" ref="K33:K44" si="89">SUM(G33:J33)</f>
        <v>-36.459</v>
      </c>
      <c r="L33" s="186">
        <f t="shared" ref="L33:L44" si="90">L118</f>
        <v>38.49</v>
      </c>
      <c r="M33" s="186">
        <f t="shared" ref="M33:N33" si="83">M118-L118</f>
        <v>-33.743</v>
      </c>
      <c r="N33" s="186">
        <f t="shared" si="83"/>
        <v>2.737</v>
      </c>
      <c r="O33" s="186">
        <f>'Balance Sheet'!K12-'Balance Sheet'!L12</f>
        <v>-15.03487271</v>
      </c>
      <c r="P33" s="185">
        <f t="shared" ref="P33:P44" si="92">SUM(L33:O33)</f>
        <v>-7.550872706</v>
      </c>
      <c r="Q33" s="186">
        <f>'Balance Sheet'!M12-'Balance Sheet'!N12</f>
        <v>42.35689756</v>
      </c>
      <c r="R33" s="186">
        <f>'Balance Sheet'!N12-'Balance Sheet'!O12</f>
        <v>-38.27861173</v>
      </c>
      <c r="S33" s="186">
        <f>'Balance Sheet'!O12-'Balance Sheet'!P12</f>
        <v>35.06602343</v>
      </c>
      <c r="T33" s="186">
        <f>'Balance Sheet'!P12-'Balance Sheet'!Q12</f>
        <v>-115.8077286</v>
      </c>
      <c r="U33" s="185">
        <f t="shared" ref="U33:U44" si="93">SUM(Q33:T33)</f>
        <v>-76.66341938</v>
      </c>
      <c r="V33" s="186">
        <f>'Balance Sheet'!R12-'Balance Sheet'!S12</f>
        <v>113.3585514</v>
      </c>
      <c r="W33" s="186">
        <f>'Balance Sheet'!S12-'Balance Sheet'!T12</f>
        <v>-42.65786429</v>
      </c>
      <c r="X33" s="186">
        <f>'Balance Sheet'!T12-'Balance Sheet'!U12</f>
        <v>39.76800795</v>
      </c>
      <c r="Y33" s="186">
        <f>'Balance Sheet'!U12-'Balance Sheet'!V12</f>
        <v>-130.4930423</v>
      </c>
      <c r="Z33" s="185">
        <f t="shared" ref="Z33:Z44" si="94">SUM(V33:Y33)</f>
        <v>-20.02434725</v>
      </c>
      <c r="AA33" s="186">
        <f>'Balance Sheet'!W12-'Balance Sheet'!X12</f>
        <v>128.2777057</v>
      </c>
      <c r="AB33" s="186">
        <f>'Balance Sheet'!X12-'Balance Sheet'!Y12</f>
        <v>-46.7557644</v>
      </c>
      <c r="AC33" s="186">
        <f>'Balance Sheet'!Y12-'Balance Sheet'!Z12</f>
        <v>43.94424476</v>
      </c>
      <c r="AD33" s="186">
        <f>'Balance Sheet'!Z12-'Balance Sheet'!AA12</f>
        <v>-143.560119</v>
      </c>
      <c r="AE33" s="185">
        <f t="shared" ref="AE33:AE44" si="95">SUM(AA33:AD33)</f>
        <v>-18.09393297</v>
      </c>
      <c r="AF33" s="186">
        <f>'Balance Sheet'!AB12-'Balance Sheet'!AC12</f>
        <v>141.45862</v>
      </c>
      <c r="AG33" s="186">
        <f>'Balance Sheet'!AC12-'Balance Sheet'!AD12</f>
        <v>-50.72381388</v>
      </c>
      <c r="AH33" s="186">
        <f>'Balance Sheet'!AD12-'Balance Sheet'!AE12</f>
        <v>47.99975596</v>
      </c>
      <c r="AI33" s="186">
        <f>'Balance Sheet'!AE12-'Balance Sheet'!AF12</f>
        <v>-156.0155629</v>
      </c>
      <c r="AJ33" s="185">
        <f t="shared" ref="AJ33:AJ44" si="96">SUM(AF33:AI33)</f>
        <v>-17.2810009</v>
      </c>
      <c r="AK33" s="186">
        <f>'Balance Sheet'!AG12-'Balance Sheet'!AH12</f>
        <v>154.1534354</v>
      </c>
      <c r="AL33" s="186">
        <f>'Balance Sheet'!AH12-'Balance Sheet'!AI12</f>
        <v>-54.35295104</v>
      </c>
      <c r="AM33" s="186">
        <f>'Balance Sheet'!AI12-'Balance Sheet'!AJ12</f>
        <v>51.74922641</v>
      </c>
      <c r="AN33" s="186">
        <f>'Balance Sheet'!AJ12-'Balance Sheet'!AK12</f>
        <v>-167.9993553</v>
      </c>
      <c r="AO33" s="185">
        <f t="shared" ref="AO33:AO44" si="97">SUM(AK33:AN33)</f>
        <v>-16.44964455</v>
      </c>
    </row>
    <row r="34" ht="10.5" customHeight="1">
      <c r="A34" s="183" t="s">
        <v>306</v>
      </c>
      <c r="B34" s="186">
        <f t="shared" si="84"/>
        <v>0</v>
      </c>
      <c r="C34" s="186">
        <f t="shared" ref="C34:E34" si="85">C119-B119</f>
        <v>0</v>
      </c>
      <c r="D34" s="186">
        <f t="shared" si="85"/>
        <v>0</v>
      </c>
      <c r="E34" s="186">
        <f t="shared" si="85"/>
        <v>0</v>
      </c>
      <c r="F34" s="185">
        <f t="shared" si="86"/>
        <v>0</v>
      </c>
      <c r="G34" s="186">
        <f t="shared" si="87"/>
        <v>0</v>
      </c>
      <c r="H34" s="186">
        <f t="shared" ref="H34:J34" si="88">H119-G119</f>
        <v>0</v>
      </c>
      <c r="I34" s="186">
        <f t="shared" si="88"/>
        <v>0</v>
      </c>
      <c r="J34" s="186">
        <f t="shared" si="88"/>
        <v>0</v>
      </c>
      <c r="K34" s="185">
        <f t="shared" si="89"/>
        <v>0</v>
      </c>
      <c r="L34" s="186">
        <f t="shared" si="90"/>
        <v>0</v>
      </c>
      <c r="M34" s="186">
        <f t="shared" ref="M34:N34" si="91">M119-L119</f>
        <v>0</v>
      </c>
      <c r="N34" s="186">
        <f t="shared" si="91"/>
        <v>0</v>
      </c>
      <c r="O34" s="186">
        <f>'Balance Sheet'!K13-'Balance Sheet'!L13</f>
        <v>0</v>
      </c>
      <c r="P34" s="185">
        <f t="shared" si="92"/>
        <v>0</v>
      </c>
      <c r="Q34" s="186">
        <f>'Balance Sheet'!M13-'Balance Sheet'!N13</f>
        <v>0</v>
      </c>
      <c r="R34" s="186">
        <f>'Balance Sheet'!N13-'Balance Sheet'!O13</f>
        <v>0</v>
      </c>
      <c r="S34" s="186">
        <f>'Balance Sheet'!O13-'Balance Sheet'!P13</f>
        <v>0</v>
      </c>
      <c r="T34" s="186">
        <f>'Balance Sheet'!P13-'Balance Sheet'!Q13</f>
        <v>0</v>
      </c>
      <c r="U34" s="185">
        <f t="shared" si="93"/>
        <v>0</v>
      </c>
      <c r="V34" s="186">
        <f>'Balance Sheet'!R13-'Balance Sheet'!S13</f>
        <v>0</v>
      </c>
      <c r="W34" s="186">
        <f>'Balance Sheet'!S13-'Balance Sheet'!T13</f>
        <v>0</v>
      </c>
      <c r="X34" s="186">
        <f>'Balance Sheet'!T13-'Balance Sheet'!U13</f>
        <v>0</v>
      </c>
      <c r="Y34" s="186">
        <f>'Balance Sheet'!U13-'Balance Sheet'!V13</f>
        <v>0</v>
      </c>
      <c r="Z34" s="185">
        <f t="shared" si="94"/>
        <v>0</v>
      </c>
      <c r="AA34" s="186">
        <f>'Balance Sheet'!W13-'Balance Sheet'!X13</f>
        <v>0</v>
      </c>
      <c r="AB34" s="186">
        <f>'Balance Sheet'!X13-'Balance Sheet'!Y13</f>
        <v>0</v>
      </c>
      <c r="AC34" s="186">
        <f>'Balance Sheet'!Y13-'Balance Sheet'!Z13</f>
        <v>0</v>
      </c>
      <c r="AD34" s="186">
        <f>'Balance Sheet'!Z13-'Balance Sheet'!AA13</f>
        <v>0</v>
      </c>
      <c r="AE34" s="185">
        <f t="shared" si="95"/>
        <v>0</v>
      </c>
      <c r="AF34" s="186">
        <f>'Balance Sheet'!AB13-'Balance Sheet'!AC13</f>
        <v>0</v>
      </c>
      <c r="AG34" s="186">
        <f>'Balance Sheet'!AC13-'Balance Sheet'!AD13</f>
        <v>0</v>
      </c>
      <c r="AH34" s="186">
        <f>'Balance Sheet'!AD13-'Balance Sheet'!AE13</f>
        <v>0</v>
      </c>
      <c r="AI34" s="186">
        <f>'Balance Sheet'!AE13-'Balance Sheet'!AF13</f>
        <v>0</v>
      </c>
      <c r="AJ34" s="185">
        <f t="shared" si="96"/>
        <v>0</v>
      </c>
      <c r="AK34" s="186">
        <f>'Balance Sheet'!AG13-'Balance Sheet'!AH13</f>
        <v>0</v>
      </c>
      <c r="AL34" s="186">
        <f>'Balance Sheet'!AH13-'Balance Sheet'!AI13</f>
        <v>0</v>
      </c>
      <c r="AM34" s="186">
        <f>'Balance Sheet'!AI13-'Balance Sheet'!AJ13</f>
        <v>0</v>
      </c>
      <c r="AN34" s="186">
        <f>'Balance Sheet'!AJ13-'Balance Sheet'!AK13</f>
        <v>0</v>
      </c>
      <c r="AO34" s="185">
        <f t="shared" si="97"/>
        <v>0</v>
      </c>
    </row>
    <row r="35" ht="10.5" customHeight="1">
      <c r="A35" s="183" t="s">
        <v>75</v>
      </c>
      <c r="B35" s="186">
        <f t="shared" si="84"/>
        <v>0.266</v>
      </c>
      <c r="C35" s="186">
        <f t="shared" ref="C35:E35" si="98">C120-B120</f>
        <v>-1.846</v>
      </c>
      <c r="D35" s="186">
        <f t="shared" si="98"/>
        <v>-0.69</v>
      </c>
      <c r="E35" s="186">
        <f t="shared" si="98"/>
        <v>2.869</v>
      </c>
      <c r="F35" s="185">
        <f t="shared" si="86"/>
        <v>0.599</v>
      </c>
      <c r="G35" s="186">
        <f t="shared" si="87"/>
        <v>-0.287</v>
      </c>
      <c r="H35" s="186">
        <f t="shared" ref="H35:J35" si="99">H120-G120</f>
        <v>-0.257</v>
      </c>
      <c r="I35" s="186">
        <f t="shared" si="99"/>
        <v>0.343</v>
      </c>
      <c r="J35" s="186">
        <f t="shared" si="99"/>
        <v>-1.283</v>
      </c>
      <c r="K35" s="185">
        <f t="shared" si="89"/>
        <v>-1.484</v>
      </c>
      <c r="L35" s="186">
        <f t="shared" si="90"/>
        <v>4.172</v>
      </c>
      <c r="M35" s="186">
        <f t="shared" ref="M35:N35" si="100">M120-L120</f>
        <v>-2.373</v>
      </c>
      <c r="N35" s="186">
        <f t="shared" si="100"/>
        <v>-2.635</v>
      </c>
      <c r="O35" s="186">
        <f>'Balance Sheet'!K14-'Balance Sheet'!L14</f>
        <v>-0.04711494995</v>
      </c>
      <c r="P35" s="185">
        <f t="shared" si="92"/>
        <v>-0.88311495</v>
      </c>
      <c r="Q35" s="186">
        <f>'Balance Sheet'!M14-'Balance Sheet'!N14</f>
        <v>4.796758664</v>
      </c>
      <c r="R35" s="186">
        <f>'Balance Sheet'!N14-'Balance Sheet'!O14</f>
        <v>-2.628236749</v>
      </c>
      <c r="S35" s="186">
        <f>'Balance Sheet'!O14-'Balance Sheet'!P14</f>
        <v>0.6471754578</v>
      </c>
      <c r="T35" s="186">
        <f>'Balance Sheet'!P14-'Balance Sheet'!Q14</f>
        <v>-9.793679952</v>
      </c>
      <c r="U35" s="185">
        <f t="shared" si="93"/>
        <v>-6.97798258</v>
      </c>
      <c r="V35" s="186">
        <f>'Balance Sheet'!R14-'Balance Sheet'!S14</f>
        <v>11.56077807</v>
      </c>
      <c r="W35" s="186">
        <f>'Balance Sheet'!S14-'Balance Sheet'!T14</f>
        <v>-2.84880212</v>
      </c>
      <c r="X35" s="186">
        <f>'Balance Sheet'!T14-'Balance Sheet'!U14</f>
        <v>0.7340727045</v>
      </c>
      <c r="Y35" s="186">
        <f>'Balance Sheet'!U14-'Balance Sheet'!V14</f>
        <v>-10.67207892</v>
      </c>
      <c r="Z35" s="185">
        <f t="shared" si="94"/>
        <v>-1.226030266</v>
      </c>
      <c r="AA35" s="186">
        <f>'Balance Sheet'!W14-'Balance Sheet'!X14</f>
        <v>12.5940619</v>
      </c>
      <c r="AB35" s="186">
        <f>'Balance Sheet'!X14-'Balance Sheet'!Y14</f>
        <v>-3.099075219</v>
      </c>
      <c r="AC35" s="186">
        <f>'Balance Sheet'!Y14-'Balance Sheet'!Z14</f>
        <v>0.7732274366</v>
      </c>
      <c r="AD35" s="186">
        <f>'Balance Sheet'!Z14-'Balance Sheet'!AA14</f>
        <v>-11.50765511</v>
      </c>
      <c r="AE35" s="185">
        <f t="shared" si="95"/>
        <v>-1.239440999</v>
      </c>
      <c r="AF35" s="186">
        <f>'Balance Sheet'!AB14-'Balance Sheet'!AC14</f>
        <v>13.59414077</v>
      </c>
      <c r="AG35" s="186">
        <f>'Balance Sheet'!AC14-'Balance Sheet'!AD14</f>
        <v>-3.362888267</v>
      </c>
      <c r="AH35" s="186">
        <f>'Balance Sheet'!AD14-'Balance Sheet'!AE14</f>
        <v>0.8570471023</v>
      </c>
      <c r="AI35" s="186">
        <f>'Balance Sheet'!AE14-'Balance Sheet'!AF14</f>
        <v>-12.4827937</v>
      </c>
      <c r="AJ35" s="185">
        <f t="shared" si="96"/>
        <v>-1.394494099</v>
      </c>
      <c r="AK35" s="186">
        <f>'Balance Sheet'!AG14-'Balance Sheet'!AH14</f>
        <v>14.7652117</v>
      </c>
      <c r="AL35" s="186">
        <f>'Balance Sheet'!AH14-'Balance Sheet'!AI14</f>
        <v>-3.604745875</v>
      </c>
      <c r="AM35" s="186">
        <f>'Balance Sheet'!AI14-'Balance Sheet'!AJ14</f>
        <v>0.9343720632</v>
      </c>
      <c r="AN35" s="186">
        <f>'Balance Sheet'!AJ14-'Balance Sheet'!AK14</f>
        <v>-13.41594002</v>
      </c>
      <c r="AO35" s="185">
        <f t="shared" si="97"/>
        <v>-1.32110214</v>
      </c>
    </row>
    <row r="36" ht="10.5" customHeight="1">
      <c r="A36" s="183" t="s">
        <v>379</v>
      </c>
      <c r="B36" s="186">
        <f t="shared" si="84"/>
        <v>2.01</v>
      </c>
      <c r="C36" s="186">
        <f t="shared" ref="C36:E36" si="101">C121-B121</f>
        <v>2.421</v>
      </c>
      <c r="D36" s="186">
        <f t="shared" si="101"/>
        <v>-6.153</v>
      </c>
      <c r="E36" s="186">
        <f t="shared" si="101"/>
        <v>2.651</v>
      </c>
      <c r="F36" s="185">
        <f t="shared" si="86"/>
        <v>0.929</v>
      </c>
      <c r="G36" s="186">
        <f t="shared" si="87"/>
        <v>-6.444</v>
      </c>
      <c r="H36" s="186">
        <f t="shared" ref="H36:J36" si="102">H121-G121</f>
        <v>0.131</v>
      </c>
      <c r="I36" s="186">
        <f t="shared" si="102"/>
        <v>8.048</v>
      </c>
      <c r="J36" s="186">
        <f t="shared" si="102"/>
        <v>-13.52</v>
      </c>
      <c r="K36" s="185">
        <f t="shared" si="89"/>
        <v>-11.785</v>
      </c>
      <c r="L36" s="186">
        <f t="shared" si="90"/>
        <v>0.868</v>
      </c>
      <c r="M36" s="186">
        <f t="shared" ref="M36:N36" si="103">M121-L121</f>
        <v>-6.268</v>
      </c>
      <c r="N36" s="186">
        <f t="shared" si="103"/>
        <v>6.981</v>
      </c>
      <c r="O36" s="186">
        <f>'Balance Sheet'!K16-'Balance Sheet'!L16+'Balance Sheet'!K17-'Balance Sheet'!L17+'Balance Sheet'!K18-'Balance Sheet'!L18+'Balance Sheet'!K19-'Balance Sheet'!L19+'Balance Sheet'!K24-'Balance Sheet'!L24+'Balance Sheet'!K27-'Balance Sheet'!L27+'Balance Sheet'!K28-'Balance Sheet'!L28</f>
        <v>-0.6402136665</v>
      </c>
      <c r="P36" s="185">
        <f t="shared" si="92"/>
        <v>0.9407863335</v>
      </c>
      <c r="Q36" s="186">
        <f>'Balance Sheet'!M16-'Balance Sheet'!N16+'Balance Sheet'!M17-'Balance Sheet'!N17+'Balance Sheet'!M18-'Balance Sheet'!N18+'Balance Sheet'!M19-'Balance Sheet'!N19+'Balance Sheet'!M24-'Balance Sheet'!N24+'Balance Sheet'!M27-'Balance Sheet'!N27+'Balance Sheet'!M28-'Balance Sheet'!N28</f>
        <v>5.359444531</v>
      </c>
      <c r="R36" s="186">
        <f>'Balance Sheet'!N16-'Balance Sheet'!O16+'Balance Sheet'!N17-'Balance Sheet'!O17+'Balance Sheet'!N18-'Balance Sheet'!O18+'Balance Sheet'!N19-'Balance Sheet'!O19+'Balance Sheet'!N24-'Balance Sheet'!O24+'Balance Sheet'!N27-'Balance Sheet'!O27+'Balance Sheet'!N28-'Balance Sheet'!O28</f>
        <v>-2.994892993</v>
      </c>
      <c r="S36" s="186">
        <f>'Balance Sheet'!O16-'Balance Sheet'!P16+'Balance Sheet'!O17-'Balance Sheet'!P17+'Balance Sheet'!O18-'Balance Sheet'!P18+'Balance Sheet'!O19-'Balance Sheet'!P19+'Balance Sheet'!O24-'Balance Sheet'!P24+'Balance Sheet'!O27-'Balance Sheet'!P27+'Balance Sheet'!O28-'Balance Sheet'!P28</f>
        <v>6.209780719</v>
      </c>
      <c r="T36" s="186">
        <f>'Balance Sheet'!P16-'Balance Sheet'!Q16+'Balance Sheet'!P17-'Balance Sheet'!Q17+'Balance Sheet'!P18-'Balance Sheet'!Q18+'Balance Sheet'!P19-'Balance Sheet'!Q19+'Balance Sheet'!P24-'Balance Sheet'!Q24+'Balance Sheet'!P27-'Balance Sheet'!Q27+'Balance Sheet'!P28-'Balance Sheet'!Q28</f>
        <v>-29.93912393</v>
      </c>
      <c r="U36" s="185">
        <f t="shared" si="93"/>
        <v>-21.36479167</v>
      </c>
      <c r="V36" s="186">
        <f>'Balance Sheet'!R16-'Balance Sheet'!S16+'Balance Sheet'!R17-'Balance Sheet'!S17+'Balance Sheet'!R18-'Balance Sheet'!S18+'Balance Sheet'!R19-'Balance Sheet'!S19+'Balance Sheet'!R24-'Balance Sheet'!S24+'Balance Sheet'!R27-'Balance Sheet'!S27+'Balance Sheet'!R28-'Balance Sheet'!S28</f>
        <v>24.29985831</v>
      </c>
      <c r="W36" s="186">
        <f>'Balance Sheet'!S16-'Balance Sheet'!T16+'Balance Sheet'!S17-'Balance Sheet'!T17+'Balance Sheet'!S18-'Balance Sheet'!T18+'Balance Sheet'!S19-'Balance Sheet'!T19+'Balance Sheet'!S24-'Balance Sheet'!T24+'Balance Sheet'!S27-'Balance Sheet'!T27+'Balance Sheet'!S28-'Balance Sheet'!T28</f>
        <v>-3.217262811</v>
      </c>
      <c r="X36" s="186">
        <f>'Balance Sheet'!T16-'Balance Sheet'!U16+'Balance Sheet'!T17-'Balance Sheet'!U17+'Balance Sheet'!T18-'Balance Sheet'!U18+'Balance Sheet'!T19-'Balance Sheet'!U19+'Balance Sheet'!T24-'Balance Sheet'!U24+'Balance Sheet'!T27-'Balance Sheet'!U27+'Balance Sheet'!T28-'Balance Sheet'!U28</f>
        <v>7.09951823</v>
      </c>
      <c r="Y36" s="186">
        <f>'Balance Sheet'!U16-'Balance Sheet'!V16+'Balance Sheet'!U17-'Balance Sheet'!V17+'Balance Sheet'!U18-'Balance Sheet'!V18+'Balance Sheet'!U19-'Balance Sheet'!V19+'Balance Sheet'!U24-'Balance Sheet'!V24+'Balance Sheet'!U27-'Balance Sheet'!V27+'Balance Sheet'!U28-'Balance Sheet'!V28</f>
        <v>-33.76255889</v>
      </c>
      <c r="Z36" s="185">
        <f t="shared" si="94"/>
        <v>-5.580445157</v>
      </c>
      <c r="AA36" s="186">
        <f>'Balance Sheet'!W16-'Balance Sheet'!X16+'Balance Sheet'!W17-'Balance Sheet'!X17+'Balance Sheet'!W18-'Balance Sheet'!X18+'Balance Sheet'!W19-'Balance Sheet'!X19+'Balance Sheet'!W24-'Balance Sheet'!X24+'Balance Sheet'!W27-'Balance Sheet'!X27+'Balance Sheet'!W28-'Balance Sheet'!X28</f>
        <v>27.69425095</v>
      </c>
      <c r="AB36" s="186">
        <f>'Balance Sheet'!X16-'Balance Sheet'!Y16+'Balance Sheet'!X17-'Balance Sheet'!Y17+'Balance Sheet'!X18-'Balance Sheet'!Y18+'Balance Sheet'!X19-'Balance Sheet'!Y19+'Balance Sheet'!X24-'Balance Sheet'!Y24+'Balance Sheet'!X27-'Balance Sheet'!Y27+'Balance Sheet'!X28-'Balance Sheet'!Y28</f>
        <v>-3.457086343</v>
      </c>
      <c r="AC36" s="186">
        <f>'Balance Sheet'!Y16-'Balance Sheet'!Z16+'Balance Sheet'!Y17-'Balance Sheet'!Z17+'Balance Sheet'!Y18-'Balance Sheet'!Z18+'Balance Sheet'!Y19-'Balance Sheet'!Z19+'Balance Sheet'!Y24-'Balance Sheet'!Z24+'Balance Sheet'!Y27-'Balance Sheet'!Z27+'Balance Sheet'!Y28-'Balance Sheet'!Z28</f>
        <v>7.871117815</v>
      </c>
      <c r="AD36" s="186">
        <f>'Balance Sheet'!Z16-'Balance Sheet'!AA16+'Balance Sheet'!Z17-'Balance Sheet'!AA17+'Balance Sheet'!Z18-'Balance Sheet'!AA18+'Balance Sheet'!Z19-'Balance Sheet'!AA19+'Balance Sheet'!Z24-'Balance Sheet'!AA24+'Balance Sheet'!Z27-'Balance Sheet'!AA27+'Balance Sheet'!Z28-'Balance Sheet'!AA28</f>
        <v>-37.15075394</v>
      </c>
      <c r="AE36" s="185">
        <f t="shared" si="95"/>
        <v>-5.042471515</v>
      </c>
      <c r="AF36" s="186">
        <f>'Balance Sheet'!AB16-'Balance Sheet'!AC16+'Balance Sheet'!AB17-'Balance Sheet'!AC17+'Balance Sheet'!AB18-'Balance Sheet'!AC18+'Balance Sheet'!AB19-'Balance Sheet'!AC19+'Balance Sheet'!AB24-'Balance Sheet'!AC24+'Balance Sheet'!AB27-'Balance Sheet'!AC27+'Balance Sheet'!AB28-'Balance Sheet'!AC28</f>
        <v>30.63295928</v>
      </c>
      <c r="AG36" s="186">
        <f>'Balance Sheet'!AC16-'Balance Sheet'!AD16+'Balance Sheet'!AC17-'Balance Sheet'!AD17+'Balance Sheet'!AC18-'Balance Sheet'!AD18+'Balance Sheet'!AC19-'Balance Sheet'!AD19+'Balance Sheet'!AC24-'Balance Sheet'!AD24+'Balance Sheet'!AC27-'Balance Sheet'!AD27+'Balance Sheet'!AC28-'Balance Sheet'!AD28</f>
        <v>-3.694315532</v>
      </c>
      <c r="AH36" s="186">
        <f>'Balance Sheet'!AD16-'Balance Sheet'!AE16+'Balance Sheet'!AD17-'Balance Sheet'!AE17+'Balance Sheet'!AD18-'Balance Sheet'!AE18+'Balance Sheet'!AD19-'Balance Sheet'!AE19+'Balance Sheet'!AD24-'Balance Sheet'!AE24+'Balance Sheet'!AD27-'Balance Sheet'!AE27+'Balance Sheet'!AD28-'Balance Sheet'!AE28</f>
        <v>8.624078822</v>
      </c>
      <c r="AI36" s="186">
        <f>'Balance Sheet'!AE16-'Balance Sheet'!AF16+'Balance Sheet'!AE17-'Balance Sheet'!AF17+'Balance Sheet'!AE18-'Balance Sheet'!AF18+'Balance Sheet'!AE19-'Balance Sheet'!AF19+'Balance Sheet'!AE24-'Balance Sheet'!AF24+'Balance Sheet'!AE27-'Balance Sheet'!AF27+'Balance Sheet'!AE28-'Balance Sheet'!AF28</f>
        <v>-40.37864374</v>
      </c>
      <c r="AJ36" s="185">
        <f t="shared" si="96"/>
        <v>-4.815921166</v>
      </c>
      <c r="AK36" s="186">
        <f>'Balance Sheet'!AG16-'Balance Sheet'!AH16+'Balance Sheet'!AG17-'Balance Sheet'!AH17+'Balance Sheet'!AG18-'Balance Sheet'!AH18+'Balance Sheet'!AG19-'Balance Sheet'!AH19+'Balance Sheet'!AG24-'Balance Sheet'!AH24+'Balance Sheet'!AG27-'Balance Sheet'!AH27+'Balance Sheet'!AG28-'Balance Sheet'!AH28</f>
        <v>33.48506782</v>
      </c>
      <c r="AL36" s="186">
        <f>'Balance Sheet'!AH16-'Balance Sheet'!AI16+'Balance Sheet'!AH17-'Balance Sheet'!AI17+'Balance Sheet'!AH18-'Balance Sheet'!AI18+'Balance Sheet'!AH19-'Balance Sheet'!AI19+'Balance Sheet'!AH24-'Balance Sheet'!AI24+'Balance Sheet'!AH27-'Balance Sheet'!AI27+'Balance Sheet'!AH28-'Balance Sheet'!AI28</f>
        <v>-3.896009041</v>
      </c>
      <c r="AM36" s="186">
        <f>'Balance Sheet'!AI16-'Balance Sheet'!AJ16+'Balance Sheet'!AI17-'Balance Sheet'!AJ17+'Balance Sheet'!AI18-'Balance Sheet'!AJ18+'Balance Sheet'!AI19-'Balance Sheet'!AJ19+'Balance Sheet'!AI24-'Balance Sheet'!AJ24+'Balance Sheet'!AI27-'Balance Sheet'!AJ27+'Balance Sheet'!AI28-'Balance Sheet'!AJ28</f>
        <v>9.319928011</v>
      </c>
      <c r="AN36" s="186">
        <f>'Balance Sheet'!AJ16-'Balance Sheet'!AK16+'Balance Sheet'!AJ17-'Balance Sheet'!AK17+'Balance Sheet'!AJ18-'Balance Sheet'!AK18+'Balance Sheet'!AJ19-'Balance Sheet'!AK19+'Balance Sheet'!AJ24-'Balance Sheet'!AK24+'Balance Sheet'!AJ27-'Balance Sheet'!AK27+'Balance Sheet'!AJ28-'Balance Sheet'!AK28</f>
        <v>-43.49322307</v>
      </c>
      <c r="AO36" s="185">
        <f t="shared" si="97"/>
        <v>-4.584236286</v>
      </c>
    </row>
    <row r="37" ht="10.5" customHeight="1">
      <c r="A37" s="183" t="s">
        <v>307</v>
      </c>
      <c r="B37" s="186">
        <f t="shared" si="84"/>
        <v>-13.387</v>
      </c>
      <c r="C37" s="186">
        <f t="shared" ref="C37:E37" si="104">C122-B122</f>
        <v>3.469</v>
      </c>
      <c r="D37" s="186">
        <f t="shared" si="104"/>
        <v>10.723</v>
      </c>
      <c r="E37" s="186">
        <f t="shared" si="104"/>
        <v>-0.805</v>
      </c>
      <c r="F37" s="185">
        <f t="shared" si="86"/>
        <v>0</v>
      </c>
      <c r="G37" s="186">
        <f t="shared" si="87"/>
        <v>-17.945</v>
      </c>
      <c r="H37" s="186">
        <f t="shared" ref="H37:J37" si="105">H122-G122</f>
        <v>5.677</v>
      </c>
      <c r="I37" s="186">
        <f t="shared" si="105"/>
        <v>11.9</v>
      </c>
      <c r="J37" s="186">
        <f t="shared" si="105"/>
        <v>0.368</v>
      </c>
      <c r="K37" s="185">
        <f t="shared" si="89"/>
        <v>0</v>
      </c>
      <c r="L37" s="186">
        <f t="shared" si="90"/>
        <v>-16.67</v>
      </c>
      <c r="M37" s="186">
        <f t="shared" ref="M37:N37" si="106">M122-L122</f>
        <v>7.647</v>
      </c>
      <c r="N37" s="186">
        <f t="shared" si="106"/>
        <v>11.636</v>
      </c>
      <c r="O37" s="186">
        <f>'Balance Sheet'!K15-'Balance Sheet'!L15</f>
        <v>0</v>
      </c>
      <c r="P37" s="185">
        <f t="shared" si="92"/>
        <v>2.613</v>
      </c>
      <c r="Q37" s="186">
        <f>'Balance Sheet'!M15-'Balance Sheet'!N15</f>
        <v>0</v>
      </c>
      <c r="R37" s="186">
        <f>'Balance Sheet'!N15-'Balance Sheet'!O15</f>
        <v>0</v>
      </c>
      <c r="S37" s="186">
        <f>'Balance Sheet'!O15-'Balance Sheet'!P15</f>
        <v>0</v>
      </c>
      <c r="T37" s="186">
        <f>'Balance Sheet'!P15-'Balance Sheet'!Q15</f>
        <v>0</v>
      </c>
      <c r="U37" s="185">
        <f t="shared" si="93"/>
        <v>0</v>
      </c>
      <c r="V37" s="186">
        <f>'Balance Sheet'!R15-'Balance Sheet'!S15</f>
        <v>0</v>
      </c>
      <c r="W37" s="186">
        <f>'Balance Sheet'!S15-'Balance Sheet'!T15</f>
        <v>0</v>
      </c>
      <c r="X37" s="186">
        <f>'Balance Sheet'!T15-'Balance Sheet'!U15</f>
        <v>0</v>
      </c>
      <c r="Y37" s="186">
        <f>'Balance Sheet'!U15-'Balance Sheet'!V15</f>
        <v>0</v>
      </c>
      <c r="Z37" s="185">
        <f t="shared" si="94"/>
        <v>0</v>
      </c>
      <c r="AA37" s="186">
        <f>'Balance Sheet'!W15-'Balance Sheet'!X15</f>
        <v>0</v>
      </c>
      <c r="AB37" s="186">
        <f>'Balance Sheet'!X15-'Balance Sheet'!Y15</f>
        <v>0</v>
      </c>
      <c r="AC37" s="186">
        <f>'Balance Sheet'!Y15-'Balance Sheet'!Z15</f>
        <v>0</v>
      </c>
      <c r="AD37" s="186">
        <f>'Balance Sheet'!Z15-'Balance Sheet'!AA15</f>
        <v>0</v>
      </c>
      <c r="AE37" s="185">
        <f t="shared" si="95"/>
        <v>0</v>
      </c>
      <c r="AF37" s="186">
        <f>'Balance Sheet'!AB15-'Balance Sheet'!AC15</f>
        <v>0</v>
      </c>
      <c r="AG37" s="186">
        <f>'Balance Sheet'!AC15-'Balance Sheet'!AD15</f>
        <v>0</v>
      </c>
      <c r="AH37" s="186">
        <f>'Balance Sheet'!AD15-'Balance Sheet'!AE15</f>
        <v>0</v>
      </c>
      <c r="AI37" s="186">
        <f>'Balance Sheet'!AE15-'Balance Sheet'!AF15</f>
        <v>0</v>
      </c>
      <c r="AJ37" s="185">
        <f t="shared" si="96"/>
        <v>0</v>
      </c>
      <c r="AK37" s="186">
        <f>'Balance Sheet'!AG15-'Balance Sheet'!AH15</f>
        <v>0</v>
      </c>
      <c r="AL37" s="186">
        <f>'Balance Sheet'!AH15-'Balance Sheet'!AI15</f>
        <v>0</v>
      </c>
      <c r="AM37" s="186">
        <f>'Balance Sheet'!AI15-'Balance Sheet'!AJ15</f>
        <v>0</v>
      </c>
      <c r="AN37" s="186">
        <f>'Balance Sheet'!AJ15-'Balance Sheet'!AK15</f>
        <v>0</v>
      </c>
      <c r="AO37" s="185">
        <f t="shared" si="97"/>
        <v>0</v>
      </c>
    </row>
    <row r="38" ht="10.5" customHeight="1">
      <c r="A38" s="183" t="s">
        <v>380</v>
      </c>
      <c r="B38" s="186">
        <f t="shared" si="84"/>
        <v>-19.928</v>
      </c>
      <c r="C38" s="186">
        <f t="shared" ref="C38:E38" si="107">C123-B123</f>
        <v>6.501</v>
      </c>
      <c r="D38" s="186">
        <f t="shared" si="107"/>
        <v>5.939</v>
      </c>
      <c r="E38" s="186">
        <f t="shared" si="107"/>
        <v>6.513</v>
      </c>
      <c r="F38" s="185">
        <f t="shared" si="86"/>
        <v>-0.975</v>
      </c>
      <c r="G38" s="186">
        <f t="shared" si="87"/>
        <v>-18.53</v>
      </c>
      <c r="H38" s="186">
        <f t="shared" ref="H38:J38" si="108">H123-G123</f>
        <v>15.228</v>
      </c>
      <c r="I38" s="186">
        <f t="shared" si="108"/>
        <v>12.12</v>
      </c>
      <c r="J38" s="186">
        <f t="shared" si="108"/>
        <v>8.494</v>
      </c>
      <c r="K38" s="185">
        <f t="shared" si="89"/>
        <v>17.312</v>
      </c>
      <c r="L38" s="186">
        <f t="shared" si="90"/>
        <v>-13.934</v>
      </c>
      <c r="M38" s="186">
        <f t="shared" ref="M38:N38" si="109">M123-L123</f>
        <v>15.251</v>
      </c>
      <c r="N38" s="186">
        <f t="shared" si="109"/>
        <v>-5.045</v>
      </c>
      <c r="O38" s="186">
        <f>'Balance Sheet'!L35-'Balance Sheet'!K35+'Balance Sheet'!L37-'Balance Sheet'!K37</f>
        <v>-10.40048725</v>
      </c>
      <c r="P38" s="185">
        <f t="shared" si="92"/>
        <v>-14.12848725</v>
      </c>
      <c r="Q38" s="186">
        <f>'Balance Sheet'!N35-'Balance Sheet'!M35+'Balance Sheet'!N37-'Balance Sheet'!M37</f>
        <v>-8.484447467</v>
      </c>
      <c r="R38" s="186">
        <f>'Balance Sheet'!O35-'Balance Sheet'!N35+'Balance Sheet'!O37-'Balance Sheet'!N37</f>
        <v>25.80435125</v>
      </c>
      <c r="S38" s="186">
        <f>'Balance Sheet'!P35-'Balance Sheet'!O35+'Balance Sheet'!P37-'Balance Sheet'!O37</f>
        <v>-25.95807993</v>
      </c>
      <c r="T38" s="186">
        <f>'Balance Sheet'!Q35-'Balance Sheet'!P35+'Balance Sheet'!Q37-'Balance Sheet'!P37</f>
        <v>45.97708163</v>
      </c>
      <c r="U38" s="185">
        <f t="shared" si="93"/>
        <v>37.33890549</v>
      </c>
      <c r="V38" s="186">
        <f>'Balance Sheet'!S35-'Balance Sheet'!R35+'Balance Sheet'!S37-'Balance Sheet'!R37</f>
        <v>-43.03153463</v>
      </c>
      <c r="W38" s="186">
        <f>'Balance Sheet'!T35-'Balance Sheet'!S35+'Balance Sheet'!T37-'Balance Sheet'!S37</f>
        <v>27.92339516</v>
      </c>
      <c r="X38" s="186">
        <f>'Balance Sheet'!U35-'Balance Sheet'!T35+'Balance Sheet'!U37-'Balance Sheet'!T37</f>
        <v>-28.47839199</v>
      </c>
      <c r="Y38" s="186">
        <f>'Balance Sheet'!V35-'Balance Sheet'!U35+'Balance Sheet'!V37-'Balance Sheet'!U37</f>
        <v>50.14697034</v>
      </c>
      <c r="Z38" s="185">
        <f t="shared" si="94"/>
        <v>6.560438881</v>
      </c>
      <c r="AA38" s="186">
        <f>'Balance Sheet'!X35-'Balance Sheet'!W35+'Balance Sheet'!X37-'Balance Sheet'!W37</f>
        <v>-47.0769937</v>
      </c>
      <c r="AB38" s="186">
        <f>'Balance Sheet'!Y35-'Balance Sheet'!X35+'Balance Sheet'!Y37-'Balance Sheet'!X37</f>
        <v>30.41523938</v>
      </c>
      <c r="AC38" s="186">
        <f>'Balance Sheet'!Z35-'Balance Sheet'!Y35+'Balance Sheet'!Z37-'Balance Sheet'!Y37</f>
        <v>-30.70796579</v>
      </c>
      <c r="AD38" s="186">
        <f>'Balance Sheet'!AA35-'Balance Sheet'!Z35+'Balance Sheet'!AA37-'Balance Sheet'!Z37</f>
        <v>54.00191928</v>
      </c>
      <c r="AE38" s="185">
        <f t="shared" si="95"/>
        <v>6.632199174</v>
      </c>
      <c r="AF38" s="186">
        <f>'Balance Sheet'!AC35-'Balance Sheet'!AB35+'Balance Sheet'!AC37-'Balance Sheet'!AB37</f>
        <v>-50.58596574</v>
      </c>
      <c r="AG38" s="186">
        <f>'Balance Sheet'!AD35-'Balance Sheet'!AC35+'Balance Sheet'!AD37-'Balance Sheet'!AC37</f>
        <v>32.97869045</v>
      </c>
      <c r="AH38" s="186">
        <f>'Balance Sheet'!AE35-'Balance Sheet'!AD35+'Balance Sheet'!AE37-'Balance Sheet'!AD37</f>
        <v>-33.51086911</v>
      </c>
      <c r="AI38" s="186">
        <f>'Balance Sheet'!AF35-'Balance Sheet'!AE35+'Balance Sheet'!AF37-'Balance Sheet'!AE37</f>
        <v>58.58002651</v>
      </c>
      <c r="AJ38" s="185">
        <f t="shared" si="96"/>
        <v>7.461882108</v>
      </c>
      <c r="AK38" s="186">
        <f>'Balance Sheet'!AH35-'Balance Sheet'!AG35+'Balance Sheet'!AH37-'Balance Sheet'!AG37</f>
        <v>-55.13259429</v>
      </c>
      <c r="AL38" s="186">
        <f>'Balance Sheet'!AI35-'Balance Sheet'!AH35+'Balance Sheet'!AI37-'Balance Sheet'!AH37</f>
        <v>35.3218482</v>
      </c>
      <c r="AM38" s="186">
        <f>'Balance Sheet'!AJ35-'Balance Sheet'!AI35+'Balance Sheet'!AJ37-'Balance Sheet'!AI37</f>
        <v>-36.1014313</v>
      </c>
      <c r="AN38" s="186">
        <f>'Balance Sheet'!AK35-'Balance Sheet'!AJ35+'Balance Sheet'!AK37-'Balance Sheet'!AJ37</f>
        <v>62.98134206</v>
      </c>
      <c r="AO38" s="185">
        <f t="shared" si="97"/>
        <v>7.069164671</v>
      </c>
    </row>
    <row r="39" ht="10.5" customHeight="1">
      <c r="A39" s="183" t="s">
        <v>381</v>
      </c>
      <c r="B39" s="186">
        <f t="shared" si="84"/>
        <v>4.907</v>
      </c>
      <c r="C39" s="186">
        <f t="shared" ref="C39:E39" si="110">C124-B124</f>
        <v>3.405</v>
      </c>
      <c r="D39" s="186">
        <f t="shared" si="110"/>
        <v>-1.457</v>
      </c>
      <c r="E39" s="186">
        <f t="shared" si="110"/>
        <v>-14.961</v>
      </c>
      <c r="F39" s="185">
        <f t="shared" si="86"/>
        <v>-8.106</v>
      </c>
      <c r="G39" s="186">
        <f t="shared" si="87"/>
        <v>-0.548</v>
      </c>
      <c r="H39" s="186">
        <f t="shared" ref="H39:J39" si="111">H124-G124</f>
        <v>-0.151</v>
      </c>
      <c r="I39" s="186">
        <f t="shared" si="111"/>
        <v>-0.042</v>
      </c>
      <c r="J39" s="186">
        <f t="shared" si="111"/>
        <v>0.222</v>
      </c>
      <c r="K39" s="185">
        <f t="shared" si="89"/>
        <v>-0.519</v>
      </c>
      <c r="L39" s="186">
        <f t="shared" si="90"/>
        <v>-0.918</v>
      </c>
      <c r="M39" s="186">
        <f t="shared" ref="M39:N39" si="112">M124-L124</f>
        <v>0.491</v>
      </c>
      <c r="N39" s="186">
        <f t="shared" si="112"/>
        <v>0.754</v>
      </c>
      <c r="O39" s="186">
        <f>'Balance Sheet'!L34-'Balance Sheet'!K34+'Balance Sheet'!L36-'Balance Sheet'!K36+'Balance Sheet'!L39-'Balance Sheet'!K39+'Balance Sheet'!L41-'Balance Sheet'!K41+'Balance Sheet'!L45-'Balance Sheet'!K45+'Balance Sheet'!L49-'Balance Sheet'!K49+'Balance Sheet'!L50-'Balance Sheet'!K50+'Balance Sheet'!L52-'Balance Sheet'!K52+'Balance Sheet'!L53-'Balance Sheet'!K53+'Balance Sheet'!L54-'Balance Sheet'!K54+'Balance Sheet'!L55-'Balance Sheet'!K55</f>
        <v>0</v>
      </c>
      <c r="P39" s="185">
        <f t="shared" si="92"/>
        <v>0.327</v>
      </c>
      <c r="Q39" s="186">
        <f>'Balance Sheet'!N34-'Balance Sheet'!M34+'Balance Sheet'!N36-'Balance Sheet'!M36+'Balance Sheet'!N39-'Balance Sheet'!M39+'Balance Sheet'!N41-'Balance Sheet'!M41+'Balance Sheet'!N45-'Balance Sheet'!M45+'Balance Sheet'!N49-'Balance Sheet'!M49+'Balance Sheet'!N50-'Balance Sheet'!M50+'Balance Sheet'!N52-'Balance Sheet'!M52+'Balance Sheet'!N53-'Balance Sheet'!M53+'Balance Sheet'!N54-'Balance Sheet'!M54+'Balance Sheet'!N55-'Balance Sheet'!M55</f>
        <v>0</v>
      </c>
      <c r="R39" s="186">
        <f>'Balance Sheet'!O34-'Balance Sheet'!N34+'Balance Sheet'!O36-'Balance Sheet'!N36+'Balance Sheet'!O39-'Balance Sheet'!N39+'Balance Sheet'!O41-'Balance Sheet'!N41+'Balance Sheet'!O45-'Balance Sheet'!N45+'Balance Sheet'!O49-'Balance Sheet'!N49+'Balance Sheet'!O50-'Balance Sheet'!N50+'Balance Sheet'!O52-'Balance Sheet'!N52+'Balance Sheet'!O53-'Balance Sheet'!N53+'Balance Sheet'!O54-'Balance Sheet'!N54+'Balance Sheet'!O55-'Balance Sheet'!N55</f>
        <v>0</v>
      </c>
      <c r="S39" s="186">
        <f>'Balance Sheet'!P34-'Balance Sheet'!O34+'Balance Sheet'!P36-'Balance Sheet'!O36+'Balance Sheet'!P39-'Balance Sheet'!O39+'Balance Sheet'!P41-'Balance Sheet'!O41+'Balance Sheet'!P45-'Balance Sheet'!O45+'Balance Sheet'!P49-'Balance Sheet'!O49+'Balance Sheet'!P50-'Balance Sheet'!O50+'Balance Sheet'!P52-'Balance Sheet'!O52+'Balance Sheet'!P53-'Balance Sheet'!O53+'Balance Sheet'!P54-'Balance Sheet'!O54+'Balance Sheet'!P55-'Balance Sheet'!O55</f>
        <v>0</v>
      </c>
      <c r="T39" s="186">
        <f>'Balance Sheet'!Q34-'Balance Sheet'!P34+'Balance Sheet'!Q36-'Balance Sheet'!P36+'Balance Sheet'!Q39-'Balance Sheet'!P39+'Balance Sheet'!Q41-'Balance Sheet'!P41+'Balance Sheet'!Q45-'Balance Sheet'!P45+'Balance Sheet'!Q49-'Balance Sheet'!P49+'Balance Sheet'!Q50-'Balance Sheet'!P50+'Balance Sheet'!Q52-'Balance Sheet'!P52+'Balance Sheet'!Q53-'Balance Sheet'!P53+'Balance Sheet'!Q54-'Balance Sheet'!P54+'Balance Sheet'!Q55-'Balance Sheet'!P55</f>
        <v>0</v>
      </c>
      <c r="U39" s="185">
        <f t="shared" si="93"/>
        <v>0</v>
      </c>
      <c r="V39" s="186">
        <f>'Balance Sheet'!S34-'Balance Sheet'!R34+'Balance Sheet'!S36-'Balance Sheet'!R36+'Balance Sheet'!S39-'Balance Sheet'!R39+'Balance Sheet'!S41-'Balance Sheet'!R41+'Balance Sheet'!S45-'Balance Sheet'!R45+'Balance Sheet'!S49-'Balance Sheet'!R49+'Balance Sheet'!S50-'Balance Sheet'!R50+'Balance Sheet'!S52-'Balance Sheet'!R52+'Balance Sheet'!S53-'Balance Sheet'!R53+'Balance Sheet'!S54-'Balance Sheet'!R54+'Balance Sheet'!S55-'Balance Sheet'!R55</f>
        <v>0</v>
      </c>
      <c r="W39" s="186">
        <f>'Balance Sheet'!T34-'Balance Sheet'!S34+'Balance Sheet'!T36-'Balance Sheet'!S36+'Balance Sheet'!T39-'Balance Sheet'!S39+'Balance Sheet'!T41-'Balance Sheet'!S41+'Balance Sheet'!T45-'Balance Sheet'!S45+'Balance Sheet'!T49-'Balance Sheet'!S49+'Balance Sheet'!T50-'Balance Sheet'!S50+'Balance Sheet'!T52-'Balance Sheet'!S52+'Balance Sheet'!T53-'Balance Sheet'!S53+'Balance Sheet'!T54-'Balance Sheet'!S54+'Balance Sheet'!T55-'Balance Sheet'!S55</f>
        <v>0</v>
      </c>
      <c r="X39" s="186">
        <f>'Balance Sheet'!U34-'Balance Sheet'!T34+'Balance Sheet'!U36-'Balance Sheet'!T36+'Balance Sheet'!U39-'Balance Sheet'!T39+'Balance Sheet'!U41-'Balance Sheet'!T41+'Balance Sheet'!U45-'Balance Sheet'!T45+'Balance Sheet'!U49-'Balance Sheet'!T49+'Balance Sheet'!U50-'Balance Sheet'!T50+'Balance Sheet'!U52-'Balance Sheet'!T52+'Balance Sheet'!U53-'Balance Sheet'!T53+'Balance Sheet'!U54-'Balance Sheet'!T54+'Balance Sheet'!U55-'Balance Sheet'!T55</f>
        <v>0</v>
      </c>
      <c r="Y39" s="186">
        <f>'Balance Sheet'!V34-'Balance Sheet'!U34+'Balance Sheet'!V36-'Balance Sheet'!U36+'Balance Sheet'!V39-'Balance Sheet'!U39+'Balance Sheet'!V41-'Balance Sheet'!U41+'Balance Sheet'!V45-'Balance Sheet'!U45+'Balance Sheet'!V49-'Balance Sheet'!U49+'Balance Sheet'!V50-'Balance Sheet'!U50+'Balance Sheet'!V52-'Balance Sheet'!U52+'Balance Sheet'!V53-'Balance Sheet'!U53+'Balance Sheet'!V54-'Balance Sheet'!U54+'Balance Sheet'!V55-'Balance Sheet'!U55</f>
        <v>0</v>
      </c>
      <c r="Z39" s="185">
        <f t="shared" si="94"/>
        <v>0</v>
      </c>
      <c r="AA39" s="186">
        <f>'Balance Sheet'!X34-'Balance Sheet'!W34+'Balance Sheet'!X36-'Balance Sheet'!W36+'Balance Sheet'!X39-'Balance Sheet'!W39+'Balance Sheet'!X41-'Balance Sheet'!W41+'Balance Sheet'!X45-'Balance Sheet'!W45+'Balance Sheet'!X49-'Balance Sheet'!W49+'Balance Sheet'!X50-'Balance Sheet'!W50+'Balance Sheet'!X52-'Balance Sheet'!W52+'Balance Sheet'!X53-'Balance Sheet'!W53+'Balance Sheet'!X54-'Balance Sheet'!W54+'Balance Sheet'!X55-'Balance Sheet'!W55</f>
        <v>0</v>
      </c>
      <c r="AB39" s="186">
        <f>'Balance Sheet'!Y34-'Balance Sheet'!X34+'Balance Sheet'!Y36-'Balance Sheet'!X36+'Balance Sheet'!Y39-'Balance Sheet'!X39+'Balance Sheet'!Y41-'Balance Sheet'!X41+'Balance Sheet'!Y45-'Balance Sheet'!X45+'Balance Sheet'!Y49-'Balance Sheet'!X49+'Balance Sheet'!Y50-'Balance Sheet'!X50+'Balance Sheet'!Y52-'Balance Sheet'!X52+'Balance Sheet'!Y53-'Balance Sheet'!X53+'Balance Sheet'!Y54-'Balance Sheet'!X54+'Balance Sheet'!Y55-'Balance Sheet'!X55</f>
        <v>0</v>
      </c>
      <c r="AC39" s="186">
        <f>'Balance Sheet'!Z34-'Balance Sheet'!Y34+'Balance Sheet'!Z36-'Balance Sheet'!Y36+'Balance Sheet'!Z39-'Balance Sheet'!Y39+'Balance Sheet'!Z41-'Balance Sheet'!Y41+'Balance Sheet'!Z45-'Balance Sheet'!Y45+'Balance Sheet'!Z49-'Balance Sheet'!Y49+'Balance Sheet'!Z50-'Balance Sheet'!Y50+'Balance Sheet'!Z52-'Balance Sheet'!Y52+'Balance Sheet'!Z53-'Balance Sheet'!Y53+'Balance Sheet'!Z54-'Balance Sheet'!Y54+'Balance Sheet'!Z55-'Balance Sheet'!Y55</f>
        <v>0</v>
      </c>
      <c r="AD39" s="186">
        <f>'Balance Sheet'!AA34-'Balance Sheet'!Z34+'Balance Sheet'!AA36-'Balance Sheet'!Z36+'Balance Sheet'!AA39-'Balance Sheet'!Z39+'Balance Sheet'!AA41-'Balance Sheet'!Z41+'Balance Sheet'!AA45-'Balance Sheet'!Z45+'Balance Sheet'!AA49-'Balance Sheet'!Z49+'Balance Sheet'!AA50-'Balance Sheet'!Z50+'Balance Sheet'!AA52-'Balance Sheet'!Z52+'Balance Sheet'!AA53-'Balance Sheet'!Z53+'Balance Sheet'!AA54-'Balance Sheet'!Z54+'Balance Sheet'!AA55-'Balance Sheet'!Z55</f>
        <v>0</v>
      </c>
      <c r="AE39" s="185">
        <f t="shared" si="95"/>
        <v>0</v>
      </c>
      <c r="AF39" s="186">
        <f>'Balance Sheet'!AC34-'Balance Sheet'!AB34+'Balance Sheet'!AC36-'Balance Sheet'!AB36+'Balance Sheet'!AC39-'Balance Sheet'!AB39+'Balance Sheet'!AC41-'Balance Sheet'!AB41+'Balance Sheet'!AC45-'Balance Sheet'!AB45+'Balance Sheet'!AC49-'Balance Sheet'!AB49+'Balance Sheet'!AC50-'Balance Sheet'!AB50+'Balance Sheet'!AC52-'Balance Sheet'!AB52+'Balance Sheet'!AC53-'Balance Sheet'!AB53+'Balance Sheet'!AC54-'Balance Sheet'!AB54+'Balance Sheet'!AC55-'Balance Sheet'!AB55</f>
        <v>0</v>
      </c>
      <c r="AG39" s="186">
        <f>'Balance Sheet'!AD34-'Balance Sheet'!AC34+'Balance Sheet'!AD36-'Balance Sheet'!AC36+'Balance Sheet'!AD39-'Balance Sheet'!AC39+'Balance Sheet'!AD41-'Balance Sheet'!AC41+'Balance Sheet'!AD45-'Balance Sheet'!AC45+'Balance Sheet'!AD49-'Balance Sheet'!AC49+'Balance Sheet'!AD50-'Balance Sheet'!AC50+'Balance Sheet'!AD52-'Balance Sheet'!AC52+'Balance Sheet'!AD53-'Balance Sheet'!AC53+'Balance Sheet'!AD54-'Balance Sheet'!AC54+'Balance Sheet'!AD55-'Balance Sheet'!AC55</f>
        <v>0</v>
      </c>
      <c r="AH39" s="186">
        <f>'Balance Sheet'!AE34-'Balance Sheet'!AD34+'Balance Sheet'!AE36-'Balance Sheet'!AD36+'Balance Sheet'!AE39-'Balance Sheet'!AD39+'Balance Sheet'!AE41-'Balance Sheet'!AD41+'Balance Sheet'!AE45-'Balance Sheet'!AD45+'Balance Sheet'!AE49-'Balance Sheet'!AD49+'Balance Sheet'!AE50-'Balance Sheet'!AD50+'Balance Sheet'!AE52-'Balance Sheet'!AD52+'Balance Sheet'!AE53-'Balance Sheet'!AD53+'Balance Sheet'!AE54-'Balance Sheet'!AD54+'Balance Sheet'!AE55-'Balance Sheet'!AD55</f>
        <v>0</v>
      </c>
      <c r="AI39" s="186">
        <f>'Balance Sheet'!AF34-'Balance Sheet'!AE34+'Balance Sheet'!AF36-'Balance Sheet'!AE36+'Balance Sheet'!AF39-'Balance Sheet'!AE39+'Balance Sheet'!AF41-'Balance Sheet'!AE41+'Balance Sheet'!AF45-'Balance Sheet'!AE45+'Balance Sheet'!AF49-'Balance Sheet'!AE49+'Balance Sheet'!AF50-'Balance Sheet'!AE50+'Balance Sheet'!AF52-'Balance Sheet'!AE52+'Balance Sheet'!AF53-'Balance Sheet'!AE53+'Balance Sheet'!AF54-'Balance Sheet'!AE54+'Balance Sheet'!AF55-'Balance Sheet'!AE55</f>
        <v>0</v>
      </c>
      <c r="AJ39" s="185">
        <f t="shared" si="96"/>
        <v>0</v>
      </c>
      <c r="AK39" s="186">
        <f>'Balance Sheet'!AH34-'Balance Sheet'!AG34+'Balance Sheet'!AH36-'Balance Sheet'!AG36+'Balance Sheet'!AH39-'Balance Sheet'!AG39+'Balance Sheet'!AH41-'Balance Sheet'!AG41+'Balance Sheet'!AH45-'Balance Sheet'!AG45+'Balance Sheet'!AH49-'Balance Sheet'!AG49+'Balance Sheet'!AH50-'Balance Sheet'!AG50+'Balance Sheet'!AH52-'Balance Sheet'!AG52+'Balance Sheet'!AH53-'Balance Sheet'!AG53+'Balance Sheet'!AH54-'Balance Sheet'!AG54+'Balance Sheet'!AH55-'Balance Sheet'!AG55</f>
        <v>0</v>
      </c>
      <c r="AL39" s="186">
        <f>'Balance Sheet'!AI34-'Balance Sheet'!AH34+'Balance Sheet'!AI36-'Balance Sheet'!AH36+'Balance Sheet'!AI39-'Balance Sheet'!AH39+'Balance Sheet'!AI41-'Balance Sheet'!AH41+'Balance Sheet'!AI45-'Balance Sheet'!AH45+'Balance Sheet'!AI49-'Balance Sheet'!AH49+'Balance Sheet'!AI50-'Balance Sheet'!AH50+'Balance Sheet'!AI52-'Balance Sheet'!AH52+'Balance Sheet'!AI53-'Balance Sheet'!AH53+'Balance Sheet'!AI54-'Balance Sheet'!AH54+'Balance Sheet'!AI55-'Balance Sheet'!AH55</f>
        <v>0</v>
      </c>
      <c r="AM39" s="186">
        <f>'Balance Sheet'!AJ34-'Balance Sheet'!AI34+'Balance Sheet'!AJ36-'Balance Sheet'!AI36+'Balance Sheet'!AJ39-'Balance Sheet'!AI39+'Balance Sheet'!AJ41-'Balance Sheet'!AI41+'Balance Sheet'!AJ45-'Balance Sheet'!AI45+'Balance Sheet'!AJ49-'Balance Sheet'!AI49+'Balance Sheet'!AJ50-'Balance Sheet'!AI50+'Balance Sheet'!AJ52-'Balance Sheet'!AI52+'Balance Sheet'!AJ53-'Balance Sheet'!AI53+'Balance Sheet'!AJ54-'Balance Sheet'!AI54+'Balance Sheet'!AJ55-'Balance Sheet'!AI55</f>
        <v>0</v>
      </c>
      <c r="AN39" s="186">
        <f>'Balance Sheet'!AK34-'Balance Sheet'!AJ34+'Balance Sheet'!AK36-'Balance Sheet'!AJ36+'Balance Sheet'!AK39-'Balance Sheet'!AJ39+'Balance Sheet'!AK41-'Balance Sheet'!AJ41+'Balance Sheet'!AK45-'Balance Sheet'!AJ45+'Balance Sheet'!AK49-'Balance Sheet'!AJ49+'Balance Sheet'!AK50-'Balance Sheet'!AJ50+'Balance Sheet'!AK52-'Balance Sheet'!AJ52+'Balance Sheet'!AK53-'Balance Sheet'!AJ53+'Balance Sheet'!AK54-'Balance Sheet'!AJ54+'Balance Sheet'!AK55-'Balance Sheet'!AJ55</f>
        <v>0</v>
      </c>
      <c r="AO39" s="185">
        <f t="shared" si="97"/>
        <v>0</v>
      </c>
    </row>
    <row r="40" ht="10.5" customHeight="1">
      <c r="A40" s="183" t="s">
        <v>382</v>
      </c>
      <c r="B40" s="186">
        <f t="shared" si="84"/>
        <v>2.736</v>
      </c>
      <c r="C40" s="186">
        <f t="shared" ref="C40:E40" si="113">C125-B125</f>
        <v>-1.368</v>
      </c>
      <c r="D40" s="186">
        <f t="shared" si="113"/>
        <v>-1.472</v>
      </c>
      <c r="E40" s="186">
        <f t="shared" si="113"/>
        <v>2.287</v>
      </c>
      <c r="F40" s="185">
        <f t="shared" si="86"/>
        <v>2.183</v>
      </c>
      <c r="G40" s="186">
        <f t="shared" si="87"/>
        <v>1.943</v>
      </c>
      <c r="H40" s="186">
        <f t="shared" ref="H40:J40" si="114">H125-G125</f>
        <v>-4.575</v>
      </c>
      <c r="I40" s="186">
        <f t="shared" si="114"/>
        <v>1.079</v>
      </c>
      <c r="J40" s="186">
        <f t="shared" si="114"/>
        <v>1.96</v>
      </c>
      <c r="K40" s="185">
        <f t="shared" si="89"/>
        <v>0.407</v>
      </c>
      <c r="L40" s="186">
        <f t="shared" si="90"/>
        <v>4.967</v>
      </c>
      <c r="M40" s="186">
        <f t="shared" ref="M40:N40" si="115">M125-L125</f>
        <v>-9.72</v>
      </c>
      <c r="N40" s="186">
        <f t="shared" si="115"/>
        <v>-0.366</v>
      </c>
      <c r="O40" s="186">
        <f>'Balance Sheet'!L44-'Balance Sheet'!K44</f>
        <v>0</v>
      </c>
      <c r="P40" s="185">
        <f t="shared" si="92"/>
        <v>-5.119</v>
      </c>
      <c r="Q40" s="186">
        <f>'Balance Sheet'!N44-'Balance Sheet'!M44</f>
        <v>0</v>
      </c>
      <c r="R40" s="186">
        <f>'Balance Sheet'!O44-'Balance Sheet'!N44</f>
        <v>0</v>
      </c>
      <c r="S40" s="186">
        <f>'Balance Sheet'!P44-'Balance Sheet'!O44</f>
        <v>0</v>
      </c>
      <c r="T40" s="186">
        <f>'Balance Sheet'!Q44-'Balance Sheet'!P44</f>
        <v>0</v>
      </c>
      <c r="U40" s="185">
        <f t="shared" si="93"/>
        <v>0</v>
      </c>
      <c r="V40" s="186">
        <f>'Balance Sheet'!S44-'Balance Sheet'!R44</f>
        <v>0</v>
      </c>
      <c r="W40" s="186">
        <f>'Balance Sheet'!T44-'Balance Sheet'!S44</f>
        <v>0</v>
      </c>
      <c r="X40" s="186">
        <f>'Balance Sheet'!U44-'Balance Sheet'!T44</f>
        <v>0</v>
      </c>
      <c r="Y40" s="186">
        <f>'Balance Sheet'!V44-'Balance Sheet'!U44</f>
        <v>0</v>
      </c>
      <c r="Z40" s="185">
        <f t="shared" si="94"/>
        <v>0</v>
      </c>
      <c r="AA40" s="186">
        <f>'Balance Sheet'!X44-'Balance Sheet'!W44</f>
        <v>0</v>
      </c>
      <c r="AB40" s="186">
        <f>'Balance Sheet'!Y44-'Balance Sheet'!X44</f>
        <v>0</v>
      </c>
      <c r="AC40" s="186">
        <f>'Balance Sheet'!Z44-'Balance Sheet'!Y44</f>
        <v>0</v>
      </c>
      <c r="AD40" s="186">
        <f>'Balance Sheet'!AA44-'Balance Sheet'!Z44</f>
        <v>0</v>
      </c>
      <c r="AE40" s="185">
        <f t="shared" si="95"/>
        <v>0</v>
      </c>
      <c r="AF40" s="186">
        <f>'Balance Sheet'!AC44-'Balance Sheet'!AB44</f>
        <v>0</v>
      </c>
      <c r="AG40" s="186">
        <f>'Balance Sheet'!AD44-'Balance Sheet'!AC44</f>
        <v>0</v>
      </c>
      <c r="AH40" s="186">
        <f>'Balance Sheet'!AE44-'Balance Sheet'!AD44</f>
        <v>0</v>
      </c>
      <c r="AI40" s="186">
        <f>'Balance Sheet'!AF44-'Balance Sheet'!AE44</f>
        <v>0</v>
      </c>
      <c r="AJ40" s="185">
        <f t="shared" si="96"/>
        <v>0</v>
      </c>
      <c r="AK40" s="186">
        <f>'Balance Sheet'!AH44-'Balance Sheet'!AG44</f>
        <v>0</v>
      </c>
      <c r="AL40" s="186">
        <f>'Balance Sheet'!AI44-'Balance Sheet'!AH44</f>
        <v>0</v>
      </c>
      <c r="AM40" s="186">
        <f>'Balance Sheet'!AJ44-'Balance Sheet'!AI44</f>
        <v>0</v>
      </c>
      <c r="AN40" s="186">
        <f>'Balance Sheet'!AK44-'Balance Sheet'!AJ44</f>
        <v>0</v>
      </c>
      <c r="AO40" s="185">
        <f t="shared" si="97"/>
        <v>0</v>
      </c>
    </row>
    <row r="41" ht="10.5" customHeight="1">
      <c r="A41" s="183" t="s">
        <v>383</v>
      </c>
      <c r="B41" s="186">
        <f t="shared" si="84"/>
        <v>0</v>
      </c>
      <c r="C41" s="186">
        <f t="shared" ref="C41:E41" si="116">C126-B126</f>
        <v>-21.78</v>
      </c>
      <c r="D41" s="186">
        <f t="shared" si="116"/>
        <v>0</v>
      </c>
      <c r="E41" s="186">
        <f t="shared" si="116"/>
        <v>-13.017</v>
      </c>
      <c r="F41" s="185">
        <f t="shared" si="86"/>
        <v>-34.797</v>
      </c>
      <c r="G41" s="186">
        <f t="shared" si="87"/>
        <v>0</v>
      </c>
      <c r="H41" s="186">
        <f t="shared" ref="H41:J41" si="117">H126-G126</f>
        <v>-28.786</v>
      </c>
      <c r="I41" s="186">
        <f t="shared" si="117"/>
        <v>0</v>
      </c>
      <c r="J41" s="186">
        <f t="shared" si="117"/>
        <v>-16.16</v>
      </c>
      <c r="K41" s="185">
        <f t="shared" si="89"/>
        <v>-44.946</v>
      </c>
      <c r="L41" s="186">
        <f t="shared" si="90"/>
        <v>0</v>
      </c>
      <c r="M41" s="186">
        <f t="shared" ref="M41:N41" si="118">M126-L126</f>
        <v>-52.74</v>
      </c>
      <c r="N41" s="186">
        <f t="shared" si="118"/>
        <v>-0.038</v>
      </c>
      <c r="O41" s="186">
        <f>'Balance Sheet'!L43-'Balance Sheet'!K43</f>
        <v>0</v>
      </c>
      <c r="P41" s="185">
        <f t="shared" si="92"/>
        <v>-52.778</v>
      </c>
      <c r="Q41" s="186">
        <f>'Balance Sheet'!N43-'Balance Sheet'!M43</f>
        <v>0</v>
      </c>
      <c r="R41" s="186">
        <f>'Balance Sheet'!O43-'Balance Sheet'!N43</f>
        <v>0</v>
      </c>
      <c r="S41" s="186">
        <f>'Balance Sheet'!P43-'Balance Sheet'!O43</f>
        <v>0</v>
      </c>
      <c r="T41" s="186">
        <f>'Balance Sheet'!Q43-'Balance Sheet'!P43</f>
        <v>0</v>
      </c>
      <c r="U41" s="185">
        <f t="shared" si="93"/>
        <v>0</v>
      </c>
      <c r="V41" s="186">
        <f>'Balance Sheet'!S43-'Balance Sheet'!R43</f>
        <v>0</v>
      </c>
      <c r="W41" s="186">
        <f>'Balance Sheet'!T43-'Balance Sheet'!S43</f>
        <v>0</v>
      </c>
      <c r="X41" s="186">
        <f>'Balance Sheet'!U43-'Balance Sheet'!T43</f>
        <v>0</v>
      </c>
      <c r="Y41" s="186">
        <f>'Balance Sheet'!V43-'Balance Sheet'!U43</f>
        <v>0</v>
      </c>
      <c r="Z41" s="185">
        <f t="shared" si="94"/>
        <v>0</v>
      </c>
      <c r="AA41" s="186">
        <f>'Balance Sheet'!X43-'Balance Sheet'!W43</f>
        <v>0</v>
      </c>
      <c r="AB41" s="186">
        <f>'Balance Sheet'!Y43-'Balance Sheet'!X43</f>
        <v>0</v>
      </c>
      <c r="AC41" s="186">
        <f>'Balance Sheet'!Z43-'Balance Sheet'!Y43</f>
        <v>0</v>
      </c>
      <c r="AD41" s="186">
        <f>'Balance Sheet'!AA43-'Balance Sheet'!Z43</f>
        <v>0</v>
      </c>
      <c r="AE41" s="185">
        <f t="shared" si="95"/>
        <v>0</v>
      </c>
      <c r="AF41" s="186">
        <f>'Balance Sheet'!AC43-'Balance Sheet'!AB43</f>
        <v>0</v>
      </c>
      <c r="AG41" s="186">
        <f>'Balance Sheet'!AD43-'Balance Sheet'!AC43</f>
        <v>0</v>
      </c>
      <c r="AH41" s="186">
        <f>'Balance Sheet'!AE43-'Balance Sheet'!AD43</f>
        <v>0</v>
      </c>
      <c r="AI41" s="186">
        <f>'Balance Sheet'!AF43-'Balance Sheet'!AE43</f>
        <v>0</v>
      </c>
      <c r="AJ41" s="185">
        <f t="shared" si="96"/>
        <v>0</v>
      </c>
      <c r="AK41" s="186">
        <f>'Balance Sheet'!AH43-'Balance Sheet'!AG43</f>
        <v>0</v>
      </c>
      <c r="AL41" s="186">
        <f>'Balance Sheet'!AI43-'Balance Sheet'!AH43</f>
        <v>0</v>
      </c>
      <c r="AM41" s="186">
        <f>'Balance Sheet'!AJ43-'Balance Sheet'!AI43</f>
        <v>0</v>
      </c>
      <c r="AN41" s="186">
        <f>'Balance Sheet'!AK43-'Balance Sheet'!AJ43</f>
        <v>0</v>
      </c>
      <c r="AO41" s="185">
        <f t="shared" si="97"/>
        <v>0</v>
      </c>
    </row>
    <row r="42" ht="10.5" customHeight="1">
      <c r="A42" s="183" t="s">
        <v>331</v>
      </c>
      <c r="B42" s="186">
        <f t="shared" si="84"/>
        <v>4.408</v>
      </c>
      <c r="C42" s="186">
        <f t="shared" ref="C42:E42" si="119">C127-B127</f>
        <v>-0.754</v>
      </c>
      <c r="D42" s="186">
        <f t="shared" si="119"/>
        <v>1.841</v>
      </c>
      <c r="E42" s="186">
        <f t="shared" si="119"/>
        <v>-9.432</v>
      </c>
      <c r="F42" s="185">
        <f t="shared" si="86"/>
        <v>-3.937</v>
      </c>
      <c r="G42" s="186">
        <f t="shared" si="87"/>
        <v>3.088</v>
      </c>
      <c r="H42" s="186">
        <f t="shared" ref="H42:J42" si="120">H127-G127</f>
        <v>-2.456</v>
      </c>
      <c r="I42" s="186">
        <f t="shared" si="120"/>
        <v>5.203</v>
      </c>
      <c r="J42" s="186">
        <f t="shared" si="120"/>
        <v>-8.488</v>
      </c>
      <c r="K42" s="185">
        <f t="shared" si="89"/>
        <v>-2.653</v>
      </c>
      <c r="L42" s="186">
        <f t="shared" si="90"/>
        <v>0.637</v>
      </c>
      <c r="M42" s="186">
        <f t="shared" ref="M42:N42" si="121">M127-L127</f>
        <v>5.372</v>
      </c>
      <c r="N42" s="186">
        <f t="shared" si="121"/>
        <v>3.315</v>
      </c>
      <c r="O42" s="186">
        <f>'Balance Sheet'!L40-'Balance Sheet'!K40</f>
        <v>0</v>
      </c>
      <c r="P42" s="185">
        <f t="shared" si="92"/>
        <v>9.324</v>
      </c>
      <c r="Q42" s="186">
        <f>'Balance Sheet'!N40-'Balance Sheet'!M40</f>
        <v>0</v>
      </c>
      <c r="R42" s="186">
        <f>'Balance Sheet'!O40-'Balance Sheet'!N40</f>
        <v>0</v>
      </c>
      <c r="S42" s="186">
        <f>'Balance Sheet'!P40-'Balance Sheet'!O40</f>
        <v>0</v>
      </c>
      <c r="T42" s="186">
        <f>'Balance Sheet'!Q40-'Balance Sheet'!P40</f>
        <v>0</v>
      </c>
      <c r="U42" s="185">
        <f t="shared" si="93"/>
        <v>0</v>
      </c>
      <c r="V42" s="186">
        <f>'Balance Sheet'!S40-'Balance Sheet'!R40</f>
        <v>0</v>
      </c>
      <c r="W42" s="186">
        <f>'Balance Sheet'!T40-'Balance Sheet'!S40</f>
        <v>0</v>
      </c>
      <c r="X42" s="186">
        <f>'Balance Sheet'!U40-'Balance Sheet'!T40</f>
        <v>0</v>
      </c>
      <c r="Y42" s="186">
        <f>'Balance Sheet'!V40-'Balance Sheet'!U40</f>
        <v>0</v>
      </c>
      <c r="Z42" s="185">
        <f t="shared" si="94"/>
        <v>0</v>
      </c>
      <c r="AA42" s="186">
        <f>'Balance Sheet'!X40-'Balance Sheet'!W40</f>
        <v>0</v>
      </c>
      <c r="AB42" s="186">
        <f>'Balance Sheet'!Y40-'Balance Sheet'!X40</f>
        <v>0</v>
      </c>
      <c r="AC42" s="186">
        <f>'Balance Sheet'!Z40-'Balance Sheet'!Y40</f>
        <v>0</v>
      </c>
      <c r="AD42" s="186">
        <f>'Balance Sheet'!AA40-'Balance Sheet'!Z40</f>
        <v>0</v>
      </c>
      <c r="AE42" s="185">
        <f t="shared" si="95"/>
        <v>0</v>
      </c>
      <c r="AF42" s="186">
        <f>'Balance Sheet'!AC40-'Balance Sheet'!AB40</f>
        <v>0</v>
      </c>
      <c r="AG42" s="186">
        <f>'Balance Sheet'!AD40-'Balance Sheet'!AC40</f>
        <v>0</v>
      </c>
      <c r="AH42" s="186">
        <f>'Balance Sheet'!AE40-'Balance Sheet'!AD40</f>
        <v>0</v>
      </c>
      <c r="AI42" s="186">
        <f>'Balance Sheet'!AF40-'Balance Sheet'!AE40</f>
        <v>0</v>
      </c>
      <c r="AJ42" s="185">
        <f t="shared" si="96"/>
        <v>0</v>
      </c>
      <c r="AK42" s="186">
        <f>'Balance Sheet'!AH40-'Balance Sheet'!AG40</f>
        <v>0</v>
      </c>
      <c r="AL42" s="186">
        <f>'Balance Sheet'!AI40-'Balance Sheet'!AH40</f>
        <v>0</v>
      </c>
      <c r="AM42" s="186">
        <f>'Balance Sheet'!AJ40-'Balance Sheet'!AI40</f>
        <v>0</v>
      </c>
      <c r="AN42" s="186">
        <f>'Balance Sheet'!AK40-'Balance Sheet'!AJ40</f>
        <v>0</v>
      </c>
      <c r="AO42" s="185">
        <f t="shared" si="97"/>
        <v>0</v>
      </c>
    </row>
    <row r="43" ht="10.5" customHeight="1">
      <c r="A43" s="183" t="s">
        <v>384</v>
      </c>
      <c r="B43" s="186">
        <f t="shared" si="84"/>
        <v>19.395</v>
      </c>
      <c r="C43" s="186">
        <f t="shared" ref="C43:E43" si="122">C128-B128</f>
        <v>-2.082</v>
      </c>
      <c r="D43" s="186">
        <f t="shared" si="122"/>
        <v>-7.885</v>
      </c>
      <c r="E43" s="186">
        <f t="shared" si="122"/>
        <v>-5.486</v>
      </c>
      <c r="F43" s="185">
        <f t="shared" si="86"/>
        <v>3.942</v>
      </c>
      <c r="G43" s="186">
        <f t="shared" si="87"/>
        <v>19.519</v>
      </c>
      <c r="H43" s="186">
        <f t="shared" ref="H43:J43" si="123">H128-G128</f>
        <v>-0.866</v>
      </c>
      <c r="I43" s="186">
        <f t="shared" si="123"/>
        <v>-9.101</v>
      </c>
      <c r="J43" s="186">
        <f t="shared" si="123"/>
        <v>-6.777</v>
      </c>
      <c r="K43" s="185">
        <f t="shared" si="89"/>
        <v>2.775</v>
      </c>
      <c r="L43" s="186">
        <f t="shared" si="90"/>
        <v>17.805</v>
      </c>
      <c r="M43" s="186">
        <f t="shared" ref="M43:N43" si="124">M128-L128</f>
        <v>-4.035</v>
      </c>
      <c r="N43" s="186">
        <f t="shared" si="124"/>
        <v>-9.908</v>
      </c>
      <c r="O43" s="186">
        <f>'Balance Sheet'!L42-'Balance Sheet'!K42</f>
        <v>3.58647221</v>
      </c>
      <c r="P43" s="185">
        <f t="shared" si="92"/>
        <v>7.44847221</v>
      </c>
      <c r="Q43" s="186">
        <f>'Balance Sheet'!N42-'Balance Sheet'!M42</f>
        <v>21.26985211</v>
      </c>
      <c r="R43" s="186">
        <f>'Balance Sheet'!O42-'Balance Sheet'!N42</f>
        <v>-3.708979799</v>
      </c>
      <c r="S43" s="186">
        <f>'Balance Sheet'!P42-'Balance Sheet'!O42</f>
        <v>-43.47454854</v>
      </c>
      <c r="T43" s="186">
        <f>'Balance Sheet'!Q42-'Balance Sheet'!P42</f>
        <v>87.63694593</v>
      </c>
      <c r="U43" s="185">
        <f t="shared" si="93"/>
        <v>61.7232697</v>
      </c>
      <c r="V43" s="186">
        <f>'Balance Sheet'!S42-'Balance Sheet'!R42</f>
        <v>-28.62162716</v>
      </c>
      <c r="W43" s="186">
        <f>'Balance Sheet'!T42-'Balance Sheet'!S42</f>
        <v>-4.884723032</v>
      </c>
      <c r="X43" s="186">
        <f>'Balance Sheet'!U42-'Balance Sheet'!T42</f>
        <v>-49.18623744</v>
      </c>
      <c r="Y43" s="186">
        <f>'Balance Sheet'!V42-'Balance Sheet'!U42</f>
        <v>98.81459467</v>
      </c>
      <c r="Z43" s="185">
        <f t="shared" si="94"/>
        <v>16.12200703</v>
      </c>
      <c r="AA43" s="186">
        <f>'Balance Sheet'!X42-'Balance Sheet'!W42</f>
        <v>-34.0749528</v>
      </c>
      <c r="AB43" s="186">
        <f>'Balance Sheet'!Y42-'Balance Sheet'!X42</f>
        <v>-5.786606618</v>
      </c>
      <c r="AC43" s="186">
        <f>'Balance Sheet'!Z42-'Balance Sheet'!Y42</f>
        <v>-54.29777737</v>
      </c>
      <c r="AD43" s="186">
        <f>'Balance Sheet'!AA42-'Balance Sheet'!Z42</f>
        <v>108.7271282</v>
      </c>
      <c r="AE43" s="185">
        <f t="shared" si="95"/>
        <v>14.56779144</v>
      </c>
      <c r="AF43" s="186">
        <f>'Balance Sheet'!AC42-'Balance Sheet'!AB42</f>
        <v>-38.37566283</v>
      </c>
      <c r="AG43" s="186">
        <f>'Balance Sheet'!AD42-'Balance Sheet'!AC42</f>
        <v>-6.62863962</v>
      </c>
      <c r="AH43" s="186">
        <f>'Balance Sheet'!AE42-'Balance Sheet'!AD42</f>
        <v>-59.25398655</v>
      </c>
      <c r="AI43" s="186">
        <f>'Balance Sheet'!AF42-'Balance Sheet'!AE42</f>
        <v>118.1715724</v>
      </c>
      <c r="AJ43" s="185">
        <f t="shared" si="96"/>
        <v>13.91328339</v>
      </c>
      <c r="AK43" s="186">
        <f>'Balance Sheet'!AH42-'Balance Sheet'!AG42</f>
        <v>-42.70487123</v>
      </c>
      <c r="AL43" s="186">
        <f>'Balance Sheet'!AI42-'Balance Sheet'!AH42</f>
        <v>-7.494189768</v>
      </c>
      <c r="AM43" s="186">
        <f>'Balance Sheet'!AJ42-'Balance Sheet'!AI42</f>
        <v>-63.83678665</v>
      </c>
      <c r="AN43" s="186">
        <f>'Balance Sheet'!AK42-'Balance Sheet'!AJ42</f>
        <v>127.2797892</v>
      </c>
      <c r="AO43" s="185">
        <f t="shared" si="97"/>
        <v>13.24394158</v>
      </c>
    </row>
    <row r="44" ht="10.5" customHeight="1">
      <c r="A44" s="189" t="s">
        <v>385</v>
      </c>
      <c r="B44" s="192">
        <f t="shared" si="84"/>
        <v>-0.379</v>
      </c>
      <c r="C44" s="192">
        <f t="shared" ref="C44:E44" si="125">C129-B129</f>
        <v>0.724</v>
      </c>
      <c r="D44" s="192">
        <f t="shared" si="125"/>
        <v>4.317</v>
      </c>
      <c r="E44" s="192">
        <f t="shared" si="125"/>
        <v>2.819</v>
      </c>
      <c r="F44" s="191">
        <f t="shared" si="86"/>
        <v>7.481</v>
      </c>
      <c r="G44" s="192">
        <f t="shared" si="87"/>
        <v>2.071</v>
      </c>
      <c r="H44" s="192">
        <f t="shared" ref="H44:J44" si="126">H129-G129</f>
        <v>2.767</v>
      </c>
      <c r="I44" s="192">
        <f t="shared" si="126"/>
        <v>4.3</v>
      </c>
      <c r="J44" s="192">
        <f t="shared" si="126"/>
        <v>3.64</v>
      </c>
      <c r="K44" s="191">
        <f t="shared" si="89"/>
        <v>12.778</v>
      </c>
      <c r="L44" s="192">
        <f t="shared" si="90"/>
        <v>5.001</v>
      </c>
      <c r="M44" s="192">
        <f t="shared" ref="M44:N44" si="127">M129-L129</f>
        <v>2.598</v>
      </c>
      <c r="N44" s="192">
        <f t="shared" si="127"/>
        <v>1.713</v>
      </c>
      <c r="O44" s="192">
        <f>'Balance Sheet'!L51-'Balance Sheet'!K51</f>
        <v>0</v>
      </c>
      <c r="P44" s="191">
        <f t="shared" si="92"/>
        <v>9.312</v>
      </c>
      <c r="Q44" s="192">
        <f>'Balance Sheet'!N51-'Balance Sheet'!M51</f>
        <v>0</v>
      </c>
      <c r="R44" s="192">
        <f>'Balance Sheet'!O51-'Balance Sheet'!N51</f>
        <v>0</v>
      </c>
      <c r="S44" s="192">
        <f>'Balance Sheet'!P51-'Balance Sheet'!O51</f>
        <v>0</v>
      </c>
      <c r="T44" s="192">
        <f>'Balance Sheet'!Q51-'Balance Sheet'!P51</f>
        <v>0</v>
      </c>
      <c r="U44" s="191">
        <f t="shared" si="93"/>
        <v>0</v>
      </c>
      <c r="V44" s="192">
        <f>'Balance Sheet'!S51-'Balance Sheet'!R51</f>
        <v>0</v>
      </c>
      <c r="W44" s="192">
        <f>'Balance Sheet'!T51-'Balance Sheet'!S51</f>
        <v>0</v>
      </c>
      <c r="X44" s="192">
        <f>'Balance Sheet'!U51-'Balance Sheet'!T51</f>
        <v>0</v>
      </c>
      <c r="Y44" s="192">
        <f>'Balance Sheet'!V51-'Balance Sheet'!U51</f>
        <v>0</v>
      </c>
      <c r="Z44" s="191">
        <f t="shared" si="94"/>
        <v>0</v>
      </c>
      <c r="AA44" s="192">
        <f>'Balance Sheet'!X51-'Balance Sheet'!W51</f>
        <v>0</v>
      </c>
      <c r="AB44" s="192">
        <f>'Balance Sheet'!Y51-'Balance Sheet'!X51</f>
        <v>0</v>
      </c>
      <c r="AC44" s="192">
        <f>'Balance Sheet'!Z51-'Balance Sheet'!Y51</f>
        <v>0</v>
      </c>
      <c r="AD44" s="192">
        <f>'Balance Sheet'!AA51-'Balance Sheet'!Z51</f>
        <v>0</v>
      </c>
      <c r="AE44" s="191">
        <f t="shared" si="95"/>
        <v>0</v>
      </c>
      <c r="AF44" s="192">
        <f>'Balance Sheet'!AC51-'Balance Sheet'!AB51</f>
        <v>0</v>
      </c>
      <c r="AG44" s="192">
        <f>'Balance Sheet'!AD51-'Balance Sheet'!AC51</f>
        <v>0</v>
      </c>
      <c r="AH44" s="192">
        <f>'Balance Sheet'!AE51-'Balance Sheet'!AD51</f>
        <v>0</v>
      </c>
      <c r="AI44" s="192">
        <f>'Balance Sheet'!AF51-'Balance Sheet'!AE51</f>
        <v>0</v>
      </c>
      <c r="AJ44" s="191">
        <f t="shared" si="96"/>
        <v>0</v>
      </c>
      <c r="AK44" s="192">
        <f>'Balance Sheet'!AH51-'Balance Sheet'!AG51</f>
        <v>0</v>
      </c>
      <c r="AL44" s="192">
        <f>'Balance Sheet'!AI51-'Balance Sheet'!AH51</f>
        <v>0</v>
      </c>
      <c r="AM44" s="192">
        <f>'Balance Sheet'!AJ51-'Balance Sheet'!AI51</f>
        <v>0</v>
      </c>
      <c r="AN44" s="192">
        <f>'Balance Sheet'!AK51-'Balance Sheet'!AJ51</f>
        <v>0</v>
      </c>
      <c r="AO44" s="191">
        <f t="shared" si="97"/>
        <v>0</v>
      </c>
    </row>
    <row r="45" ht="10.5" customHeight="1">
      <c r="A45" s="298" t="s">
        <v>386</v>
      </c>
      <c r="B45" s="199">
        <f t="shared" ref="B45:AO45" si="128">SUM(B8:B44)</f>
        <v>97.91</v>
      </c>
      <c r="C45" s="199">
        <f t="shared" si="128"/>
        <v>59.42</v>
      </c>
      <c r="D45" s="199">
        <f t="shared" si="128"/>
        <v>109.59</v>
      </c>
      <c r="E45" s="199">
        <f t="shared" si="128"/>
        <v>63.334</v>
      </c>
      <c r="F45" s="206">
        <f t="shared" si="128"/>
        <v>330.254</v>
      </c>
      <c r="G45" s="199">
        <f t="shared" si="128"/>
        <v>89.732</v>
      </c>
      <c r="H45" s="199">
        <f t="shared" si="128"/>
        <v>78.216</v>
      </c>
      <c r="I45" s="199">
        <f t="shared" si="128"/>
        <v>126.794</v>
      </c>
      <c r="J45" s="199">
        <f t="shared" si="128"/>
        <v>49.131</v>
      </c>
      <c r="K45" s="206">
        <f t="shared" si="128"/>
        <v>343.873</v>
      </c>
      <c r="L45" s="199">
        <f t="shared" si="128"/>
        <v>133.927</v>
      </c>
      <c r="M45" s="199">
        <f t="shared" si="128"/>
        <v>43.967</v>
      </c>
      <c r="N45" s="199">
        <f t="shared" si="128"/>
        <v>131.467</v>
      </c>
      <c r="O45" s="199">
        <f t="shared" si="128"/>
        <v>78.02394586</v>
      </c>
      <c r="P45" s="206">
        <f t="shared" si="128"/>
        <v>387.3849459</v>
      </c>
      <c r="Q45" s="199">
        <f t="shared" si="128"/>
        <v>160.3990599</v>
      </c>
      <c r="R45" s="199">
        <f t="shared" si="128"/>
        <v>98.7320372</v>
      </c>
      <c r="S45" s="199">
        <f t="shared" si="128"/>
        <v>88.95305047</v>
      </c>
      <c r="T45" s="199">
        <f t="shared" si="128"/>
        <v>96.78878674</v>
      </c>
      <c r="U45" s="206">
        <f t="shared" si="128"/>
        <v>444.8729343</v>
      </c>
      <c r="V45" s="199">
        <f t="shared" si="128"/>
        <v>189.5415702</v>
      </c>
      <c r="W45" s="199">
        <f t="shared" si="128"/>
        <v>113.1328089</v>
      </c>
      <c r="X45" s="199">
        <f t="shared" si="128"/>
        <v>102.9406338</v>
      </c>
      <c r="Y45" s="199">
        <f t="shared" si="128"/>
        <v>110.1128488</v>
      </c>
      <c r="Z45" s="206">
        <f t="shared" si="128"/>
        <v>515.7278617</v>
      </c>
      <c r="AA45" s="199">
        <f t="shared" si="128"/>
        <v>215.075408</v>
      </c>
      <c r="AB45" s="199">
        <f t="shared" si="128"/>
        <v>127.1082659</v>
      </c>
      <c r="AC45" s="199">
        <f t="shared" si="128"/>
        <v>116.9220458</v>
      </c>
      <c r="AD45" s="199">
        <f t="shared" si="128"/>
        <v>122.5314896</v>
      </c>
      <c r="AE45" s="206">
        <f t="shared" si="128"/>
        <v>581.6372093</v>
      </c>
      <c r="AF45" s="199">
        <f t="shared" si="128"/>
        <v>245.6112009</v>
      </c>
      <c r="AG45" s="199">
        <f t="shared" si="128"/>
        <v>140.9749087</v>
      </c>
      <c r="AH45" s="199">
        <f t="shared" si="128"/>
        <v>126.1770061</v>
      </c>
      <c r="AI45" s="199">
        <f t="shared" si="128"/>
        <v>132.6432017</v>
      </c>
      <c r="AJ45" s="206">
        <f t="shared" si="128"/>
        <v>645.4063173</v>
      </c>
      <c r="AK45" s="199">
        <f t="shared" si="128"/>
        <v>269.3928757</v>
      </c>
      <c r="AL45" s="199">
        <f t="shared" si="128"/>
        <v>154.8180941</v>
      </c>
      <c r="AM45" s="199">
        <f t="shared" si="128"/>
        <v>139.0984254</v>
      </c>
      <c r="AN45" s="199">
        <f t="shared" si="128"/>
        <v>145.380713</v>
      </c>
      <c r="AO45" s="206">
        <f t="shared" si="128"/>
        <v>708.6901083</v>
      </c>
    </row>
    <row r="46" ht="10.5" customHeight="1">
      <c r="A46" s="181" t="s">
        <v>387</v>
      </c>
      <c r="B46" s="186"/>
      <c r="C46" s="186"/>
      <c r="D46" s="186"/>
      <c r="E46" s="186"/>
      <c r="F46" s="185"/>
      <c r="G46" s="186"/>
      <c r="H46" s="186"/>
      <c r="I46" s="186"/>
      <c r="J46" s="186"/>
      <c r="K46" s="185"/>
      <c r="L46" s="186"/>
      <c r="M46" s="186"/>
      <c r="N46" s="186"/>
      <c r="O46" s="186"/>
      <c r="P46" s="185"/>
      <c r="Q46" s="186"/>
      <c r="R46" s="186"/>
      <c r="S46" s="186"/>
      <c r="T46" s="186"/>
      <c r="U46" s="185"/>
      <c r="V46" s="186"/>
      <c r="W46" s="186"/>
      <c r="X46" s="186"/>
      <c r="Y46" s="186"/>
      <c r="Z46" s="185"/>
      <c r="AA46" s="186"/>
      <c r="AB46" s="186"/>
      <c r="AC46" s="186"/>
      <c r="AD46" s="186"/>
      <c r="AE46" s="185"/>
      <c r="AF46" s="186"/>
      <c r="AG46" s="186"/>
      <c r="AH46" s="186"/>
      <c r="AI46" s="186"/>
      <c r="AJ46" s="185"/>
      <c r="AK46" s="186"/>
      <c r="AL46" s="186"/>
      <c r="AM46" s="186"/>
      <c r="AN46" s="186"/>
      <c r="AO46" s="185"/>
    </row>
    <row r="47" ht="10.5" customHeight="1">
      <c r="A47" s="164" t="s">
        <v>388</v>
      </c>
      <c r="B47" s="186">
        <f t="shared" ref="B47:B54" si="132">B132</f>
        <v>-22.997</v>
      </c>
      <c r="C47" s="186">
        <f t="shared" ref="C47:E47" si="129">C132-B132</f>
        <v>-22.146</v>
      </c>
      <c r="D47" s="186">
        <f t="shared" si="129"/>
        <v>-39.493</v>
      </c>
      <c r="E47" s="186">
        <f t="shared" si="129"/>
        <v>-51.35</v>
      </c>
      <c r="F47" s="185">
        <f t="shared" ref="F47:F54" si="134">SUM(B47:E47)</f>
        <v>-135.986</v>
      </c>
      <c r="G47" s="186">
        <f t="shared" ref="G47:G54" si="135">G132</f>
        <v>-26.311</v>
      </c>
      <c r="H47" s="186">
        <f t="shared" ref="H47:J47" si="130">H132-G132</f>
        <v>-38.034</v>
      </c>
      <c r="I47" s="186">
        <f t="shared" si="130"/>
        <v>-48.623</v>
      </c>
      <c r="J47" s="186">
        <f t="shared" si="130"/>
        <v>-42.093</v>
      </c>
      <c r="K47" s="185">
        <f t="shared" ref="K47:K54" si="137">SUM(G47:J47)</f>
        <v>-155.061</v>
      </c>
      <c r="L47" s="186">
        <f t="shared" ref="L47:L54" si="138">L132</f>
        <v>-23.055</v>
      </c>
      <c r="M47" s="186">
        <f t="shared" ref="M47:N47" si="131">M132-L132</f>
        <v>-35.746</v>
      </c>
      <c r="N47" s="186">
        <f t="shared" si="131"/>
        <v>-54.776</v>
      </c>
      <c r="O47" s="186">
        <f>-Assumptions!O126</f>
        <v>-69.33686319</v>
      </c>
      <c r="P47" s="185">
        <f t="shared" ref="P47:P54" si="140">SUM(L47:O47)</f>
        <v>-182.9138632</v>
      </c>
      <c r="Q47" s="186">
        <f>-Assumptions!Q126</f>
        <v>-28.5868758</v>
      </c>
      <c r="R47" s="186">
        <f>-Assumptions!R126</f>
        <v>-38.76054404</v>
      </c>
      <c r="S47" s="186">
        <f>-Assumptions!S126</f>
        <v>-52.65298898</v>
      </c>
      <c r="T47" s="186">
        <f>-Assumptions!T126</f>
        <v>-49.26951128</v>
      </c>
      <c r="U47" s="185">
        <f t="shared" ref="U47:U54" si="141">SUM(Q47:T47)</f>
        <v>-169.2699201</v>
      </c>
      <c r="V47" s="186">
        <f>-Assumptions!V126</f>
        <v>-35.3034502</v>
      </c>
      <c r="W47" s="186">
        <f>-Assumptions!W126</f>
        <v>-42.9334372</v>
      </c>
      <c r="X47" s="186">
        <f>-Assumptions!X126</f>
        <v>-41.57912906</v>
      </c>
      <c r="Y47" s="186">
        <f>-Assumptions!Y126</f>
        <v>-45.29770454</v>
      </c>
      <c r="Z47" s="185">
        <f t="shared" ref="Z47:Z54" si="142">SUM(V47:Y47)</f>
        <v>-165.113721</v>
      </c>
      <c r="AA47" s="186">
        <f>-Assumptions!AA126</f>
        <v>-38.91039478</v>
      </c>
      <c r="AB47" s="186">
        <f>-Assumptions!AB126</f>
        <v>-46.91167593</v>
      </c>
      <c r="AC47" s="186">
        <f>-Assumptions!AC126</f>
        <v>-45.40989254</v>
      </c>
      <c r="AD47" s="186">
        <f>-Assumptions!AD126</f>
        <v>-49.28096549</v>
      </c>
      <c r="AE47" s="185">
        <f t="shared" ref="AE47:AE54" si="143">SUM(AA47:AD47)</f>
        <v>-180.5129287</v>
      </c>
      <c r="AF47" s="186">
        <f>-Assumptions!AF126</f>
        <v>-42.50570932</v>
      </c>
      <c r="AG47" s="186">
        <f>-Assumptions!AG126</f>
        <v>-50.74447469</v>
      </c>
      <c r="AH47" s="186">
        <f>-Assumptions!AH126</f>
        <v>-49.02731388</v>
      </c>
      <c r="AI47" s="186">
        <f>-Assumptions!AI126</f>
        <v>-52.90138512</v>
      </c>
      <c r="AJ47" s="185">
        <f t="shared" ref="AJ47:AJ54" si="144">SUM(AF47:AI47)</f>
        <v>-195.178883</v>
      </c>
      <c r="AK47" s="186">
        <f>-Assumptions!AK126</f>
        <v>-45.7990054</v>
      </c>
      <c r="AL47" s="186">
        <f>-Assumptions!AL126</f>
        <v>-54.31288922</v>
      </c>
      <c r="AM47" s="186">
        <f>-Assumptions!AM126</f>
        <v>-52.45370856</v>
      </c>
      <c r="AN47" s="186">
        <f>-Assumptions!AN126</f>
        <v>-56.4370547</v>
      </c>
      <c r="AO47" s="185">
        <f t="shared" ref="AO47:AO54" si="145">SUM(AK47:AN47)</f>
        <v>-209.0026579</v>
      </c>
    </row>
    <row r="48" ht="10.5" customHeight="1">
      <c r="A48" s="164" t="s">
        <v>389</v>
      </c>
      <c r="B48" s="186">
        <f t="shared" si="132"/>
        <v>0</v>
      </c>
      <c r="C48" s="186">
        <f t="shared" ref="C48:E48" si="133">C133-B133</f>
        <v>-26.264</v>
      </c>
      <c r="D48" s="186">
        <f t="shared" si="133"/>
        <v>0</v>
      </c>
      <c r="E48" s="186">
        <f t="shared" si="133"/>
        <v>-17</v>
      </c>
      <c r="F48" s="185">
        <f t="shared" si="134"/>
        <v>-43.264</v>
      </c>
      <c r="G48" s="186">
        <f t="shared" si="135"/>
        <v>0</v>
      </c>
      <c r="H48" s="186">
        <f t="shared" ref="H48:J48" si="136">H133-G133</f>
        <v>0</v>
      </c>
      <c r="I48" s="186">
        <f t="shared" si="136"/>
        <v>0</v>
      </c>
      <c r="J48" s="186">
        <f t="shared" si="136"/>
        <v>0</v>
      </c>
      <c r="K48" s="185">
        <f t="shared" si="137"/>
        <v>0</v>
      </c>
      <c r="L48" s="186">
        <f t="shared" si="138"/>
        <v>0</v>
      </c>
      <c r="M48" s="186">
        <f t="shared" ref="M48:N48" si="139">M133-L133</f>
        <v>0</v>
      </c>
      <c r="N48" s="186">
        <f t="shared" si="139"/>
        <v>0</v>
      </c>
      <c r="O48" s="247"/>
      <c r="P48" s="185">
        <f t="shared" si="140"/>
        <v>0</v>
      </c>
      <c r="Q48" s="247"/>
      <c r="R48" s="247"/>
      <c r="S48" s="247"/>
      <c r="T48" s="247"/>
      <c r="U48" s="185">
        <f t="shared" si="141"/>
        <v>0</v>
      </c>
      <c r="V48" s="247"/>
      <c r="W48" s="247"/>
      <c r="X48" s="247"/>
      <c r="Y48" s="247"/>
      <c r="Z48" s="185">
        <f t="shared" si="142"/>
        <v>0</v>
      </c>
      <c r="AA48" s="247"/>
      <c r="AB48" s="247"/>
      <c r="AC48" s="247"/>
      <c r="AD48" s="247"/>
      <c r="AE48" s="185">
        <f t="shared" si="143"/>
        <v>0</v>
      </c>
      <c r="AF48" s="247"/>
      <c r="AG48" s="247"/>
      <c r="AH48" s="247"/>
      <c r="AI48" s="247"/>
      <c r="AJ48" s="185">
        <f t="shared" si="144"/>
        <v>0</v>
      </c>
      <c r="AK48" s="247"/>
      <c r="AL48" s="247"/>
      <c r="AM48" s="247"/>
      <c r="AN48" s="247"/>
      <c r="AO48" s="185">
        <f t="shared" si="145"/>
        <v>0</v>
      </c>
    </row>
    <row r="49" ht="10.5" customHeight="1">
      <c r="A49" s="164" t="s">
        <v>390</v>
      </c>
      <c r="B49" s="186">
        <f t="shared" si="132"/>
        <v>0</v>
      </c>
      <c r="C49" s="186">
        <f t="shared" ref="C49:E49" si="146">C134-B134</f>
        <v>0</v>
      </c>
      <c r="D49" s="186">
        <f t="shared" si="146"/>
        <v>0</v>
      </c>
      <c r="E49" s="186">
        <f t="shared" si="146"/>
        <v>0</v>
      </c>
      <c r="F49" s="185">
        <f t="shared" si="134"/>
        <v>0</v>
      </c>
      <c r="G49" s="186">
        <f t="shared" si="135"/>
        <v>0</v>
      </c>
      <c r="H49" s="186">
        <f t="shared" ref="H49:J49" si="147">H134-G134</f>
        <v>0</v>
      </c>
      <c r="I49" s="186">
        <f t="shared" si="147"/>
        <v>0</v>
      </c>
      <c r="J49" s="186">
        <f t="shared" si="147"/>
        <v>0</v>
      </c>
      <c r="K49" s="185">
        <f t="shared" si="137"/>
        <v>0</v>
      </c>
      <c r="L49" s="186">
        <f t="shared" si="138"/>
        <v>0</v>
      </c>
      <c r="M49" s="186">
        <f t="shared" ref="M49:N49" si="148">M134-L134</f>
        <v>0</v>
      </c>
      <c r="N49" s="186">
        <f t="shared" si="148"/>
        <v>21.626</v>
      </c>
      <c r="O49" s="247"/>
      <c r="P49" s="185">
        <f t="shared" si="140"/>
        <v>21.626</v>
      </c>
      <c r="Q49" s="247"/>
      <c r="R49" s="247"/>
      <c r="S49" s="247"/>
      <c r="T49" s="247"/>
      <c r="U49" s="185">
        <f t="shared" si="141"/>
        <v>0</v>
      </c>
      <c r="V49" s="247"/>
      <c r="W49" s="247"/>
      <c r="X49" s="247"/>
      <c r="Y49" s="247"/>
      <c r="Z49" s="185">
        <f t="shared" si="142"/>
        <v>0</v>
      </c>
      <c r="AA49" s="247"/>
      <c r="AB49" s="247"/>
      <c r="AC49" s="247"/>
      <c r="AD49" s="247"/>
      <c r="AE49" s="185">
        <f t="shared" si="143"/>
        <v>0</v>
      </c>
      <c r="AF49" s="247"/>
      <c r="AG49" s="247"/>
      <c r="AH49" s="247"/>
      <c r="AI49" s="247"/>
      <c r="AJ49" s="185">
        <f t="shared" si="144"/>
        <v>0</v>
      </c>
      <c r="AK49" s="247"/>
      <c r="AL49" s="247"/>
      <c r="AM49" s="247"/>
      <c r="AN49" s="247"/>
      <c r="AO49" s="185">
        <f t="shared" si="145"/>
        <v>0</v>
      </c>
    </row>
    <row r="50" ht="10.5" customHeight="1">
      <c r="A50" s="164" t="s">
        <v>391</v>
      </c>
      <c r="B50" s="186">
        <f t="shared" si="132"/>
        <v>0</v>
      </c>
      <c r="C50" s="186">
        <f t="shared" ref="C50:E50" si="149">C135-B135</f>
        <v>0</v>
      </c>
      <c r="D50" s="186">
        <f t="shared" si="149"/>
        <v>0.002</v>
      </c>
      <c r="E50" s="186">
        <f t="shared" si="149"/>
        <v>0.097</v>
      </c>
      <c r="F50" s="185">
        <f t="shared" si="134"/>
        <v>0.099</v>
      </c>
      <c r="G50" s="186">
        <f t="shared" si="135"/>
        <v>0</v>
      </c>
      <c r="H50" s="186">
        <f t="shared" ref="H50:J50" si="150">H135-G135</f>
        <v>0</v>
      </c>
      <c r="I50" s="186">
        <f t="shared" si="150"/>
        <v>0.568</v>
      </c>
      <c r="J50" s="186">
        <f t="shared" si="150"/>
        <v>0.828</v>
      </c>
      <c r="K50" s="185">
        <f t="shared" si="137"/>
        <v>1.396</v>
      </c>
      <c r="L50" s="186">
        <f t="shared" si="138"/>
        <v>0</v>
      </c>
      <c r="M50" s="186">
        <f t="shared" ref="M50:N50" si="151">M135-L135</f>
        <v>0</v>
      </c>
      <c r="N50" s="186">
        <f t="shared" si="151"/>
        <v>0</v>
      </c>
      <c r="O50" s="247"/>
      <c r="P50" s="185">
        <f t="shared" si="140"/>
        <v>0</v>
      </c>
      <c r="Q50" s="247"/>
      <c r="R50" s="247"/>
      <c r="S50" s="247"/>
      <c r="T50" s="247"/>
      <c r="U50" s="185">
        <f t="shared" si="141"/>
        <v>0</v>
      </c>
      <c r="V50" s="247"/>
      <c r="W50" s="247"/>
      <c r="X50" s="247"/>
      <c r="Y50" s="247"/>
      <c r="Z50" s="185">
        <f t="shared" si="142"/>
        <v>0</v>
      </c>
      <c r="AA50" s="247"/>
      <c r="AB50" s="247"/>
      <c r="AC50" s="247"/>
      <c r="AD50" s="247"/>
      <c r="AE50" s="185">
        <f t="shared" si="143"/>
        <v>0</v>
      </c>
      <c r="AF50" s="247"/>
      <c r="AG50" s="247"/>
      <c r="AH50" s="247"/>
      <c r="AI50" s="247"/>
      <c r="AJ50" s="185">
        <f t="shared" si="144"/>
        <v>0</v>
      </c>
      <c r="AK50" s="247"/>
      <c r="AL50" s="247"/>
      <c r="AM50" s="247"/>
      <c r="AN50" s="247"/>
      <c r="AO50" s="185">
        <f t="shared" si="145"/>
        <v>0</v>
      </c>
    </row>
    <row r="51" ht="10.5" customHeight="1">
      <c r="A51" s="164" t="s">
        <v>392</v>
      </c>
      <c r="B51" s="186">
        <f t="shared" si="132"/>
        <v>0</v>
      </c>
      <c r="C51" s="186">
        <f t="shared" ref="C51:E51" si="152">C136-B136</f>
        <v>-119.614</v>
      </c>
      <c r="D51" s="186">
        <f t="shared" si="152"/>
        <v>-35.393</v>
      </c>
      <c r="E51" s="186">
        <f t="shared" si="152"/>
        <v>-48.278</v>
      </c>
      <c r="F51" s="185">
        <f t="shared" si="134"/>
        <v>-203.285</v>
      </c>
      <c r="G51" s="186">
        <f t="shared" si="135"/>
        <v>-34.922</v>
      </c>
      <c r="H51" s="186">
        <f t="shared" ref="H51:J51" si="153">H136-G136</f>
        <v>-39.008</v>
      </c>
      <c r="I51" s="186">
        <f t="shared" si="153"/>
        <v>-42.903</v>
      </c>
      <c r="J51" s="186">
        <f t="shared" si="153"/>
        <v>-38.59</v>
      </c>
      <c r="K51" s="185">
        <f t="shared" si="137"/>
        <v>-155.423</v>
      </c>
      <c r="L51" s="186">
        <f t="shared" si="138"/>
        <v>-42.334</v>
      </c>
      <c r="M51" s="186">
        <f t="shared" ref="M51:N51" si="154">M136-L136</f>
        <v>-39.624</v>
      </c>
      <c r="N51" s="186">
        <f t="shared" si="154"/>
        <v>-36.443</v>
      </c>
      <c r="O51" s="186">
        <f>'Balance Sheet'!K11-'Balance Sheet'!L11+'Balance Sheet'!K21-'Balance Sheet'!L21</f>
        <v>0</v>
      </c>
      <c r="P51" s="185">
        <f t="shared" si="140"/>
        <v>-118.401</v>
      </c>
      <c r="Q51" s="186">
        <f>'Balance Sheet'!M11-'Balance Sheet'!N11+'Balance Sheet'!M21-'Balance Sheet'!N21</f>
        <v>0</v>
      </c>
      <c r="R51" s="186">
        <f>'Balance Sheet'!N11-'Balance Sheet'!O11+'Balance Sheet'!N21-'Balance Sheet'!O21</f>
        <v>0</v>
      </c>
      <c r="S51" s="186">
        <f>'Balance Sheet'!O11-'Balance Sheet'!P11+'Balance Sheet'!O21-'Balance Sheet'!P21</f>
        <v>0</v>
      </c>
      <c r="T51" s="186">
        <f>'Balance Sheet'!P11-'Balance Sheet'!Q11+'Balance Sheet'!P21-'Balance Sheet'!Q21</f>
        <v>0</v>
      </c>
      <c r="U51" s="185">
        <f t="shared" si="141"/>
        <v>0</v>
      </c>
      <c r="V51" s="186">
        <f>'Balance Sheet'!R11-'Balance Sheet'!S11+'Balance Sheet'!R21-'Balance Sheet'!S21</f>
        <v>0</v>
      </c>
      <c r="W51" s="186">
        <f>'Balance Sheet'!S11-'Balance Sheet'!T11+'Balance Sheet'!S21-'Balance Sheet'!T21</f>
        <v>0</v>
      </c>
      <c r="X51" s="186">
        <f>'Balance Sheet'!T11-'Balance Sheet'!U11+'Balance Sheet'!T21-'Balance Sheet'!U21</f>
        <v>0</v>
      </c>
      <c r="Y51" s="186">
        <f>'Balance Sheet'!U11-'Balance Sheet'!V11+'Balance Sheet'!U21-'Balance Sheet'!V21</f>
        <v>0</v>
      </c>
      <c r="Z51" s="185">
        <f t="shared" si="142"/>
        <v>0</v>
      </c>
      <c r="AA51" s="186">
        <f>'Balance Sheet'!W11-'Balance Sheet'!X11+'Balance Sheet'!W21-'Balance Sheet'!X21</f>
        <v>0</v>
      </c>
      <c r="AB51" s="186">
        <f>'Balance Sheet'!X11-'Balance Sheet'!Y11+'Balance Sheet'!X21-'Balance Sheet'!Y21</f>
        <v>0</v>
      </c>
      <c r="AC51" s="186">
        <f>'Balance Sheet'!Y11-'Balance Sheet'!Z11+'Balance Sheet'!Y21-'Balance Sheet'!Z21</f>
        <v>0</v>
      </c>
      <c r="AD51" s="186">
        <f>'Balance Sheet'!Z11-'Balance Sheet'!AA11+'Balance Sheet'!Z21-'Balance Sheet'!AA21</f>
        <v>0</v>
      </c>
      <c r="AE51" s="185">
        <f t="shared" si="143"/>
        <v>0</v>
      </c>
      <c r="AF51" s="186">
        <f>'Balance Sheet'!AB11-'Balance Sheet'!AC11+'Balance Sheet'!AB21-'Balance Sheet'!AC21</f>
        <v>0</v>
      </c>
      <c r="AG51" s="186">
        <f>'Balance Sheet'!AC11-'Balance Sheet'!AD11+'Balance Sheet'!AC21-'Balance Sheet'!AD21</f>
        <v>0</v>
      </c>
      <c r="AH51" s="186">
        <f>'Balance Sheet'!AD11-'Balance Sheet'!AE11+'Balance Sheet'!AD21-'Balance Sheet'!AE21</f>
        <v>0</v>
      </c>
      <c r="AI51" s="186">
        <f>'Balance Sheet'!AE11-'Balance Sheet'!AF11+'Balance Sheet'!AE21-'Balance Sheet'!AF21</f>
        <v>0</v>
      </c>
      <c r="AJ51" s="185">
        <f t="shared" si="144"/>
        <v>0</v>
      </c>
      <c r="AK51" s="186">
        <f>'Balance Sheet'!AG11-'Balance Sheet'!AH11+'Balance Sheet'!AG21-'Balance Sheet'!AH21</f>
        <v>0</v>
      </c>
      <c r="AL51" s="186">
        <f>'Balance Sheet'!AH11-'Balance Sheet'!AI11+'Balance Sheet'!AH21-'Balance Sheet'!AI21</f>
        <v>0</v>
      </c>
      <c r="AM51" s="186">
        <f>'Balance Sheet'!AI11-'Balance Sheet'!AJ11+'Balance Sheet'!AI21-'Balance Sheet'!AJ21</f>
        <v>0</v>
      </c>
      <c r="AN51" s="186">
        <f>'Balance Sheet'!AJ11-'Balance Sheet'!AK11+'Balance Sheet'!AJ21-'Balance Sheet'!AK21</f>
        <v>0</v>
      </c>
      <c r="AO51" s="185">
        <f t="shared" si="145"/>
        <v>0</v>
      </c>
    </row>
    <row r="52" ht="10.5" customHeight="1">
      <c r="A52" s="164" t="s">
        <v>393</v>
      </c>
      <c r="B52" s="186">
        <f t="shared" si="132"/>
        <v>0</v>
      </c>
      <c r="C52" s="186">
        <f t="shared" ref="C52:E52" si="155">C137-B137</f>
        <v>0</v>
      </c>
      <c r="D52" s="186">
        <f t="shared" si="155"/>
        <v>37.99</v>
      </c>
      <c r="E52" s="186">
        <f t="shared" si="155"/>
        <v>42.5</v>
      </c>
      <c r="F52" s="185">
        <f t="shared" si="134"/>
        <v>80.49</v>
      </c>
      <c r="G52" s="186">
        <f t="shared" si="135"/>
        <v>22.589</v>
      </c>
      <c r="H52" s="186">
        <f t="shared" ref="H52:J52" si="156">H137-G137</f>
        <v>25.25</v>
      </c>
      <c r="I52" s="186">
        <f t="shared" si="156"/>
        <v>33.083</v>
      </c>
      <c r="J52" s="186">
        <f t="shared" si="156"/>
        <v>22.75</v>
      </c>
      <c r="K52" s="185">
        <f t="shared" si="137"/>
        <v>103.672</v>
      </c>
      <c r="L52" s="186">
        <f t="shared" si="138"/>
        <v>36.749</v>
      </c>
      <c r="M52" s="186">
        <f t="shared" ref="M52:N52" si="157">M137-L137</f>
        <v>35.205</v>
      </c>
      <c r="N52" s="186">
        <f t="shared" si="157"/>
        <v>34.355</v>
      </c>
      <c r="O52" s="247"/>
      <c r="P52" s="185">
        <f t="shared" si="140"/>
        <v>106.309</v>
      </c>
      <c r="Q52" s="247"/>
      <c r="R52" s="247"/>
      <c r="S52" s="247"/>
      <c r="T52" s="247"/>
      <c r="U52" s="185">
        <f t="shared" si="141"/>
        <v>0</v>
      </c>
      <c r="V52" s="247"/>
      <c r="W52" s="247"/>
      <c r="X52" s="247"/>
      <c r="Y52" s="247"/>
      <c r="Z52" s="185">
        <f t="shared" si="142"/>
        <v>0</v>
      </c>
      <c r="AA52" s="247"/>
      <c r="AB52" s="247"/>
      <c r="AC52" s="247"/>
      <c r="AD52" s="247"/>
      <c r="AE52" s="185">
        <f t="shared" si="143"/>
        <v>0</v>
      </c>
      <c r="AF52" s="247"/>
      <c r="AG52" s="247"/>
      <c r="AH52" s="247"/>
      <c r="AI52" s="247"/>
      <c r="AJ52" s="185">
        <f t="shared" si="144"/>
        <v>0</v>
      </c>
      <c r="AK52" s="247"/>
      <c r="AL52" s="247"/>
      <c r="AM52" s="247"/>
      <c r="AN52" s="247"/>
      <c r="AO52" s="185">
        <f t="shared" si="145"/>
        <v>0</v>
      </c>
    </row>
    <row r="53" ht="10.5" customHeight="1">
      <c r="A53" s="164" t="s">
        <v>394</v>
      </c>
      <c r="B53" s="186">
        <f t="shared" si="132"/>
        <v>0</v>
      </c>
      <c r="C53" s="186">
        <f t="shared" ref="C53:E53" si="158">C138-B138</f>
        <v>-10</v>
      </c>
      <c r="D53" s="186">
        <f t="shared" si="158"/>
        <v>-10</v>
      </c>
      <c r="E53" s="186">
        <f t="shared" si="158"/>
        <v>-18.045</v>
      </c>
      <c r="F53" s="185">
        <f t="shared" si="134"/>
        <v>-38.045</v>
      </c>
      <c r="G53" s="186">
        <f t="shared" si="135"/>
        <v>0</v>
      </c>
      <c r="H53" s="186">
        <f t="shared" ref="H53:J53" si="159">H138-G138</f>
        <v>0</v>
      </c>
      <c r="I53" s="186">
        <f t="shared" si="159"/>
        <v>0</v>
      </c>
      <c r="J53" s="186">
        <f t="shared" si="159"/>
        <v>-3.295</v>
      </c>
      <c r="K53" s="185">
        <f t="shared" si="137"/>
        <v>-3.295</v>
      </c>
      <c r="L53" s="186">
        <f t="shared" si="138"/>
        <v>0.541</v>
      </c>
      <c r="M53" s="186">
        <f t="shared" ref="M53:N53" si="160">M138-L138</f>
        <v>-2.698</v>
      </c>
      <c r="N53" s="186">
        <f t="shared" si="160"/>
        <v>0.159</v>
      </c>
      <c r="O53" s="186">
        <f>'Balance Sheet'!K23-'Balance Sheet'!L23-Assumptions!O123+'Balance Sheet'!K26-'Balance Sheet'!L26</f>
        <v>0</v>
      </c>
      <c r="P53" s="185">
        <f t="shared" si="140"/>
        <v>-1.998</v>
      </c>
      <c r="Q53" s="186">
        <f>'Balance Sheet'!M23-'Balance Sheet'!N23-Assumptions!Q123+'Balance Sheet'!M26-'Balance Sheet'!N26</f>
        <v>0</v>
      </c>
      <c r="R53" s="186">
        <f>'Balance Sheet'!N23-'Balance Sheet'!O23-Assumptions!R123+'Balance Sheet'!N26-'Balance Sheet'!O26</f>
        <v>0</v>
      </c>
      <c r="S53" s="186">
        <f>'Balance Sheet'!O23-'Balance Sheet'!P23-Assumptions!S123+'Balance Sheet'!O26-'Balance Sheet'!P26</f>
        <v>0</v>
      </c>
      <c r="T53" s="186">
        <f>'Balance Sheet'!P23-'Balance Sheet'!Q23-Assumptions!T123+'Balance Sheet'!P26-'Balance Sheet'!Q26</f>
        <v>0</v>
      </c>
      <c r="U53" s="185">
        <f t="shared" si="141"/>
        <v>0</v>
      </c>
      <c r="V53" s="186">
        <f>'Balance Sheet'!R23-'Balance Sheet'!S23-Assumptions!V123+'Balance Sheet'!R26-'Balance Sheet'!S26</f>
        <v>0</v>
      </c>
      <c r="W53" s="186">
        <f>'Balance Sheet'!S23-'Balance Sheet'!T23-Assumptions!W123+'Balance Sheet'!S26-'Balance Sheet'!T26</f>
        <v>0</v>
      </c>
      <c r="X53" s="186">
        <f>'Balance Sheet'!T23-'Balance Sheet'!U23-Assumptions!X123+'Balance Sheet'!T26-'Balance Sheet'!U26</f>
        <v>0</v>
      </c>
      <c r="Y53" s="186">
        <f>'Balance Sheet'!U23-'Balance Sheet'!V23-Assumptions!Y123+'Balance Sheet'!U26-'Balance Sheet'!V26</f>
        <v>0</v>
      </c>
      <c r="Z53" s="185">
        <f t="shared" si="142"/>
        <v>0</v>
      </c>
      <c r="AA53" s="186">
        <f>'Balance Sheet'!W23-'Balance Sheet'!X23-Assumptions!AA123+'Balance Sheet'!W26-'Balance Sheet'!X26</f>
        <v>0</v>
      </c>
      <c r="AB53" s="186">
        <f>'Balance Sheet'!X23-'Balance Sheet'!Y23-Assumptions!AB123+'Balance Sheet'!X26-'Balance Sheet'!Y26</f>
        <v>0</v>
      </c>
      <c r="AC53" s="186">
        <f>'Balance Sheet'!Y23-'Balance Sheet'!Z23-Assumptions!AC123+'Balance Sheet'!Y26-'Balance Sheet'!Z26</f>
        <v>0</v>
      </c>
      <c r="AD53" s="186">
        <f>'Balance Sheet'!Z23-'Balance Sheet'!AA23-Assumptions!AD123+'Balance Sheet'!Z26-'Balance Sheet'!AA26</f>
        <v>0</v>
      </c>
      <c r="AE53" s="185">
        <f t="shared" si="143"/>
        <v>0</v>
      </c>
      <c r="AF53" s="186">
        <f>'Balance Sheet'!AB23-'Balance Sheet'!AC23-Assumptions!AF123+'Balance Sheet'!AB26-'Balance Sheet'!AC26</f>
        <v>0</v>
      </c>
      <c r="AG53" s="186">
        <f>'Balance Sheet'!AC23-'Balance Sheet'!AD23-Assumptions!AG123+'Balance Sheet'!AC26-'Balance Sheet'!AD26</f>
        <v>0</v>
      </c>
      <c r="AH53" s="186">
        <f>'Balance Sheet'!AD23-'Balance Sheet'!AE23-Assumptions!AH123+'Balance Sheet'!AD26-'Balance Sheet'!AE26</f>
        <v>0</v>
      </c>
      <c r="AI53" s="186">
        <f>'Balance Sheet'!AE23-'Balance Sheet'!AF23-Assumptions!AI123+'Balance Sheet'!AE26-'Balance Sheet'!AF26</f>
        <v>0</v>
      </c>
      <c r="AJ53" s="185">
        <f t="shared" si="144"/>
        <v>0</v>
      </c>
      <c r="AK53" s="186">
        <f>'Balance Sheet'!AG23-'Balance Sheet'!AH23-Assumptions!AK123+'Balance Sheet'!AG26-'Balance Sheet'!AH26</f>
        <v>0</v>
      </c>
      <c r="AL53" s="186">
        <f>'Balance Sheet'!AH23-'Balance Sheet'!AI23-Assumptions!AL123+'Balance Sheet'!AH26-'Balance Sheet'!AI26</f>
        <v>0</v>
      </c>
      <c r="AM53" s="186">
        <f>'Balance Sheet'!AI23-'Balance Sheet'!AJ23-Assumptions!AM123+'Balance Sheet'!AI26-'Balance Sheet'!AJ26</f>
        <v>0</v>
      </c>
      <c r="AN53" s="186">
        <f>'Balance Sheet'!AJ23-'Balance Sheet'!AK23-Assumptions!AN123+'Balance Sheet'!AJ26-'Balance Sheet'!AK26</f>
        <v>0</v>
      </c>
      <c r="AO53" s="185">
        <f t="shared" si="145"/>
        <v>0</v>
      </c>
    </row>
    <row r="54" ht="10.5" customHeight="1">
      <c r="A54" s="202" t="s">
        <v>395</v>
      </c>
      <c r="B54" s="192">
        <f t="shared" si="132"/>
        <v>0</v>
      </c>
      <c r="C54" s="192">
        <f t="shared" ref="C54:E54" si="161">C139-B139</f>
        <v>0</v>
      </c>
      <c r="D54" s="192">
        <f t="shared" si="161"/>
        <v>0</v>
      </c>
      <c r="E54" s="192">
        <f t="shared" si="161"/>
        <v>0</v>
      </c>
      <c r="F54" s="191">
        <f t="shared" si="134"/>
        <v>0</v>
      </c>
      <c r="G54" s="192">
        <f t="shared" si="135"/>
        <v>0</v>
      </c>
      <c r="H54" s="192">
        <f t="shared" ref="H54:J54" si="162">H139-G139</f>
        <v>0</v>
      </c>
      <c r="I54" s="192">
        <f t="shared" si="162"/>
        <v>0</v>
      </c>
      <c r="J54" s="192">
        <f t="shared" si="162"/>
        <v>0</v>
      </c>
      <c r="K54" s="191">
        <f t="shared" si="137"/>
        <v>0</v>
      </c>
      <c r="L54" s="192">
        <f t="shared" si="138"/>
        <v>0</v>
      </c>
      <c r="M54" s="192">
        <f t="shared" ref="M54:N54" si="163">M139-L139</f>
        <v>0</v>
      </c>
      <c r="N54" s="192">
        <f t="shared" si="163"/>
        <v>0</v>
      </c>
      <c r="O54" s="192">
        <f>-Assumptions!O136-Assumptions!O138</f>
        <v>0</v>
      </c>
      <c r="P54" s="191">
        <f t="shared" si="140"/>
        <v>0</v>
      </c>
      <c r="Q54" s="192">
        <f>-Assumptions!Q136-Assumptions!Q138</f>
        <v>0</v>
      </c>
      <c r="R54" s="192">
        <f>-Assumptions!R136-Assumptions!R138</f>
        <v>0</v>
      </c>
      <c r="S54" s="192">
        <f>-Assumptions!S136-Assumptions!S138</f>
        <v>0</v>
      </c>
      <c r="T54" s="192">
        <f>-Assumptions!T136-Assumptions!T138</f>
        <v>0</v>
      </c>
      <c r="U54" s="191">
        <f t="shared" si="141"/>
        <v>0</v>
      </c>
      <c r="V54" s="192">
        <f>-Assumptions!V136-Assumptions!V138</f>
        <v>0</v>
      </c>
      <c r="W54" s="192">
        <f>-Assumptions!W136-Assumptions!W138</f>
        <v>0</v>
      </c>
      <c r="X54" s="192">
        <f>-Assumptions!X136-Assumptions!X138</f>
        <v>0</v>
      </c>
      <c r="Y54" s="192">
        <f>-Assumptions!Y136-Assumptions!Y138</f>
        <v>0</v>
      </c>
      <c r="Z54" s="191">
        <f t="shared" si="142"/>
        <v>0</v>
      </c>
      <c r="AA54" s="192">
        <f>-Assumptions!AA136-Assumptions!AA138</f>
        <v>0</v>
      </c>
      <c r="AB54" s="192">
        <f>-Assumptions!AB136-Assumptions!AB138</f>
        <v>0</v>
      </c>
      <c r="AC54" s="192">
        <f>-Assumptions!AC136-Assumptions!AC138</f>
        <v>0</v>
      </c>
      <c r="AD54" s="192">
        <f>-Assumptions!AD136-Assumptions!AD138</f>
        <v>0</v>
      </c>
      <c r="AE54" s="191">
        <f t="shared" si="143"/>
        <v>0</v>
      </c>
      <c r="AF54" s="192">
        <f>-Assumptions!AF136-Assumptions!AF138</f>
        <v>0</v>
      </c>
      <c r="AG54" s="192">
        <f>-Assumptions!AG136-Assumptions!AG138</f>
        <v>0</v>
      </c>
      <c r="AH54" s="192">
        <f>-Assumptions!AH136-Assumptions!AH138</f>
        <v>0</v>
      </c>
      <c r="AI54" s="192">
        <f>-Assumptions!AI136-Assumptions!AI138</f>
        <v>0</v>
      </c>
      <c r="AJ54" s="191">
        <f t="shared" si="144"/>
        <v>0</v>
      </c>
      <c r="AK54" s="192">
        <f>-Assumptions!AK136-Assumptions!AK138</f>
        <v>0</v>
      </c>
      <c r="AL54" s="192">
        <f>-Assumptions!AL136-Assumptions!AL138</f>
        <v>0</v>
      </c>
      <c r="AM54" s="192">
        <f>-Assumptions!AM136-Assumptions!AM138</f>
        <v>0</v>
      </c>
      <c r="AN54" s="192">
        <f>-Assumptions!AN136-Assumptions!AN138</f>
        <v>0</v>
      </c>
      <c r="AO54" s="191">
        <f t="shared" si="145"/>
        <v>0</v>
      </c>
    </row>
    <row r="55" ht="10.5" customHeight="1">
      <c r="A55" s="298" t="s">
        <v>396</v>
      </c>
      <c r="B55" s="199">
        <f t="shared" ref="B55:AO55" si="164">SUM(B47:B54)</f>
        <v>-22.997</v>
      </c>
      <c r="C55" s="199">
        <f t="shared" si="164"/>
        <v>-178.024</v>
      </c>
      <c r="D55" s="199">
        <f t="shared" si="164"/>
        <v>-46.894</v>
      </c>
      <c r="E55" s="199">
        <f t="shared" si="164"/>
        <v>-92.076</v>
      </c>
      <c r="F55" s="206">
        <f t="shared" si="164"/>
        <v>-339.991</v>
      </c>
      <c r="G55" s="199">
        <f t="shared" si="164"/>
        <v>-38.644</v>
      </c>
      <c r="H55" s="199">
        <f t="shared" si="164"/>
        <v>-51.792</v>
      </c>
      <c r="I55" s="199">
        <f t="shared" si="164"/>
        <v>-57.875</v>
      </c>
      <c r="J55" s="199">
        <f t="shared" si="164"/>
        <v>-60.4</v>
      </c>
      <c r="K55" s="206">
        <f t="shared" si="164"/>
        <v>-208.711</v>
      </c>
      <c r="L55" s="199">
        <f t="shared" si="164"/>
        <v>-28.099</v>
      </c>
      <c r="M55" s="199">
        <f t="shared" si="164"/>
        <v>-42.863</v>
      </c>
      <c r="N55" s="199">
        <f t="shared" si="164"/>
        <v>-35.079</v>
      </c>
      <c r="O55" s="199">
        <f t="shared" si="164"/>
        <v>-69.33686319</v>
      </c>
      <c r="P55" s="206">
        <f t="shared" si="164"/>
        <v>-175.3778632</v>
      </c>
      <c r="Q55" s="199">
        <f t="shared" si="164"/>
        <v>-28.5868758</v>
      </c>
      <c r="R55" s="199">
        <f t="shared" si="164"/>
        <v>-38.76054404</v>
      </c>
      <c r="S55" s="199">
        <f t="shared" si="164"/>
        <v>-52.65298898</v>
      </c>
      <c r="T55" s="199">
        <f t="shared" si="164"/>
        <v>-49.26951128</v>
      </c>
      <c r="U55" s="206">
        <f t="shared" si="164"/>
        <v>-169.2699201</v>
      </c>
      <c r="V55" s="199">
        <f t="shared" si="164"/>
        <v>-35.3034502</v>
      </c>
      <c r="W55" s="199">
        <f t="shared" si="164"/>
        <v>-42.9334372</v>
      </c>
      <c r="X55" s="199">
        <f t="shared" si="164"/>
        <v>-41.57912906</v>
      </c>
      <c r="Y55" s="199">
        <f t="shared" si="164"/>
        <v>-45.29770454</v>
      </c>
      <c r="Z55" s="206">
        <f t="shared" si="164"/>
        <v>-165.113721</v>
      </c>
      <c r="AA55" s="199">
        <f t="shared" si="164"/>
        <v>-38.91039478</v>
      </c>
      <c r="AB55" s="199">
        <f t="shared" si="164"/>
        <v>-46.91167593</v>
      </c>
      <c r="AC55" s="199">
        <f t="shared" si="164"/>
        <v>-45.40989254</v>
      </c>
      <c r="AD55" s="199">
        <f t="shared" si="164"/>
        <v>-49.28096549</v>
      </c>
      <c r="AE55" s="206">
        <f t="shared" si="164"/>
        <v>-180.5129287</v>
      </c>
      <c r="AF55" s="199">
        <f t="shared" si="164"/>
        <v>-42.50570932</v>
      </c>
      <c r="AG55" s="199">
        <f t="shared" si="164"/>
        <v>-50.74447469</v>
      </c>
      <c r="AH55" s="199">
        <f t="shared" si="164"/>
        <v>-49.02731388</v>
      </c>
      <c r="AI55" s="199">
        <f t="shared" si="164"/>
        <v>-52.90138512</v>
      </c>
      <c r="AJ55" s="206">
        <f t="shared" si="164"/>
        <v>-195.178883</v>
      </c>
      <c r="AK55" s="199">
        <f t="shared" si="164"/>
        <v>-45.7990054</v>
      </c>
      <c r="AL55" s="199">
        <f t="shared" si="164"/>
        <v>-54.31288922</v>
      </c>
      <c r="AM55" s="199">
        <f t="shared" si="164"/>
        <v>-52.45370856</v>
      </c>
      <c r="AN55" s="199">
        <f t="shared" si="164"/>
        <v>-56.4370547</v>
      </c>
      <c r="AO55" s="206">
        <f t="shared" si="164"/>
        <v>-209.0026579</v>
      </c>
    </row>
    <row r="56" ht="10.5" customHeight="1">
      <c r="A56" s="164" t="s">
        <v>397</v>
      </c>
      <c r="B56" s="186"/>
      <c r="C56" s="186"/>
      <c r="D56" s="186"/>
      <c r="E56" s="186"/>
      <c r="F56" s="185"/>
      <c r="G56" s="186"/>
      <c r="H56" s="186"/>
      <c r="I56" s="186"/>
      <c r="J56" s="186"/>
      <c r="K56" s="185"/>
      <c r="L56" s="186"/>
      <c r="M56" s="186"/>
      <c r="N56" s="186"/>
      <c r="O56" s="186"/>
      <c r="P56" s="185"/>
      <c r="Q56" s="186"/>
      <c r="R56" s="186"/>
      <c r="S56" s="186"/>
      <c r="T56" s="186"/>
      <c r="U56" s="185"/>
      <c r="V56" s="186"/>
      <c r="W56" s="186"/>
      <c r="X56" s="186"/>
      <c r="Y56" s="186"/>
      <c r="Z56" s="185"/>
      <c r="AA56" s="186"/>
      <c r="AB56" s="186"/>
      <c r="AC56" s="186"/>
      <c r="AD56" s="186"/>
      <c r="AE56" s="185"/>
      <c r="AF56" s="186"/>
      <c r="AG56" s="186"/>
      <c r="AH56" s="186"/>
      <c r="AI56" s="186"/>
      <c r="AJ56" s="185"/>
      <c r="AK56" s="186"/>
      <c r="AL56" s="186"/>
      <c r="AM56" s="186"/>
      <c r="AN56" s="186"/>
      <c r="AO56" s="185"/>
    </row>
    <row r="57" ht="10.5" customHeight="1">
      <c r="A57" s="164" t="s">
        <v>398</v>
      </c>
      <c r="B57" s="186">
        <f t="shared" ref="B57:B70" si="168">B142</f>
        <v>0</v>
      </c>
      <c r="C57" s="186">
        <f t="shared" ref="C57:E57" si="165">C142-B142</f>
        <v>0</v>
      </c>
      <c r="D57" s="186">
        <f t="shared" si="165"/>
        <v>0</v>
      </c>
      <c r="E57" s="186">
        <f t="shared" si="165"/>
        <v>0</v>
      </c>
      <c r="F57" s="185">
        <f t="shared" ref="F57:F70" si="170">SUM(B57:E57)</f>
        <v>0</v>
      </c>
      <c r="G57" s="186">
        <f t="shared" ref="G57:G70" si="171">G142</f>
        <v>0</v>
      </c>
      <c r="H57" s="186">
        <f t="shared" ref="H57:J57" si="166">H142-G142</f>
        <v>0</v>
      </c>
      <c r="I57" s="186">
        <f t="shared" si="166"/>
        <v>0</v>
      </c>
      <c r="J57" s="186">
        <f t="shared" si="166"/>
        <v>0</v>
      </c>
      <c r="K57" s="185">
        <f t="shared" ref="K57:K70" si="173">SUM(G57:J57)</f>
        <v>0</v>
      </c>
      <c r="L57" s="186">
        <f t="shared" ref="L57:L70" si="174">L142</f>
        <v>0</v>
      </c>
      <c r="M57" s="186">
        <f t="shared" ref="M57:N57" si="167">M142-L142</f>
        <v>0</v>
      </c>
      <c r="N57" s="186">
        <f t="shared" si="167"/>
        <v>0</v>
      </c>
      <c r="O57" s="247"/>
      <c r="P57" s="185">
        <f t="shared" ref="P57:P70" si="176">SUM(L57:O57)</f>
        <v>0</v>
      </c>
      <c r="Q57" s="247"/>
      <c r="R57" s="247"/>
      <c r="S57" s="247"/>
      <c r="T57" s="247"/>
      <c r="U57" s="185">
        <f t="shared" ref="U57:U70" si="177">SUM(Q57:T57)</f>
        <v>0</v>
      </c>
      <c r="V57" s="247"/>
      <c r="W57" s="247"/>
      <c r="X57" s="247"/>
      <c r="Y57" s="247"/>
      <c r="Z57" s="185">
        <f t="shared" ref="Z57:Z70" si="178">SUM(V57:Y57)</f>
        <v>0</v>
      </c>
      <c r="AA57" s="247"/>
      <c r="AB57" s="247"/>
      <c r="AC57" s="247"/>
      <c r="AD57" s="247"/>
      <c r="AE57" s="185">
        <f t="shared" ref="AE57:AE70" si="179">SUM(AA57:AD57)</f>
        <v>0</v>
      </c>
      <c r="AF57" s="247"/>
      <c r="AG57" s="247"/>
      <c r="AH57" s="247"/>
      <c r="AI57" s="247"/>
      <c r="AJ57" s="185">
        <f t="shared" ref="AJ57:AJ70" si="180">SUM(AF57:AI57)</f>
        <v>0</v>
      </c>
      <c r="AK57" s="247"/>
      <c r="AL57" s="247"/>
      <c r="AM57" s="247"/>
      <c r="AN57" s="247"/>
      <c r="AO57" s="185">
        <f t="shared" ref="AO57:AO70" si="181">SUM(AK57:AN57)</f>
        <v>0</v>
      </c>
    </row>
    <row r="58" ht="10.5" customHeight="1">
      <c r="A58" s="164" t="s">
        <v>399</v>
      </c>
      <c r="B58" s="186">
        <f t="shared" si="168"/>
        <v>0</v>
      </c>
      <c r="C58" s="186">
        <f t="shared" ref="C58:E58" si="169">C143-B143</f>
        <v>0</v>
      </c>
      <c r="D58" s="186">
        <f t="shared" si="169"/>
        <v>0</v>
      </c>
      <c r="E58" s="186">
        <f t="shared" si="169"/>
        <v>0</v>
      </c>
      <c r="F58" s="185">
        <f t="shared" si="170"/>
        <v>0</v>
      </c>
      <c r="G58" s="186">
        <f t="shared" si="171"/>
        <v>0</v>
      </c>
      <c r="H58" s="186">
        <f t="shared" ref="H58:J58" si="172">H143-G143</f>
        <v>0</v>
      </c>
      <c r="I58" s="186">
        <f t="shared" si="172"/>
        <v>0</v>
      </c>
      <c r="J58" s="186">
        <f t="shared" si="172"/>
        <v>0</v>
      </c>
      <c r="K58" s="185">
        <f t="shared" si="173"/>
        <v>0</v>
      </c>
      <c r="L58" s="186">
        <f t="shared" si="174"/>
        <v>0</v>
      </c>
      <c r="M58" s="186">
        <f t="shared" ref="M58:N58" si="175">M143-L143</f>
        <v>0</v>
      </c>
      <c r="N58" s="186">
        <f t="shared" si="175"/>
        <v>0</v>
      </c>
      <c r="O58" s="247"/>
      <c r="P58" s="185">
        <f t="shared" si="176"/>
        <v>0</v>
      </c>
      <c r="Q58" s="247"/>
      <c r="R58" s="247"/>
      <c r="S58" s="247"/>
      <c r="T58" s="247"/>
      <c r="U58" s="185">
        <f t="shared" si="177"/>
        <v>0</v>
      </c>
      <c r="V58" s="247"/>
      <c r="W58" s="247"/>
      <c r="X58" s="247"/>
      <c r="Y58" s="247"/>
      <c r="Z58" s="185">
        <f t="shared" si="178"/>
        <v>0</v>
      </c>
      <c r="AA58" s="247"/>
      <c r="AB58" s="247"/>
      <c r="AC58" s="247"/>
      <c r="AD58" s="247"/>
      <c r="AE58" s="185">
        <f t="shared" si="179"/>
        <v>0</v>
      </c>
      <c r="AF58" s="247"/>
      <c r="AG58" s="247"/>
      <c r="AH58" s="247"/>
      <c r="AI58" s="247"/>
      <c r="AJ58" s="185">
        <f t="shared" si="180"/>
        <v>0</v>
      </c>
      <c r="AK58" s="247"/>
      <c r="AL58" s="247"/>
      <c r="AM58" s="247"/>
      <c r="AN58" s="247"/>
      <c r="AO58" s="185">
        <f t="shared" si="181"/>
        <v>0</v>
      </c>
    </row>
    <row r="59" ht="10.5" customHeight="1">
      <c r="A59" s="164" t="s">
        <v>400</v>
      </c>
      <c r="B59" s="186">
        <f t="shared" si="168"/>
        <v>-0.056</v>
      </c>
      <c r="C59" s="186">
        <f t="shared" ref="C59:E59" si="182">C144-B144</f>
        <v>-0.051</v>
      </c>
      <c r="D59" s="186">
        <f t="shared" si="182"/>
        <v>-0.045</v>
      </c>
      <c r="E59" s="186">
        <f t="shared" si="182"/>
        <v>-0.041</v>
      </c>
      <c r="F59" s="185">
        <f t="shared" si="170"/>
        <v>-0.193</v>
      </c>
      <c r="G59" s="186">
        <f t="shared" si="171"/>
        <v>-0.036</v>
      </c>
      <c r="H59" s="186">
        <f t="shared" ref="H59:J59" si="183">H144-G144</f>
        <v>-0.036</v>
      </c>
      <c r="I59" s="186">
        <f t="shared" si="183"/>
        <v>-0.028</v>
      </c>
      <c r="J59" s="186">
        <f t="shared" si="183"/>
        <v>0.002</v>
      </c>
      <c r="K59" s="185">
        <f t="shared" si="173"/>
        <v>-0.098</v>
      </c>
      <c r="L59" s="186">
        <f t="shared" si="174"/>
        <v>-0.031</v>
      </c>
      <c r="M59" s="186">
        <f t="shared" ref="M59:N59" si="184">M144-L144</f>
        <v>-0.02</v>
      </c>
      <c r="N59" s="186">
        <f t="shared" si="184"/>
        <v>-0.042</v>
      </c>
      <c r="O59" s="186">
        <f>'Balance Sheet'!L48-'Balance Sheet'!K48+'Balance Sheet'!L38-'Balance Sheet'!K38</f>
        <v>0</v>
      </c>
      <c r="P59" s="185">
        <f t="shared" si="176"/>
        <v>-0.093</v>
      </c>
      <c r="Q59" s="186">
        <f>'Balance Sheet'!N48-'Balance Sheet'!M48+'Balance Sheet'!N38-'Balance Sheet'!M38</f>
        <v>0</v>
      </c>
      <c r="R59" s="186">
        <f>'Balance Sheet'!O48-'Balance Sheet'!N48+'Balance Sheet'!O38-'Balance Sheet'!N38</f>
        <v>0</v>
      </c>
      <c r="S59" s="186">
        <f>'Balance Sheet'!P48-'Balance Sheet'!O48+'Balance Sheet'!P38-'Balance Sheet'!O38</f>
        <v>0</v>
      </c>
      <c r="T59" s="186">
        <f>'Balance Sheet'!Q48-'Balance Sheet'!P48+'Balance Sheet'!Q38-'Balance Sheet'!P38</f>
        <v>0</v>
      </c>
      <c r="U59" s="185">
        <f t="shared" si="177"/>
        <v>0</v>
      </c>
      <c r="V59" s="186">
        <f>'Balance Sheet'!S48-'Balance Sheet'!R48+'Balance Sheet'!S38-'Balance Sheet'!R38</f>
        <v>0</v>
      </c>
      <c r="W59" s="186">
        <f>'Balance Sheet'!T48-'Balance Sheet'!S48+'Balance Sheet'!T38-'Balance Sheet'!S38</f>
        <v>0</v>
      </c>
      <c r="X59" s="186">
        <f>'Balance Sheet'!U48-'Balance Sheet'!T48+'Balance Sheet'!U38-'Balance Sheet'!T38</f>
        <v>0</v>
      </c>
      <c r="Y59" s="186">
        <f>'Balance Sheet'!V48-'Balance Sheet'!U48+'Balance Sheet'!V38-'Balance Sheet'!U38</f>
        <v>0</v>
      </c>
      <c r="Z59" s="185">
        <f t="shared" si="178"/>
        <v>0</v>
      </c>
      <c r="AA59" s="186">
        <f>'Balance Sheet'!X48-'Balance Sheet'!W48+'Balance Sheet'!X38-'Balance Sheet'!W38</f>
        <v>0</v>
      </c>
      <c r="AB59" s="186">
        <f>'Balance Sheet'!Y48-'Balance Sheet'!X48+'Balance Sheet'!Y38-'Balance Sheet'!X38</f>
        <v>0</v>
      </c>
      <c r="AC59" s="186">
        <f>'Balance Sheet'!Z48-'Balance Sheet'!Y48+'Balance Sheet'!Z38-'Balance Sheet'!Y38</f>
        <v>0</v>
      </c>
      <c r="AD59" s="186">
        <f>'Balance Sheet'!AA48-'Balance Sheet'!Z48+'Balance Sheet'!AA38-'Balance Sheet'!Z38</f>
        <v>0</v>
      </c>
      <c r="AE59" s="185">
        <f t="shared" si="179"/>
        <v>0</v>
      </c>
      <c r="AF59" s="186">
        <f>'Balance Sheet'!AC48-'Balance Sheet'!AB48+'Balance Sheet'!AC38-'Balance Sheet'!AB38</f>
        <v>0</v>
      </c>
      <c r="AG59" s="186">
        <f>'Balance Sheet'!AD48-'Balance Sheet'!AC48+'Balance Sheet'!AD38-'Balance Sheet'!AC38</f>
        <v>0</v>
      </c>
      <c r="AH59" s="186">
        <f>'Balance Sheet'!AE48-'Balance Sheet'!AD48+'Balance Sheet'!AE38-'Balance Sheet'!AD38</f>
        <v>0</v>
      </c>
      <c r="AI59" s="186">
        <f>'Balance Sheet'!AF48-'Balance Sheet'!AE48+'Balance Sheet'!AF38-'Balance Sheet'!AE38</f>
        <v>0</v>
      </c>
      <c r="AJ59" s="185">
        <f t="shared" si="180"/>
        <v>0</v>
      </c>
      <c r="AK59" s="186">
        <f>'Balance Sheet'!AH48-'Balance Sheet'!AG48+'Balance Sheet'!AH38-'Balance Sheet'!AG38</f>
        <v>0</v>
      </c>
      <c r="AL59" s="186">
        <f>'Balance Sheet'!AI48-'Balance Sheet'!AH48+'Balance Sheet'!AI38-'Balance Sheet'!AH38</f>
        <v>0</v>
      </c>
      <c r="AM59" s="186">
        <f>'Balance Sheet'!AJ48-'Balance Sheet'!AI48+'Balance Sheet'!AJ38-'Balance Sheet'!AI38</f>
        <v>0</v>
      </c>
      <c r="AN59" s="186">
        <f>'Balance Sheet'!AK48-'Balance Sheet'!AJ48+'Balance Sheet'!AK38-'Balance Sheet'!AJ38</f>
        <v>0</v>
      </c>
      <c r="AO59" s="185">
        <f t="shared" si="181"/>
        <v>0</v>
      </c>
    </row>
    <row r="60" ht="10.5" customHeight="1">
      <c r="A60" s="164" t="s">
        <v>401</v>
      </c>
      <c r="B60" s="186">
        <f t="shared" si="168"/>
        <v>0</v>
      </c>
      <c r="C60" s="186">
        <f t="shared" ref="C60:E60" si="185">C145-B145</f>
        <v>0</v>
      </c>
      <c r="D60" s="186">
        <f t="shared" si="185"/>
        <v>0</v>
      </c>
      <c r="E60" s="186">
        <f t="shared" si="185"/>
        <v>0</v>
      </c>
      <c r="F60" s="185">
        <f t="shared" si="170"/>
        <v>0</v>
      </c>
      <c r="G60" s="186">
        <f t="shared" si="171"/>
        <v>0</v>
      </c>
      <c r="H60" s="186">
        <f t="shared" ref="H60:J60" si="186">H145-G145</f>
        <v>800</v>
      </c>
      <c r="I60" s="186">
        <f t="shared" si="186"/>
        <v>0</v>
      </c>
      <c r="J60" s="186">
        <f t="shared" si="186"/>
        <v>0</v>
      </c>
      <c r="K60" s="185">
        <f t="shared" si="173"/>
        <v>800</v>
      </c>
      <c r="L60" s="186">
        <f t="shared" si="174"/>
        <v>0</v>
      </c>
      <c r="M60" s="186">
        <f t="shared" ref="M60:N60" si="187">M145-L145</f>
        <v>0</v>
      </c>
      <c r="N60" s="186">
        <f t="shared" si="187"/>
        <v>0</v>
      </c>
      <c r="O60" s="186">
        <f>Assumptions!O146</f>
        <v>0</v>
      </c>
      <c r="P60" s="185">
        <f t="shared" si="176"/>
        <v>0</v>
      </c>
      <c r="Q60" s="186">
        <f>Assumptions!Q146</f>
        <v>427.312</v>
      </c>
      <c r="R60" s="186" t="str">
        <f>Assumptions!R146</f>
        <v/>
      </c>
      <c r="S60" s="186" t="str">
        <f>Assumptions!S146</f>
        <v/>
      </c>
      <c r="T60" s="186" t="str">
        <f>Assumptions!T146</f>
        <v/>
      </c>
      <c r="U60" s="185">
        <f t="shared" si="177"/>
        <v>427.312</v>
      </c>
      <c r="V60" s="186">
        <f>Assumptions!V146</f>
        <v>0</v>
      </c>
      <c r="W60" s="186">
        <f>Assumptions!W146</f>
        <v>0</v>
      </c>
      <c r="X60" s="186">
        <f>Assumptions!X146</f>
        <v>0</v>
      </c>
      <c r="Y60" s="186">
        <f>Assumptions!Y146</f>
        <v>0</v>
      </c>
      <c r="Z60" s="185">
        <f t="shared" si="178"/>
        <v>0</v>
      </c>
      <c r="AA60" s="186">
        <f>Assumptions!AA146</f>
        <v>0</v>
      </c>
      <c r="AB60" s="186">
        <f>Assumptions!AB146</f>
        <v>0</v>
      </c>
      <c r="AC60" s="186">
        <f>Assumptions!AC146</f>
        <v>0</v>
      </c>
      <c r="AD60" s="186">
        <f>Assumptions!AD146</f>
        <v>0</v>
      </c>
      <c r="AE60" s="185">
        <f t="shared" si="179"/>
        <v>0</v>
      </c>
      <c r="AF60" s="186">
        <f>Assumptions!AF146</f>
        <v>915.938</v>
      </c>
      <c r="AG60" s="186">
        <f>Assumptions!AG146</f>
        <v>0</v>
      </c>
      <c r="AH60" s="186" t="str">
        <f>Assumptions!AH146</f>
        <v/>
      </c>
      <c r="AI60" s="186">
        <f>Assumptions!AI146</f>
        <v>0</v>
      </c>
      <c r="AJ60" s="185">
        <f t="shared" si="180"/>
        <v>915.938</v>
      </c>
      <c r="AK60" s="186">
        <f>Assumptions!AK146</f>
        <v>793.5</v>
      </c>
      <c r="AL60" s="186">
        <f>Assumptions!AL146</f>
        <v>0</v>
      </c>
      <c r="AM60" s="186">
        <f>Assumptions!AM146</f>
        <v>0</v>
      </c>
      <c r="AN60" s="186">
        <f>Assumptions!AN146</f>
        <v>0</v>
      </c>
      <c r="AO60" s="185">
        <f t="shared" si="181"/>
        <v>793.5</v>
      </c>
    </row>
    <row r="61" ht="10.5" customHeight="1">
      <c r="A61" s="164" t="s">
        <v>402</v>
      </c>
      <c r="B61" s="186">
        <f t="shared" si="168"/>
        <v>0</v>
      </c>
      <c r="C61" s="186">
        <f t="shared" ref="C61:E61" si="188">C146-B146</f>
        <v>0</v>
      </c>
      <c r="D61" s="186">
        <f t="shared" si="188"/>
        <v>0</v>
      </c>
      <c r="E61" s="186">
        <f t="shared" si="188"/>
        <v>0</v>
      </c>
      <c r="F61" s="185">
        <f t="shared" si="170"/>
        <v>0</v>
      </c>
      <c r="G61" s="186">
        <f t="shared" si="171"/>
        <v>0</v>
      </c>
      <c r="H61" s="186">
        <f t="shared" ref="H61:J61" si="189">H146-G146</f>
        <v>0</v>
      </c>
      <c r="I61" s="186">
        <f t="shared" si="189"/>
        <v>0</v>
      </c>
      <c r="J61" s="186">
        <f t="shared" si="189"/>
        <v>0</v>
      </c>
      <c r="K61" s="185">
        <f t="shared" si="173"/>
        <v>0</v>
      </c>
      <c r="L61" s="186">
        <f t="shared" si="174"/>
        <v>0</v>
      </c>
      <c r="M61" s="186">
        <f t="shared" ref="M61:N61" si="190">M146-L146</f>
        <v>0</v>
      </c>
      <c r="N61" s="186">
        <f t="shared" si="190"/>
        <v>0</v>
      </c>
      <c r="O61" s="247"/>
      <c r="P61" s="185">
        <f t="shared" si="176"/>
        <v>0</v>
      </c>
      <c r="Q61" s="247"/>
      <c r="R61" s="247"/>
      <c r="S61" s="247"/>
      <c r="T61" s="247"/>
      <c r="U61" s="185">
        <f t="shared" si="177"/>
        <v>0</v>
      </c>
      <c r="V61" s="247"/>
      <c r="W61" s="247"/>
      <c r="X61" s="247"/>
      <c r="Y61" s="247"/>
      <c r="Z61" s="185">
        <f t="shared" si="178"/>
        <v>0</v>
      </c>
      <c r="AA61" s="247"/>
      <c r="AB61" s="247"/>
      <c r="AC61" s="247"/>
      <c r="AD61" s="247"/>
      <c r="AE61" s="185">
        <f t="shared" si="179"/>
        <v>0</v>
      </c>
      <c r="AF61" s="247"/>
      <c r="AG61" s="247"/>
      <c r="AH61" s="247"/>
      <c r="AI61" s="247"/>
      <c r="AJ61" s="185">
        <f t="shared" si="180"/>
        <v>0</v>
      </c>
      <c r="AK61" s="247"/>
      <c r="AL61" s="247"/>
      <c r="AM61" s="247"/>
      <c r="AN61" s="247"/>
      <c r="AO61" s="185">
        <f t="shared" si="181"/>
        <v>0</v>
      </c>
    </row>
    <row r="62" ht="10.5" customHeight="1">
      <c r="A62" s="164" t="s">
        <v>403</v>
      </c>
      <c r="B62" s="186">
        <f t="shared" si="168"/>
        <v>-5.188</v>
      </c>
      <c r="C62" s="186">
        <f t="shared" ref="C62:E62" si="191">C147-B147</f>
        <v>-5.187</v>
      </c>
      <c r="D62" s="186">
        <f t="shared" si="191"/>
        <v>-5.188</v>
      </c>
      <c r="E62" s="186">
        <f t="shared" si="191"/>
        <v>-5.186</v>
      </c>
      <c r="F62" s="185">
        <f t="shared" si="170"/>
        <v>-20.749</v>
      </c>
      <c r="G62" s="186">
        <f t="shared" si="171"/>
        <v>-5.188</v>
      </c>
      <c r="H62" s="186">
        <f t="shared" ref="H62:J62" si="192">H147-G147</f>
        <v>-594.249</v>
      </c>
      <c r="I62" s="186">
        <f t="shared" si="192"/>
        <v>-3.626</v>
      </c>
      <c r="J62" s="186">
        <f t="shared" si="192"/>
        <v>-5.625</v>
      </c>
      <c r="K62" s="185">
        <f t="shared" si="173"/>
        <v>-608.688</v>
      </c>
      <c r="L62" s="186">
        <f t="shared" si="174"/>
        <v>-5.625</v>
      </c>
      <c r="M62" s="186">
        <f t="shared" ref="M62:N62" si="193">M147-L147</f>
        <v>-5.625</v>
      </c>
      <c r="N62" s="186">
        <f t="shared" si="193"/>
        <v>-5.625</v>
      </c>
      <c r="O62" s="186">
        <f>Assumptions!O147</f>
        <v>-5.625</v>
      </c>
      <c r="P62" s="185">
        <f t="shared" si="176"/>
        <v>-22.5</v>
      </c>
      <c r="Q62" s="186">
        <f>Assumptions!Q147</f>
        <v>-427.312</v>
      </c>
      <c r="R62" s="186" t="str">
        <f>Assumptions!R147</f>
        <v/>
      </c>
      <c r="S62" s="186" t="str">
        <f>Assumptions!S147</f>
        <v/>
      </c>
      <c r="T62" s="186" t="str">
        <f>Assumptions!T147</f>
        <v/>
      </c>
      <c r="U62" s="185">
        <f t="shared" si="177"/>
        <v>-427.312</v>
      </c>
      <c r="V62" s="186">
        <f>Assumptions!V147</f>
        <v>-4.5625</v>
      </c>
      <c r="W62" s="186">
        <f>Assumptions!W147</f>
        <v>-4.5625</v>
      </c>
      <c r="X62" s="186">
        <f>Assumptions!X147</f>
        <v>-4.5625</v>
      </c>
      <c r="Y62" s="186">
        <f>Assumptions!Y147</f>
        <v>-4.5625</v>
      </c>
      <c r="Z62" s="185">
        <f t="shared" si="178"/>
        <v>-18.25</v>
      </c>
      <c r="AA62" s="186">
        <f>Assumptions!AA147</f>
        <v>-4.5625</v>
      </c>
      <c r="AB62" s="186">
        <f>Assumptions!AB147</f>
        <v>-4.5625</v>
      </c>
      <c r="AC62" s="186">
        <f>Assumptions!AC147</f>
        <v>-4.5625</v>
      </c>
      <c r="AD62" s="186">
        <f>Assumptions!AD147</f>
        <v>-4.5625</v>
      </c>
      <c r="AE62" s="185">
        <f t="shared" si="179"/>
        <v>-18.25</v>
      </c>
      <c r="AF62" s="186">
        <f>Assumptions!AF147</f>
        <v>-915.938</v>
      </c>
      <c r="AG62" s="186">
        <f>Assumptions!AG147</f>
        <v>0</v>
      </c>
      <c r="AH62" s="186">
        <f>Assumptions!AH147</f>
        <v>0</v>
      </c>
      <c r="AI62" s="186">
        <f>Assumptions!AI147</f>
        <v>0</v>
      </c>
      <c r="AJ62" s="185">
        <f t="shared" si="180"/>
        <v>-915.938</v>
      </c>
      <c r="AK62" s="186">
        <f>Assumptions!AK147</f>
        <v>-793.5</v>
      </c>
      <c r="AL62" s="186">
        <f>Assumptions!AL147</f>
        <v>0</v>
      </c>
      <c r="AM62" s="186">
        <f>Assumptions!AM147</f>
        <v>0</v>
      </c>
      <c r="AN62" s="186">
        <f>Assumptions!AN147</f>
        <v>0</v>
      </c>
      <c r="AO62" s="185">
        <f t="shared" si="181"/>
        <v>-793.5</v>
      </c>
    </row>
    <row r="63" ht="10.5" customHeight="1">
      <c r="A63" s="164" t="s">
        <v>404</v>
      </c>
      <c r="B63" s="186">
        <f t="shared" si="168"/>
        <v>0</v>
      </c>
      <c r="C63" s="186">
        <f t="shared" ref="C63:E63" si="194">C148-B148</f>
        <v>0</v>
      </c>
      <c r="D63" s="186">
        <f t="shared" si="194"/>
        <v>0</v>
      </c>
      <c r="E63" s="186">
        <f t="shared" si="194"/>
        <v>0</v>
      </c>
      <c r="F63" s="185">
        <f t="shared" si="170"/>
        <v>0</v>
      </c>
      <c r="G63" s="186">
        <f t="shared" si="171"/>
        <v>0</v>
      </c>
      <c r="H63" s="186">
        <f t="shared" ref="H63:J63" si="195">H148-G148</f>
        <v>-12.055</v>
      </c>
      <c r="I63" s="186">
        <f t="shared" si="195"/>
        <v>0</v>
      </c>
      <c r="J63" s="186">
        <f t="shared" si="195"/>
        <v>0</v>
      </c>
      <c r="K63" s="185">
        <f t="shared" si="173"/>
        <v>-12.055</v>
      </c>
      <c r="L63" s="186">
        <f t="shared" si="174"/>
        <v>0</v>
      </c>
      <c r="M63" s="186">
        <f t="shared" ref="M63:N63" si="196">M148-L148</f>
        <v>0</v>
      </c>
      <c r="N63" s="186">
        <f t="shared" si="196"/>
        <v>0</v>
      </c>
      <c r="O63" s="186">
        <f>Assumptions!O148</f>
        <v>0</v>
      </c>
      <c r="P63" s="185">
        <f t="shared" si="176"/>
        <v>0</v>
      </c>
      <c r="Q63" s="186">
        <f>Assumptions!Q148</f>
        <v>0</v>
      </c>
      <c r="R63" s="186">
        <f>Assumptions!R148</f>
        <v>0</v>
      </c>
      <c r="S63" s="186">
        <f>Assumptions!S148</f>
        <v>0</v>
      </c>
      <c r="T63" s="186">
        <f>Assumptions!T148</f>
        <v>0</v>
      </c>
      <c r="U63" s="185">
        <f t="shared" si="177"/>
        <v>0</v>
      </c>
      <c r="V63" s="186">
        <f>Assumptions!V148</f>
        <v>0</v>
      </c>
      <c r="W63" s="186">
        <f>Assumptions!W148</f>
        <v>0</v>
      </c>
      <c r="X63" s="186">
        <f>Assumptions!X148</f>
        <v>0</v>
      </c>
      <c r="Y63" s="186">
        <f>Assumptions!Y148</f>
        <v>0</v>
      </c>
      <c r="Z63" s="185">
        <f t="shared" si="178"/>
        <v>0</v>
      </c>
      <c r="AA63" s="186">
        <f>Assumptions!AA148</f>
        <v>0</v>
      </c>
      <c r="AB63" s="186">
        <f>Assumptions!AB148</f>
        <v>0</v>
      </c>
      <c r="AC63" s="186">
        <f>Assumptions!AC148</f>
        <v>0</v>
      </c>
      <c r="AD63" s="186">
        <f>Assumptions!AD148</f>
        <v>0</v>
      </c>
      <c r="AE63" s="185">
        <f t="shared" si="179"/>
        <v>0</v>
      </c>
      <c r="AF63" s="186">
        <f>Assumptions!AF148</f>
        <v>0</v>
      </c>
      <c r="AG63" s="186">
        <f>Assumptions!AG148</f>
        <v>0</v>
      </c>
      <c r="AH63" s="186">
        <f>Assumptions!AH148</f>
        <v>0</v>
      </c>
      <c r="AI63" s="186">
        <f>Assumptions!AI148</f>
        <v>0</v>
      </c>
      <c r="AJ63" s="185">
        <f t="shared" si="180"/>
        <v>0</v>
      </c>
      <c r="AK63" s="186">
        <f>Assumptions!AK148</f>
        <v>0</v>
      </c>
      <c r="AL63" s="186">
        <f>Assumptions!AL148</f>
        <v>0</v>
      </c>
      <c r="AM63" s="186">
        <f>Assumptions!AM148</f>
        <v>0</v>
      </c>
      <c r="AN63" s="186">
        <f>Assumptions!AN148</f>
        <v>0</v>
      </c>
      <c r="AO63" s="185">
        <f t="shared" si="181"/>
        <v>0</v>
      </c>
    </row>
    <row r="64" ht="10.5" customHeight="1">
      <c r="A64" s="164" t="s">
        <v>405</v>
      </c>
      <c r="B64" s="186">
        <f t="shared" si="168"/>
        <v>6.748</v>
      </c>
      <c r="C64" s="186">
        <f t="shared" ref="C64:E64" si="197">C149-B149</f>
        <v>1.624</v>
      </c>
      <c r="D64" s="186">
        <f t="shared" si="197"/>
        <v>0.203</v>
      </c>
      <c r="E64" s="186">
        <f t="shared" si="197"/>
        <v>0.585</v>
      </c>
      <c r="F64" s="185">
        <f t="shared" si="170"/>
        <v>9.16</v>
      </c>
      <c r="G64" s="186">
        <f t="shared" si="171"/>
        <v>0.45</v>
      </c>
      <c r="H64" s="186">
        <f t="shared" ref="H64:J64" si="198">H149-G149</f>
        <v>9.358</v>
      </c>
      <c r="I64" s="186">
        <f t="shared" si="198"/>
        <v>7.413</v>
      </c>
      <c r="J64" s="186">
        <f t="shared" si="198"/>
        <v>4.654</v>
      </c>
      <c r="K64" s="185">
        <f t="shared" si="173"/>
        <v>21.875</v>
      </c>
      <c r="L64" s="186">
        <f t="shared" si="174"/>
        <v>0.45</v>
      </c>
      <c r="M64" s="186">
        <f t="shared" ref="M64:N64" si="199">M149-L149</f>
        <v>0.727</v>
      </c>
      <c r="N64" s="186">
        <f t="shared" si="199"/>
        <v>0.301</v>
      </c>
      <c r="O64" s="247"/>
      <c r="P64" s="185">
        <f t="shared" si="176"/>
        <v>1.478</v>
      </c>
      <c r="Q64" s="247"/>
      <c r="R64" s="247"/>
      <c r="S64" s="247"/>
      <c r="T64" s="247"/>
      <c r="U64" s="185">
        <f t="shared" si="177"/>
        <v>0</v>
      </c>
      <c r="V64" s="247"/>
      <c r="W64" s="247"/>
      <c r="X64" s="247"/>
      <c r="Y64" s="247"/>
      <c r="Z64" s="185">
        <f t="shared" si="178"/>
        <v>0</v>
      </c>
      <c r="AA64" s="247"/>
      <c r="AB64" s="247"/>
      <c r="AC64" s="247"/>
      <c r="AD64" s="247"/>
      <c r="AE64" s="185">
        <f t="shared" si="179"/>
        <v>0</v>
      </c>
      <c r="AF64" s="247"/>
      <c r="AG64" s="247"/>
      <c r="AH64" s="247"/>
      <c r="AI64" s="247"/>
      <c r="AJ64" s="185">
        <f t="shared" si="180"/>
        <v>0</v>
      </c>
      <c r="AK64" s="247"/>
      <c r="AL64" s="247"/>
      <c r="AM64" s="247"/>
      <c r="AN64" s="247"/>
      <c r="AO64" s="185">
        <f t="shared" si="181"/>
        <v>0</v>
      </c>
    </row>
    <row r="65" ht="10.5" customHeight="1">
      <c r="A65" s="164" t="s">
        <v>406</v>
      </c>
      <c r="B65" s="186">
        <f t="shared" si="168"/>
        <v>-25.005</v>
      </c>
      <c r="C65" s="186">
        <f t="shared" ref="C65:E65" si="200">C150-B150</f>
        <v>-100.025</v>
      </c>
      <c r="D65" s="186">
        <f t="shared" si="200"/>
        <v>0</v>
      </c>
      <c r="E65" s="186">
        <f t="shared" si="200"/>
        <v>0</v>
      </c>
      <c r="F65" s="185">
        <f t="shared" si="170"/>
        <v>-125.03</v>
      </c>
      <c r="G65" s="186">
        <f t="shared" si="171"/>
        <v>-20.005</v>
      </c>
      <c r="H65" s="186">
        <f t="shared" ref="H65:J65" si="201">H150-G150</f>
        <v>-280.2</v>
      </c>
      <c r="I65" s="186">
        <f t="shared" si="201"/>
        <v>0</v>
      </c>
      <c r="J65" s="186">
        <f t="shared" si="201"/>
        <v>0</v>
      </c>
      <c r="K65" s="185">
        <f t="shared" si="173"/>
        <v>-300.205</v>
      </c>
      <c r="L65" s="186">
        <f t="shared" si="174"/>
        <v>-50.009</v>
      </c>
      <c r="M65" s="186">
        <f t="shared" ref="M65:N65" si="202">M150-L150</f>
        <v>-2.076</v>
      </c>
      <c r="N65" s="186">
        <f t="shared" si="202"/>
        <v>-97.941</v>
      </c>
      <c r="O65" s="186">
        <v>0.0</v>
      </c>
      <c r="P65" s="185">
        <f t="shared" si="176"/>
        <v>-150.026</v>
      </c>
      <c r="Q65" s="186">
        <v>0.0</v>
      </c>
      <c r="R65" s="186">
        <v>0.0</v>
      </c>
      <c r="S65" s="186">
        <v>0.0</v>
      </c>
      <c r="T65" s="186">
        <v>0.0</v>
      </c>
      <c r="U65" s="185">
        <f t="shared" si="177"/>
        <v>0</v>
      </c>
      <c r="V65" s="186">
        <v>0.0</v>
      </c>
      <c r="W65" s="186">
        <v>0.0</v>
      </c>
      <c r="X65" s="186">
        <v>0.0</v>
      </c>
      <c r="Y65" s="186">
        <v>0.0</v>
      </c>
      <c r="Z65" s="185">
        <f t="shared" si="178"/>
        <v>0</v>
      </c>
      <c r="AA65" s="186">
        <v>0.0</v>
      </c>
      <c r="AB65" s="186">
        <v>0.0</v>
      </c>
      <c r="AC65" s="186">
        <v>0.0</v>
      </c>
      <c r="AD65" s="186">
        <v>0.0</v>
      </c>
      <c r="AE65" s="185">
        <f t="shared" si="179"/>
        <v>0</v>
      </c>
      <c r="AF65" s="186">
        <v>0.0</v>
      </c>
      <c r="AG65" s="186">
        <v>0.0</v>
      </c>
      <c r="AH65" s="186">
        <v>0.0</v>
      </c>
      <c r="AI65" s="186">
        <v>0.0</v>
      </c>
      <c r="AJ65" s="185">
        <f t="shared" si="180"/>
        <v>0</v>
      </c>
      <c r="AK65" s="186">
        <v>0.0</v>
      </c>
      <c r="AL65" s="186">
        <v>0.0</v>
      </c>
      <c r="AM65" s="186">
        <v>0.0</v>
      </c>
      <c r="AN65" s="186">
        <v>0.0</v>
      </c>
      <c r="AO65" s="185">
        <f t="shared" si="181"/>
        <v>0</v>
      </c>
    </row>
    <row r="66" ht="10.5" customHeight="1">
      <c r="A66" s="164" t="s">
        <v>407</v>
      </c>
      <c r="B66" s="186">
        <f t="shared" si="168"/>
        <v>0</v>
      </c>
      <c r="C66" s="186">
        <f t="shared" ref="C66:E66" si="203">C151-B151</f>
        <v>0</v>
      </c>
      <c r="D66" s="186">
        <f t="shared" si="203"/>
        <v>0</v>
      </c>
      <c r="E66" s="186">
        <f t="shared" si="203"/>
        <v>0</v>
      </c>
      <c r="F66" s="185">
        <f t="shared" si="170"/>
        <v>0</v>
      </c>
      <c r="G66" s="186">
        <f t="shared" si="171"/>
        <v>0</v>
      </c>
      <c r="H66" s="186">
        <f t="shared" ref="H66:J66" si="204">H151-G151</f>
        <v>0</v>
      </c>
      <c r="I66" s="186">
        <f t="shared" si="204"/>
        <v>0</v>
      </c>
      <c r="J66" s="186">
        <f t="shared" si="204"/>
        <v>0</v>
      </c>
      <c r="K66" s="185">
        <f t="shared" si="173"/>
        <v>0</v>
      </c>
      <c r="L66" s="186">
        <f t="shared" si="174"/>
        <v>0</v>
      </c>
      <c r="M66" s="186">
        <f t="shared" ref="M66:N66" si="205">M151-L151</f>
        <v>0</v>
      </c>
      <c r="N66" s="186">
        <f t="shared" si="205"/>
        <v>0</v>
      </c>
      <c r="O66" s="247"/>
      <c r="P66" s="185">
        <f t="shared" si="176"/>
        <v>0</v>
      </c>
      <c r="Q66" s="247"/>
      <c r="R66" s="247"/>
      <c r="S66" s="247"/>
      <c r="T66" s="247"/>
      <c r="U66" s="185">
        <f t="shared" si="177"/>
        <v>0</v>
      </c>
      <c r="V66" s="247"/>
      <c r="W66" s="247"/>
      <c r="X66" s="247"/>
      <c r="Y66" s="247"/>
      <c r="Z66" s="185">
        <f t="shared" si="178"/>
        <v>0</v>
      </c>
      <c r="AA66" s="247"/>
      <c r="AB66" s="247"/>
      <c r="AC66" s="247"/>
      <c r="AD66" s="247"/>
      <c r="AE66" s="185">
        <f t="shared" si="179"/>
        <v>0</v>
      </c>
      <c r="AF66" s="247"/>
      <c r="AG66" s="247"/>
      <c r="AH66" s="247"/>
      <c r="AI66" s="247"/>
      <c r="AJ66" s="185">
        <f t="shared" si="180"/>
        <v>0</v>
      </c>
      <c r="AK66" s="247"/>
      <c r="AL66" s="247"/>
      <c r="AM66" s="247"/>
      <c r="AN66" s="247"/>
      <c r="AO66" s="185">
        <f t="shared" si="181"/>
        <v>0</v>
      </c>
    </row>
    <row r="67" ht="10.5" customHeight="1">
      <c r="A67" s="164" t="s">
        <v>408</v>
      </c>
      <c r="B67" s="186">
        <f t="shared" si="168"/>
        <v>0</v>
      </c>
      <c r="C67" s="186">
        <f t="shared" ref="C67:E67" si="206">C152-B152</f>
        <v>0</v>
      </c>
      <c r="D67" s="186">
        <f t="shared" si="206"/>
        <v>0</v>
      </c>
      <c r="E67" s="186">
        <f t="shared" si="206"/>
        <v>0</v>
      </c>
      <c r="F67" s="185">
        <f t="shared" si="170"/>
        <v>0</v>
      </c>
      <c r="G67" s="186">
        <f t="shared" si="171"/>
        <v>0</v>
      </c>
      <c r="H67" s="186">
        <f t="shared" ref="H67:J67" si="207">H152-G152</f>
        <v>0</v>
      </c>
      <c r="I67" s="186">
        <f t="shared" si="207"/>
        <v>0</v>
      </c>
      <c r="J67" s="186">
        <f t="shared" si="207"/>
        <v>0</v>
      </c>
      <c r="K67" s="185">
        <f t="shared" si="173"/>
        <v>0</v>
      </c>
      <c r="L67" s="186">
        <f t="shared" si="174"/>
        <v>0</v>
      </c>
      <c r="M67" s="186">
        <f t="shared" ref="M67:N67" si="208">M152-L152</f>
        <v>0</v>
      </c>
      <c r="N67" s="186">
        <f t="shared" si="208"/>
        <v>0</v>
      </c>
      <c r="O67" s="247"/>
      <c r="P67" s="185">
        <f t="shared" si="176"/>
        <v>0</v>
      </c>
      <c r="Q67" s="247"/>
      <c r="R67" s="247"/>
      <c r="S67" s="247"/>
      <c r="T67" s="247"/>
      <c r="U67" s="185">
        <f t="shared" si="177"/>
        <v>0</v>
      </c>
      <c r="V67" s="247"/>
      <c r="W67" s="247"/>
      <c r="X67" s="247"/>
      <c r="Y67" s="247"/>
      <c r="Z67" s="185">
        <f t="shared" si="178"/>
        <v>0</v>
      </c>
      <c r="AA67" s="247"/>
      <c r="AB67" s="247"/>
      <c r="AC67" s="247"/>
      <c r="AD67" s="247"/>
      <c r="AE67" s="185">
        <f t="shared" si="179"/>
        <v>0</v>
      </c>
      <c r="AF67" s="247"/>
      <c r="AG67" s="247"/>
      <c r="AH67" s="247"/>
      <c r="AI67" s="247"/>
      <c r="AJ67" s="185">
        <f t="shared" si="180"/>
        <v>0</v>
      </c>
      <c r="AK67" s="247"/>
      <c r="AL67" s="247"/>
      <c r="AM67" s="247"/>
      <c r="AN67" s="247"/>
      <c r="AO67" s="185">
        <f t="shared" si="181"/>
        <v>0</v>
      </c>
    </row>
    <row r="68" ht="10.5" customHeight="1">
      <c r="A68" s="164" t="s">
        <v>409</v>
      </c>
      <c r="B68" s="186">
        <f t="shared" si="168"/>
        <v>0</v>
      </c>
      <c r="C68" s="186">
        <f t="shared" ref="C68:E68" si="209">C153-B153</f>
        <v>0</v>
      </c>
      <c r="D68" s="186">
        <f t="shared" si="209"/>
        <v>0</v>
      </c>
      <c r="E68" s="186">
        <f t="shared" si="209"/>
        <v>0</v>
      </c>
      <c r="F68" s="185">
        <f t="shared" si="170"/>
        <v>0</v>
      </c>
      <c r="G68" s="186">
        <f t="shared" si="171"/>
        <v>0</v>
      </c>
      <c r="H68" s="186">
        <f t="shared" ref="H68:J68" si="210">H153-G153</f>
        <v>0</v>
      </c>
      <c r="I68" s="186">
        <f t="shared" si="210"/>
        <v>0</v>
      </c>
      <c r="J68" s="186">
        <f t="shared" si="210"/>
        <v>0</v>
      </c>
      <c r="K68" s="185">
        <f t="shared" si="173"/>
        <v>0</v>
      </c>
      <c r="L68" s="186">
        <f t="shared" si="174"/>
        <v>0</v>
      </c>
      <c r="M68" s="186">
        <f t="shared" ref="M68:N68" si="211">M153-L153</f>
        <v>0</v>
      </c>
      <c r="N68" s="186">
        <f t="shared" si="211"/>
        <v>0</v>
      </c>
      <c r="O68" s="247"/>
      <c r="P68" s="185">
        <f t="shared" si="176"/>
        <v>0</v>
      </c>
      <c r="Q68" s="247"/>
      <c r="R68" s="247"/>
      <c r="S68" s="247"/>
      <c r="T68" s="247"/>
      <c r="U68" s="185">
        <f t="shared" si="177"/>
        <v>0</v>
      </c>
      <c r="V68" s="247"/>
      <c r="W68" s="247"/>
      <c r="X68" s="247"/>
      <c r="Y68" s="247"/>
      <c r="Z68" s="185">
        <f t="shared" si="178"/>
        <v>0</v>
      </c>
      <c r="AA68" s="247"/>
      <c r="AB68" s="247"/>
      <c r="AC68" s="247"/>
      <c r="AD68" s="247"/>
      <c r="AE68" s="185">
        <f t="shared" si="179"/>
        <v>0</v>
      </c>
      <c r="AF68" s="247"/>
      <c r="AG68" s="247"/>
      <c r="AH68" s="247"/>
      <c r="AI68" s="247"/>
      <c r="AJ68" s="185">
        <f t="shared" si="180"/>
        <v>0</v>
      </c>
      <c r="AK68" s="247"/>
      <c r="AL68" s="247"/>
      <c r="AM68" s="247"/>
      <c r="AN68" s="247"/>
      <c r="AO68" s="185">
        <f t="shared" si="181"/>
        <v>0</v>
      </c>
    </row>
    <row r="69" ht="10.5" customHeight="1">
      <c r="A69" s="164" t="s">
        <v>410</v>
      </c>
      <c r="B69" s="186">
        <f t="shared" si="168"/>
        <v>0</v>
      </c>
      <c r="C69" s="186">
        <f t="shared" ref="C69:E69" si="212">C154-B154</f>
        <v>0</v>
      </c>
      <c r="D69" s="186">
        <f t="shared" si="212"/>
        <v>0</v>
      </c>
      <c r="E69" s="186">
        <f t="shared" si="212"/>
        <v>0</v>
      </c>
      <c r="F69" s="185">
        <f t="shared" si="170"/>
        <v>0</v>
      </c>
      <c r="G69" s="186">
        <f t="shared" si="171"/>
        <v>0</v>
      </c>
      <c r="H69" s="186">
        <f t="shared" ref="H69:J69" si="213">H154-G154</f>
        <v>0</v>
      </c>
      <c r="I69" s="186">
        <f t="shared" si="213"/>
        <v>0</v>
      </c>
      <c r="J69" s="186">
        <f t="shared" si="213"/>
        <v>0</v>
      </c>
      <c r="K69" s="185">
        <f t="shared" si="173"/>
        <v>0</v>
      </c>
      <c r="L69" s="186">
        <f t="shared" si="174"/>
        <v>0</v>
      </c>
      <c r="M69" s="186">
        <f t="shared" ref="M69:N69" si="214">M154-L154</f>
        <v>-2.549</v>
      </c>
      <c r="N69" s="186">
        <f t="shared" si="214"/>
        <v>0</v>
      </c>
      <c r="O69" s="247"/>
      <c r="P69" s="185">
        <f t="shared" si="176"/>
        <v>-2.549</v>
      </c>
      <c r="Q69" s="247"/>
      <c r="R69" s="247"/>
      <c r="S69" s="247"/>
      <c r="T69" s="247"/>
      <c r="U69" s="185">
        <f t="shared" si="177"/>
        <v>0</v>
      </c>
      <c r="V69" s="247"/>
      <c r="W69" s="247"/>
      <c r="X69" s="247"/>
      <c r="Y69" s="247"/>
      <c r="Z69" s="185">
        <f t="shared" si="178"/>
        <v>0</v>
      </c>
      <c r="AA69" s="247"/>
      <c r="AB69" s="247"/>
      <c r="AC69" s="247"/>
      <c r="AD69" s="247"/>
      <c r="AE69" s="185">
        <f t="shared" si="179"/>
        <v>0</v>
      </c>
      <c r="AF69" s="247"/>
      <c r="AG69" s="247"/>
      <c r="AH69" s="247"/>
      <c r="AI69" s="247"/>
      <c r="AJ69" s="185">
        <f t="shared" si="180"/>
        <v>0</v>
      </c>
      <c r="AK69" s="247"/>
      <c r="AL69" s="247"/>
      <c r="AM69" s="247"/>
      <c r="AN69" s="247"/>
      <c r="AO69" s="185">
        <f t="shared" si="181"/>
        <v>0</v>
      </c>
    </row>
    <row r="70" ht="10.5" customHeight="1">
      <c r="A70" s="202" t="s">
        <v>411</v>
      </c>
      <c r="B70" s="192">
        <f t="shared" si="168"/>
        <v>-1.106</v>
      </c>
      <c r="C70" s="192">
        <f t="shared" ref="C70:E70" si="215">C155-B155</f>
        <v>-2.63</v>
      </c>
      <c r="D70" s="192">
        <f t="shared" si="215"/>
        <v>-0.48</v>
      </c>
      <c r="E70" s="192">
        <f t="shared" si="215"/>
        <v>-0.389</v>
      </c>
      <c r="F70" s="191">
        <f t="shared" si="170"/>
        <v>-4.605</v>
      </c>
      <c r="G70" s="192">
        <f t="shared" si="171"/>
        <v>-0.218</v>
      </c>
      <c r="H70" s="192">
        <f t="shared" ref="H70:J70" si="216">H155-G155</f>
        <v>-1.514</v>
      </c>
      <c r="I70" s="192">
        <f t="shared" si="216"/>
        <v>-1.613</v>
      </c>
      <c r="J70" s="192">
        <f t="shared" si="216"/>
        <v>-2.479</v>
      </c>
      <c r="K70" s="191">
        <f t="shared" si="173"/>
        <v>-5.824</v>
      </c>
      <c r="L70" s="192">
        <f t="shared" si="174"/>
        <v>-0.0349</v>
      </c>
      <c r="M70" s="192">
        <f t="shared" ref="M70:N70" si="217">M155-L155</f>
        <v>-1.2961</v>
      </c>
      <c r="N70" s="192">
        <f t="shared" si="217"/>
        <v>-0.19</v>
      </c>
      <c r="O70" s="305"/>
      <c r="P70" s="185">
        <f t="shared" si="176"/>
        <v>-1.521</v>
      </c>
      <c r="Q70" s="305"/>
      <c r="R70" s="305"/>
      <c r="S70" s="305"/>
      <c r="T70" s="305"/>
      <c r="U70" s="185">
        <f t="shared" si="177"/>
        <v>0</v>
      </c>
      <c r="V70" s="305"/>
      <c r="W70" s="305"/>
      <c r="X70" s="305"/>
      <c r="Y70" s="305"/>
      <c r="Z70" s="185">
        <f t="shared" si="178"/>
        <v>0</v>
      </c>
      <c r="AA70" s="305"/>
      <c r="AB70" s="305"/>
      <c r="AC70" s="305"/>
      <c r="AD70" s="305"/>
      <c r="AE70" s="185">
        <f t="shared" si="179"/>
        <v>0</v>
      </c>
      <c r="AF70" s="305"/>
      <c r="AG70" s="305"/>
      <c r="AH70" s="305"/>
      <c r="AI70" s="305"/>
      <c r="AJ70" s="185">
        <f t="shared" si="180"/>
        <v>0</v>
      </c>
      <c r="AK70" s="305"/>
      <c r="AL70" s="305"/>
      <c r="AM70" s="305"/>
      <c r="AN70" s="305"/>
      <c r="AO70" s="185">
        <f t="shared" si="181"/>
        <v>0</v>
      </c>
    </row>
    <row r="71" ht="10.5" customHeight="1">
      <c r="A71" s="298" t="s">
        <v>412</v>
      </c>
      <c r="B71" s="199">
        <f t="shared" ref="B71:AO71" si="218">SUM(B57:B70)</f>
        <v>-24.607</v>
      </c>
      <c r="C71" s="199">
        <f t="shared" si="218"/>
        <v>-106.269</v>
      </c>
      <c r="D71" s="199">
        <f t="shared" si="218"/>
        <v>-5.51</v>
      </c>
      <c r="E71" s="199">
        <f t="shared" si="218"/>
        <v>-5.031</v>
      </c>
      <c r="F71" s="206">
        <f t="shared" si="218"/>
        <v>-141.417</v>
      </c>
      <c r="G71" s="199">
        <f t="shared" si="218"/>
        <v>-24.997</v>
      </c>
      <c r="H71" s="199">
        <f t="shared" si="218"/>
        <v>-78.696</v>
      </c>
      <c r="I71" s="199">
        <f t="shared" si="218"/>
        <v>2.146</v>
      </c>
      <c r="J71" s="199">
        <f t="shared" si="218"/>
        <v>-3.448</v>
      </c>
      <c r="K71" s="206">
        <f t="shared" si="218"/>
        <v>-104.995</v>
      </c>
      <c r="L71" s="199">
        <f t="shared" si="218"/>
        <v>-55.2499</v>
      </c>
      <c r="M71" s="199">
        <f t="shared" si="218"/>
        <v>-10.8391</v>
      </c>
      <c r="N71" s="199">
        <f t="shared" si="218"/>
        <v>-103.497</v>
      </c>
      <c r="O71" s="199">
        <f t="shared" si="218"/>
        <v>-5.625</v>
      </c>
      <c r="P71" s="206">
        <f t="shared" si="218"/>
        <v>-175.211</v>
      </c>
      <c r="Q71" s="199">
        <f t="shared" si="218"/>
        <v>0</v>
      </c>
      <c r="R71" s="199">
        <f t="shared" si="218"/>
        <v>0</v>
      </c>
      <c r="S71" s="199">
        <f t="shared" si="218"/>
        <v>0</v>
      </c>
      <c r="T71" s="199">
        <f t="shared" si="218"/>
        <v>0</v>
      </c>
      <c r="U71" s="206">
        <f t="shared" si="218"/>
        <v>0</v>
      </c>
      <c r="V71" s="199">
        <f t="shared" si="218"/>
        <v>-4.5625</v>
      </c>
      <c r="W71" s="199">
        <f t="shared" si="218"/>
        <v>-4.5625</v>
      </c>
      <c r="X71" s="199">
        <f t="shared" si="218"/>
        <v>-4.5625</v>
      </c>
      <c r="Y71" s="199">
        <f t="shared" si="218"/>
        <v>-4.5625</v>
      </c>
      <c r="Z71" s="206">
        <f t="shared" si="218"/>
        <v>-18.25</v>
      </c>
      <c r="AA71" s="199">
        <f t="shared" si="218"/>
        <v>-4.5625</v>
      </c>
      <c r="AB71" s="199">
        <f t="shared" si="218"/>
        <v>-4.5625</v>
      </c>
      <c r="AC71" s="199">
        <f t="shared" si="218"/>
        <v>-4.5625</v>
      </c>
      <c r="AD71" s="199">
        <f t="shared" si="218"/>
        <v>-4.5625</v>
      </c>
      <c r="AE71" s="206">
        <f t="shared" si="218"/>
        <v>-18.25</v>
      </c>
      <c r="AF71" s="199">
        <f t="shared" si="218"/>
        <v>0</v>
      </c>
      <c r="AG71" s="199">
        <f t="shared" si="218"/>
        <v>0</v>
      </c>
      <c r="AH71" s="199">
        <f t="shared" si="218"/>
        <v>0</v>
      </c>
      <c r="AI71" s="199">
        <f t="shared" si="218"/>
        <v>0</v>
      </c>
      <c r="AJ71" s="206">
        <f t="shared" si="218"/>
        <v>0</v>
      </c>
      <c r="AK71" s="199">
        <f t="shared" si="218"/>
        <v>0</v>
      </c>
      <c r="AL71" s="199">
        <f t="shared" si="218"/>
        <v>0</v>
      </c>
      <c r="AM71" s="199">
        <f t="shared" si="218"/>
        <v>0</v>
      </c>
      <c r="AN71" s="199">
        <f t="shared" si="218"/>
        <v>0</v>
      </c>
      <c r="AO71" s="206">
        <f t="shared" si="218"/>
        <v>0</v>
      </c>
    </row>
    <row r="72" ht="10.5" customHeight="1">
      <c r="A72" s="306" t="s">
        <v>413</v>
      </c>
      <c r="B72" s="200">
        <f>B157</f>
        <v>0.198</v>
      </c>
      <c r="C72" s="200">
        <f t="shared" ref="C72:E72" si="219">C157-B157</f>
        <v>0.53</v>
      </c>
      <c r="D72" s="200">
        <f t="shared" si="219"/>
        <v>-0.495</v>
      </c>
      <c r="E72" s="200">
        <f t="shared" si="219"/>
        <v>0.543</v>
      </c>
      <c r="F72" s="201">
        <f>SUM(B72:E72)</f>
        <v>0.776</v>
      </c>
      <c r="G72" s="200">
        <f>G157</f>
        <v>-0.315</v>
      </c>
      <c r="H72" s="200">
        <f t="shared" ref="H72:J72" si="220">H157-G157</f>
        <v>-0.864</v>
      </c>
      <c r="I72" s="200">
        <f t="shared" si="220"/>
        <v>0.723</v>
      </c>
      <c r="J72" s="200">
        <f t="shared" si="220"/>
        <v>-2.158</v>
      </c>
      <c r="K72" s="201">
        <f>SUM(G72:J72)</f>
        <v>-2.614</v>
      </c>
      <c r="L72" s="200">
        <f>L157</f>
        <v>0.348</v>
      </c>
      <c r="M72" s="200">
        <f t="shared" ref="M72:N72" si="221">M157-L157</f>
        <v>1.31</v>
      </c>
      <c r="N72" s="200">
        <f t="shared" si="221"/>
        <v>0.342</v>
      </c>
      <c r="O72" s="307"/>
      <c r="P72" s="201">
        <f>SUM(L72:O72)</f>
        <v>2</v>
      </c>
      <c r="Q72" s="307"/>
      <c r="R72" s="307"/>
      <c r="S72" s="307"/>
      <c r="T72" s="307"/>
      <c r="U72" s="201">
        <f>SUM(Q72:T72)</f>
        <v>0</v>
      </c>
      <c r="V72" s="307"/>
      <c r="W72" s="307"/>
      <c r="X72" s="307"/>
      <c r="Y72" s="307"/>
      <c r="Z72" s="201">
        <f>SUM(V72:Y72)</f>
        <v>0</v>
      </c>
      <c r="AA72" s="307"/>
      <c r="AB72" s="307"/>
      <c r="AC72" s="307"/>
      <c r="AD72" s="307"/>
      <c r="AE72" s="201">
        <f>SUM(AA72:AD72)</f>
        <v>0</v>
      </c>
      <c r="AF72" s="307"/>
      <c r="AG72" s="307"/>
      <c r="AH72" s="307"/>
      <c r="AI72" s="307"/>
      <c r="AJ72" s="201">
        <f>SUM(AF72:AI72)</f>
        <v>0</v>
      </c>
      <c r="AK72" s="307"/>
      <c r="AL72" s="307"/>
      <c r="AM72" s="307"/>
      <c r="AN72" s="307"/>
      <c r="AO72" s="201">
        <f>SUM(AK72:AN72)</f>
        <v>0</v>
      </c>
    </row>
    <row r="73" ht="10.5" customHeight="1">
      <c r="A73" s="181" t="s">
        <v>414</v>
      </c>
      <c r="B73" s="193">
        <f t="shared" ref="B73:AO73" si="222">B45+B55+B71+B72</f>
        <v>50.504</v>
      </c>
      <c r="C73" s="193">
        <f t="shared" si="222"/>
        <v>-224.343</v>
      </c>
      <c r="D73" s="193">
        <f t="shared" si="222"/>
        <v>56.691</v>
      </c>
      <c r="E73" s="193">
        <f t="shared" si="222"/>
        <v>-33.23</v>
      </c>
      <c r="F73" s="194">
        <f t="shared" si="222"/>
        <v>-150.378</v>
      </c>
      <c r="G73" s="193">
        <f t="shared" si="222"/>
        <v>25.776</v>
      </c>
      <c r="H73" s="193">
        <f t="shared" si="222"/>
        <v>-53.136</v>
      </c>
      <c r="I73" s="193">
        <f t="shared" si="222"/>
        <v>71.788</v>
      </c>
      <c r="J73" s="193">
        <f t="shared" si="222"/>
        <v>-16.875</v>
      </c>
      <c r="K73" s="194">
        <f t="shared" si="222"/>
        <v>27.553</v>
      </c>
      <c r="L73" s="193">
        <f t="shared" si="222"/>
        <v>50.9261</v>
      </c>
      <c r="M73" s="193">
        <f t="shared" si="222"/>
        <v>-8.4251</v>
      </c>
      <c r="N73" s="193">
        <f t="shared" si="222"/>
        <v>-6.767</v>
      </c>
      <c r="O73" s="193">
        <f t="shared" si="222"/>
        <v>3.062082666</v>
      </c>
      <c r="P73" s="194">
        <f t="shared" si="222"/>
        <v>38.79608267</v>
      </c>
      <c r="Q73" s="193">
        <f t="shared" si="222"/>
        <v>131.8121841</v>
      </c>
      <c r="R73" s="193">
        <f t="shared" si="222"/>
        <v>59.97149316</v>
      </c>
      <c r="S73" s="193">
        <f t="shared" si="222"/>
        <v>36.30006149</v>
      </c>
      <c r="T73" s="193">
        <f t="shared" si="222"/>
        <v>47.51927545</v>
      </c>
      <c r="U73" s="194">
        <f t="shared" si="222"/>
        <v>275.6030142</v>
      </c>
      <c r="V73" s="193">
        <f t="shared" si="222"/>
        <v>149.67562</v>
      </c>
      <c r="W73" s="193">
        <f t="shared" si="222"/>
        <v>65.63687168</v>
      </c>
      <c r="X73" s="193">
        <f t="shared" si="222"/>
        <v>56.79900474</v>
      </c>
      <c r="Y73" s="193">
        <f t="shared" si="222"/>
        <v>60.25264429</v>
      </c>
      <c r="Z73" s="194">
        <f t="shared" si="222"/>
        <v>332.3641407</v>
      </c>
      <c r="AA73" s="193">
        <f t="shared" si="222"/>
        <v>171.6025132</v>
      </c>
      <c r="AB73" s="193">
        <f t="shared" si="222"/>
        <v>75.63408998</v>
      </c>
      <c r="AC73" s="193">
        <f t="shared" si="222"/>
        <v>66.94965324</v>
      </c>
      <c r="AD73" s="193">
        <f t="shared" si="222"/>
        <v>68.6880241</v>
      </c>
      <c r="AE73" s="194">
        <f t="shared" si="222"/>
        <v>382.8742805</v>
      </c>
      <c r="AF73" s="193">
        <f t="shared" si="222"/>
        <v>203.1054916</v>
      </c>
      <c r="AG73" s="193">
        <f t="shared" si="222"/>
        <v>90.23043396</v>
      </c>
      <c r="AH73" s="193">
        <f t="shared" si="222"/>
        <v>77.14969223</v>
      </c>
      <c r="AI73" s="193">
        <f t="shared" si="222"/>
        <v>79.74181656</v>
      </c>
      <c r="AJ73" s="194">
        <f t="shared" si="222"/>
        <v>450.2274343</v>
      </c>
      <c r="AK73" s="193">
        <f t="shared" si="222"/>
        <v>223.5938703</v>
      </c>
      <c r="AL73" s="193">
        <f t="shared" si="222"/>
        <v>100.5052049</v>
      </c>
      <c r="AM73" s="193">
        <f t="shared" si="222"/>
        <v>86.64471685</v>
      </c>
      <c r="AN73" s="193">
        <f t="shared" si="222"/>
        <v>88.9436583</v>
      </c>
      <c r="AO73" s="194">
        <f t="shared" si="222"/>
        <v>499.6874504</v>
      </c>
    </row>
    <row r="74" ht="10.5" customHeight="1">
      <c r="A74" s="164" t="s">
        <v>415</v>
      </c>
      <c r="B74" s="186">
        <f>B159</f>
        <v>472.499</v>
      </c>
      <c r="C74" s="186">
        <f t="shared" ref="C74:E74" si="223">B75</f>
        <v>523.003</v>
      </c>
      <c r="D74" s="186">
        <f t="shared" si="223"/>
        <v>298.66</v>
      </c>
      <c r="E74" s="186">
        <f t="shared" si="223"/>
        <v>355.351</v>
      </c>
      <c r="F74" s="185">
        <f>B74</f>
        <v>472.499</v>
      </c>
      <c r="G74" s="186">
        <f t="shared" ref="G74:J74" si="224">F75</f>
        <v>322.121</v>
      </c>
      <c r="H74" s="186">
        <f t="shared" si="224"/>
        <v>347.897</v>
      </c>
      <c r="I74" s="186">
        <f t="shared" si="224"/>
        <v>294.761</v>
      </c>
      <c r="J74" s="186">
        <f t="shared" si="224"/>
        <v>366.549</v>
      </c>
      <c r="K74" s="185">
        <f>F75</f>
        <v>322.121</v>
      </c>
      <c r="L74" s="186">
        <f t="shared" ref="L74:O74" si="225">K75</f>
        <v>349.674</v>
      </c>
      <c r="M74" s="186">
        <f t="shared" si="225"/>
        <v>400.6001</v>
      </c>
      <c r="N74" s="186">
        <f t="shared" si="225"/>
        <v>392.175</v>
      </c>
      <c r="O74" s="186">
        <f t="shared" si="225"/>
        <v>385.408</v>
      </c>
      <c r="P74" s="185">
        <f>K75</f>
        <v>349.674</v>
      </c>
      <c r="Q74" s="186">
        <f t="shared" ref="Q74:T74" si="226">P75</f>
        <v>388.4700827</v>
      </c>
      <c r="R74" s="186">
        <f t="shared" si="226"/>
        <v>520.2822668</v>
      </c>
      <c r="S74" s="186">
        <f t="shared" si="226"/>
        <v>580.2537599</v>
      </c>
      <c r="T74" s="186">
        <f t="shared" si="226"/>
        <v>616.5538214</v>
      </c>
      <c r="U74" s="185">
        <f>P75</f>
        <v>388.4700827</v>
      </c>
      <c r="V74" s="186">
        <f t="shared" ref="V74:Y74" si="227">U75</f>
        <v>664.0730969</v>
      </c>
      <c r="W74" s="186">
        <f t="shared" si="227"/>
        <v>813.7487168</v>
      </c>
      <c r="X74" s="186">
        <f t="shared" si="227"/>
        <v>879.3855885</v>
      </c>
      <c r="Y74" s="186">
        <f t="shared" si="227"/>
        <v>936.1845932</v>
      </c>
      <c r="Z74" s="185">
        <f>U75</f>
        <v>664.0730969</v>
      </c>
      <c r="AA74" s="186">
        <f t="shared" ref="AA74:AD74" si="228">Z75</f>
        <v>996.4372375</v>
      </c>
      <c r="AB74" s="186">
        <f t="shared" si="228"/>
        <v>1168.039751</v>
      </c>
      <c r="AC74" s="186">
        <f t="shared" si="228"/>
        <v>1243.673841</v>
      </c>
      <c r="AD74" s="186">
        <f t="shared" si="228"/>
        <v>1310.623494</v>
      </c>
      <c r="AE74" s="185">
        <f>Z75</f>
        <v>996.4372375</v>
      </c>
      <c r="AF74" s="186">
        <f t="shared" ref="AF74:AI74" si="229">AE75</f>
        <v>1379.311518</v>
      </c>
      <c r="AG74" s="186">
        <f t="shared" si="229"/>
        <v>1582.41701</v>
      </c>
      <c r="AH74" s="186">
        <f t="shared" si="229"/>
        <v>1672.647444</v>
      </c>
      <c r="AI74" s="186">
        <f t="shared" si="229"/>
        <v>1749.797136</v>
      </c>
      <c r="AJ74" s="185">
        <f>AE75</f>
        <v>1379.311518</v>
      </c>
      <c r="AK74" s="186">
        <f t="shared" ref="AK74:AN74" si="230">AJ75</f>
        <v>1829.538952</v>
      </c>
      <c r="AL74" s="186">
        <f t="shared" si="230"/>
        <v>2053.132823</v>
      </c>
      <c r="AM74" s="186">
        <f t="shared" si="230"/>
        <v>2153.638028</v>
      </c>
      <c r="AN74" s="186">
        <f t="shared" si="230"/>
        <v>2240.282744</v>
      </c>
      <c r="AO74" s="185">
        <f>AJ75</f>
        <v>1829.538952</v>
      </c>
    </row>
    <row r="75" ht="10.5" customHeight="1">
      <c r="A75" s="198" t="s">
        <v>416</v>
      </c>
      <c r="B75" s="239">
        <f t="shared" ref="B75:AO75" si="231">SUM(B73:B74)</f>
        <v>523.003</v>
      </c>
      <c r="C75" s="239">
        <f t="shared" si="231"/>
        <v>298.66</v>
      </c>
      <c r="D75" s="239">
        <f t="shared" si="231"/>
        <v>355.351</v>
      </c>
      <c r="E75" s="239">
        <f t="shared" si="231"/>
        <v>322.121</v>
      </c>
      <c r="F75" s="241">
        <f t="shared" si="231"/>
        <v>322.121</v>
      </c>
      <c r="G75" s="239">
        <f t="shared" si="231"/>
        <v>347.897</v>
      </c>
      <c r="H75" s="239">
        <f t="shared" si="231"/>
        <v>294.761</v>
      </c>
      <c r="I75" s="239">
        <f t="shared" si="231"/>
        <v>366.549</v>
      </c>
      <c r="J75" s="239">
        <f t="shared" si="231"/>
        <v>349.674</v>
      </c>
      <c r="K75" s="241">
        <f t="shared" si="231"/>
        <v>349.674</v>
      </c>
      <c r="L75" s="239">
        <f t="shared" si="231"/>
        <v>400.6001</v>
      </c>
      <c r="M75" s="239">
        <f t="shared" si="231"/>
        <v>392.175</v>
      </c>
      <c r="N75" s="239">
        <f t="shared" si="231"/>
        <v>385.408</v>
      </c>
      <c r="O75" s="239">
        <f t="shared" si="231"/>
        <v>388.4700827</v>
      </c>
      <c r="P75" s="241">
        <f t="shared" si="231"/>
        <v>388.4700827</v>
      </c>
      <c r="Q75" s="239">
        <f t="shared" si="231"/>
        <v>520.2822668</v>
      </c>
      <c r="R75" s="239">
        <f t="shared" si="231"/>
        <v>580.2537599</v>
      </c>
      <c r="S75" s="239">
        <f t="shared" si="231"/>
        <v>616.5538214</v>
      </c>
      <c r="T75" s="239">
        <f t="shared" si="231"/>
        <v>664.0730969</v>
      </c>
      <c r="U75" s="241">
        <f t="shared" si="231"/>
        <v>664.0730969</v>
      </c>
      <c r="V75" s="239">
        <f t="shared" si="231"/>
        <v>813.7487168</v>
      </c>
      <c r="W75" s="239">
        <f t="shared" si="231"/>
        <v>879.3855885</v>
      </c>
      <c r="X75" s="239">
        <f t="shared" si="231"/>
        <v>936.1845932</v>
      </c>
      <c r="Y75" s="239">
        <f t="shared" si="231"/>
        <v>996.4372375</v>
      </c>
      <c r="Z75" s="241">
        <f t="shared" si="231"/>
        <v>996.4372375</v>
      </c>
      <c r="AA75" s="239">
        <f t="shared" si="231"/>
        <v>1168.039751</v>
      </c>
      <c r="AB75" s="239">
        <f t="shared" si="231"/>
        <v>1243.673841</v>
      </c>
      <c r="AC75" s="239">
        <f t="shared" si="231"/>
        <v>1310.623494</v>
      </c>
      <c r="AD75" s="239">
        <f t="shared" si="231"/>
        <v>1379.311518</v>
      </c>
      <c r="AE75" s="241">
        <f t="shared" si="231"/>
        <v>1379.311518</v>
      </c>
      <c r="AF75" s="239">
        <f t="shared" si="231"/>
        <v>1582.41701</v>
      </c>
      <c r="AG75" s="239">
        <f t="shared" si="231"/>
        <v>1672.647444</v>
      </c>
      <c r="AH75" s="239">
        <f t="shared" si="231"/>
        <v>1749.797136</v>
      </c>
      <c r="AI75" s="239">
        <f t="shared" si="231"/>
        <v>1829.538952</v>
      </c>
      <c r="AJ75" s="241">
        <f t="shared" si="231"/>
        <v>1829.538952</v>
      </c>
      <c r="AK75" s="239">
        <f t="shared" si="231"/>
        <v>2053.132823</v>
      </c>
      <c r="AL75" s="239">
        <f t="shared" si="231"/>
        <v>2153.638028</v>
      </c>
      <c r="AM75" s="239">
        <f t="shared" si="231"/>
        <v>2240.282744</v>
      </c>
      <c r="AN75" s="239">
        <f t="shared" si="231"/>
        <v>2329.226403</v>
      </c>
      <c r="AO75" s="241">
        <f t="shared" si="231"/>
        <v>2329.226403</v>
      </c>
    </row>
    <row r="76" ht="10.5" customHeight="1">
      <c r="A76" s="164"/>
      <c r="B76" s="186"/>
      <c r="C76" s="186"/>
      <c r="D76" s="186"/>
      <c r="E76" s="186"/>
      <c r="F76" s="185"/>
      <c r="G76" s="186"/>
      <c r="H76" s="186"/>
      <c r="I76" s="186"/>
      <c r="J76" s="186"/>
      <c r="K76" s="185"/>
      <c r="L76" s="186"/>
      <c r="M76" s="186"/>
      <c r="N76" s="186"/>
      <c r="O76" s="186"/>
      <c r="P76" s="185"/>
      <c r="Q76" s="186"/>
      <c r="R76" s="186"/>
      <c r="S76" s="186"/>
      <c r="T76" s="186"/>
      <c r="U76" s="185"/>
      <c r="V76" s="186"/>
      <c r="W76" s="186"/>
      <c r="X76" s="186"/>
      <c r="Y76" s="186"/>
      <c r="Z76" s="185"/>
      <c r="AA76" s="186"/>
      <c r="AB76" s="186"/>
      <c r="AC76" s="186"/>
      <c r="AD76" s="186"/>
      <c r="AE76" s="185"/>
      <c r="AF76" s="186"/>
      <c r="AG76" s="186"/>
      <c r="AH76" s="186"/>
      <c r="AI76" s="186"/>
      <c r="AJ76" s="185"/>
      <c r="AK76" s="186"/>
      <c r="AL76" s="186"/>
      <c r="AM76" s="186"/>
      <c r="AN76" s="186"/>
      <c r="AO76" s="185"/>
    </row>
    <row r="77" ht="10.5" customHeight="1">
      <c r="A77" s="299" t="s">
        <v>358</v>
      </c>
      <c r="B77" s="308"/>
      <c r="C77" s="308"/>
      <c r="D77" s="308"/>
      <c r="E77" s="308">
        <f>E75-('Balance Sheet'!B9+'Balance Sheet'!B10)</f>
        <v>0</v>
      </c>
      <c r="F77" s="309">
        <f>F75-('Balance Sheet'!C9+'Balance Sheet'!C10)</f>
        <v>0</v>
      </c>
      <c r="G77" s="308">
        <f>G75-('Balance Sheet'!D9+'Balance Sheet'!D10)</f>
        <v>0</v>
      </c>
      <c r="H77" s="308">
        <f>H75-('Balance Sheet'!E9+'Balance Sheet'!E10)</f>
        <v>0</v>
      </c>
      <c r="I77" s="308">
        <f>I75-('Balance Sheet'!F9+'Balance Sheet'!F10)</f>
        <v>0</v>
      </c>
      <c r="J77" s="308">
        <f>J75-('Balance Sheet'!G9+'Balance Sheet'!G10)</f>
        <v>0</v>
      </c>
      <c r="K77" s="309">
        <f>K75-('Balance Sheet'!H9+'Balance Sheet'!H10)</f>
        <v>0</v>
      </c>
      <c r="L77" s="308">
        <f>L75-('Balance Sheet'!I9+'Balance Sheet'!I10)</f>
        <v>0.1091</v>
      </c>
      <c r="M77" s="308">
        <f>M75-('Balance Sheet'!J9+'Balance Sheet'!J10)</f>
        <v>0</v>
      </c>
      <c r="N77" s="308">
        <f>N75-('Balance Sheet'!K9+'Balance Sheet'!K10)</f>
        <v>0</v>
      </c>
      <c r="O77" s="308">
        <f>O75-('Balance Sheet'!L9+'Balance Sheet'!L10)</f>
        <v>0</v>
      </c>
      <c r="P77" s="309">
        <f>P75-('Balance Sheet'!M9+'Balance Sheet'!M10)</f>
        <v>0</v>
      </c>
      <c r="Q77" s="308">
        <f>Q75-('Balance Sheet'!N9+'Balance Sheet'!N10)</f>
        <v>0</v>
      </c>
      <c r="R77" s="308">
        <f>R75-('Balance Sheet'!O9+'Balance Sheet'!O10)</f>
        <v>0</v>
      </c>
      <c r="S77" s="308">
        <f>S75-('Balance Sheet'!P9+'Balance Sheet'!P10)</f>
        <v>0</v>
      </c>
      <c r="T77" s="308">
        <f>T75-('Balance Sheet'!Q9+'Balance Sheet'!Q10)</f>
        <v>0</v>
      </c>
      <c r="U77" s="309">
        <f>U75-('Balance Sheet'!R9+'Balance Sheet'!R10)</f>
        <v>0</v>
      </c>
      <c r="V77" s="308">
        <f>V75-('Balance Sheet'!S9+'Balance Sheet'!S10)</f>
        <v>0</v>
      </c>
      <c r="W77" s="308">
        <f>W75-('Balance Sheet'!T9+'Balance Sheet'!T10)</f>
        <v>0</v>
      </c>
      <c r="X77" s="308">
        <f>X75-('Balance Sheet'!U9+'Balance Sheet'!U10)</f>
        <v>0</v>
      </c>
      <c r="Y77" s="308">
        <f>Y75-('Balance Sheet'!V9+'Balance Sheet'!V10)</f>
        <v>0</v>
      </c>
      <c r="Z77" s="309">
        <f>Z75-('Balance Sheet'!W9+'Balance Sheet'!W10)</f>
        <v>0</v>
      </c>
      <c r="AA77" s="308">
        <f>AA75-('Balance Sheet'!X9+'Balance Sheet'!X10)</f>
        <v>0</v>
      </c>
      <c r="AB77" s="308">
        <f>AB75-('Balance Sheet'!Y9+'Balance Sheet'!Y10)</f>
        <v>0</v>
      </c>
      <c r="AC77" s="308">
        <f>AC75-('Balance Sheet'!Z9+'Balance Sheet'!Z10)</f>
        <v>0</v>
      </c>
      <c r="AD77" s="308">
        <f>AD75-('Balance Sheet'!AA9+'Balance Sheet'!AA10)</f>
        <v>0</v>
      </c>
      <c r="AE77" s="309">
        <f>AE75-('Balance Sheet'!AB9+'Balance Sheet'!AB10)</f>
        <v>0</v>
      </c>
      <c r="AF77" s="308">
        <f>AF75-('Balance Sheet'!AC9+'Balance Sheet'!AC10)</f>
        <v>0</v>
      </c>
      <c r="AG77" s="308">
        <f>AG75-('Balance Sheet'!AD9+'Balance Sheet'!AD10)</f>
        <v>0</v>
      </c>
      <c r="AH77" s="308">
        <f>AH75-('Balance Sheet'!AE9+'Balance Sheet'!AE10)</f>
        <v>0</v>
      </c>
      <c r="AI77" s="308">
        <f>AI75-('Balance Sheet'!AF9+'Balance Sheet'!AF10)</f>
        <v>0</v>
      </c>
      <c r="AJ77" s="309">
        <f>AJ75-('Balance Sheet'!AG9+'Balance Sheet'!AG10)</f>
        <v>0</v>
      </c>
      <c r="AK77" s="308">
        <f>AK75-('Balance Sheet'!AH9+'Balance Sheet'!AH10)</f>
        <v>0</v>
      </c>
      <c r="AL77" s="308">
        <f>AL75-('Balance Sheet'!AI9+'Balance Sheet'!AI10)</f>
        <v>0</v>
      </c>
      <c r="AM77" s="308">
        <f>AM75-('Balance Sheet'!AJ9+'Balance Sheet'!AJ10)</f>
        <v>0</v>
      </c>
      <c r="AN77" s="308">
        <f>AN75-('Balance Sheet'!AK9+'Balance Sheet'!AK10)</f>
        <v>0</v>
      </c>
      <c r="AO77" s="309">
        <f>AO75-('Balance Sheet'!AL9+'Balance Sheet'!AL10)</f>
        <v>0</v>
      </c>
    </row>
    <row r="78" ht="10.5" customHeight="1">
      <c r="A78" s="299"/>
      <c r="B78" s="186"/>
      <c r="C78" s="186"/>
      <c r="D78" s="186"/>
      <c r="E78" s="186"/>
      <c r="F78" s="185"/>
      <c r="G78" s="186"/>
      <c r="H78" s="186"/>
      <c r="I78" s="186"/>
      <c r="J78" s="186"/>
      <c r="K78" s="185"/>
      <c r="L78" s="186"/>
      <c r="M78" s="186"/>
      <c r="N78" s="186"/>
      <c r="O78" s="186"/>
      <c r="P78" s="185"/>
      <c r="Q78" s="186"/>
      <c r="R78" s="186"/>
      <c r="S78" s="186"/>
      <c r="T78" s="186"/>
      <c r="U78" s="185"/>
      <c r="V78" s="186"/>
      <c r="W78" s="186"/>
      <c r="X78" s="186"/>
      <c r="Y78" s="186"/>
      <c r="Z78" s="185"/>
      <c r="AA78" s="186"/>
      <c r="AB78" s="186"/>
      <c r="AC78" s="186"/>
      <c r="AD78" s="186"/>
      <c r="AE78" s="185"/>
      <c r="AF78" s="186"/>
      <c r="AG78" s="186"/>
      <c r="AH78" s="186"/>
      <c r="AI78" s="186"/>
      <c r="AJ78" s="185"/>
      <c r="AK78" s="186"/>
      <c r="AL78" s="186"/>
      <c r="AM78" s="186"/>
      <c r="AN78" s="186"/>
      <c r="AO78" s="185"/>
    </row>
    <row r="79" ht="10.5" customHeight="1">
      <c r="A79" s="181" t="s">
        <v>417</v>
      </c>
      <c r="B79" s="186"/>
      <c r="C79" s="186"/>
      <c r="D79" s="186"/>
      <c r="E79" s="186"/>
      <c r="F79" s="185"/>
      <c r="G79" s="186"/>
      <c r="H79" s="186"/>
      <c r="I79" s="186"/>
      <c r="J79" s="186"/>
      <c r="K79" s="185"/>
      <c r="L79" s="186"/>
      <c r="M79" s="186"/>
      <c r="N79" s="186"/>
      <c r="O79" s="186"/>
      <c r="P79" s="185"/>
      <c r="Q79" s="186"/>
      <c r="R79" s="186"/>
      <c r="S79" s="186"/>
      <c r="T79" s="186"/>
      <c r="U79" s="185"/>
      <c r="V79" s="186"/>
      <c r="W79" s="186"/>
      <c r="X79" s="186"/>
      <c r="Y79" s="186"/>
      <c r="Z79" s="185"/>
      <c r="AA79" s="186"/>
      <c r="AB79" s="186"/>
      <c r="AC79" s="186"/>
      <c r="AD79" s="186"/>
      <c r="AE79" s="185"/>
      <c r="AF79" s="186"/>
      <c r="AG79" s="186"/>
      <c r="AH79" s="186"/>
      <c r="AI79" s="186"/>
      <c r="AJ79" s="185"/>
      <c r="AK79" s="186"/>
      <c r="AL79" s="186"/>
      <c r="AM79" s="186"/>
      <c r="AN79" s="186"/>
      <c r="AO79" s="185"/>
    </row>
    <row r="80" ht="10.5" customHeight="1">
      <c r="A80" s="164" t="s">
        <v>418</v>
      </c>
      <c r="B80" s="186">
        <f t="shared" ref="B80:B81" si="235">B165</f>
        <v>-1.016</v>
      </c>
      <c r="C80" s="186">
        <f t="shared" ref="C80:E80" si="232">C165-B165</f>
        <v>3.779</v>
      </c>
      <c r="D80" s="186">
        <f t="shared" si="232"/>
        <v>1.631</v>
      </c>
      <c r="E80" s="186">
        <f t="shared" si="232"/>
        <v>0.864</v>
      </c>
      <c r="F80" s="185">
        <f t="shared" ref="F80:F81" si="237">SUM(B80:E80)</f>
        <v>5.258</v>
      </c>
      <c r="G80" s="186">
        <f t="shared" ref="G80:G81" si="238">G165</f>
        <v>1.013</v>
      </c>
      <c r="H80" s="186">
        <f t="shared" ref="H80:J80" si="233">H165-G165</f>
        <v>8.155</v>
      </c>
      <c r="I80" s="186">
        <f t="shared" si="233"/>
        <v>2.08</v>
      </c>
      <c r="J80" s="186">
        <f t="shared" si="233"/>
        <v>0.824</v>
      </c>
      <c r="K80" s="185">
        <f t="shared" ref="K80:K81" si="240">SUM(G80:J80)</f>
        <v>12.072</v>
      </c>
      <c r="L80" s="186">
        <f t="shared" ref="L80:L81" si="241">L165</f>
        <v>0.289</v>
      </c>
      <c r="M80" s="186">
        <f t="shared" ref="M80:N80" si="234">M165-L165</f>
        <v>17.996</v>
      </c>
      <c r="N80" s="186">
        <f t="shared" si="234"/>
        <v>1.129</v>
      </c>
      <c r="O80" s="247"/>
      <c r="P80" s="248"/>
      <c r="Q80" s="247"/>
      <c r="R80" s="247"/>
      <c r="S80" s="247"/>
      <c r="T80" s="247"/>
      <c r="U80" s="248"/>
      <c r="V80" s="247"/>
      <c r="W80" s="247"/>
      <c r="X80" s="247"/>
      <c r="Y80" s="247"/>
      <c r="Z80" s="248"/>
      <c r="AA80" s="247"/>
      <c r="AB80" s="247"/>
      <c r="AC80" s="247"/>
      <c r="AD80" s="247"/>
      <c r="AE80" s="248"/>
      <c r="AF80" s="247"/>
      <c r="AG80" s="247"/>
      <c r="AH80" s="247"/>
      <c r="AI80" s="247"/>
      <c r="AJ80" s="248"/>
      <c r="AK80" s="247"/>
      <c r="AL80" s="247"/>
      <c r="AM80" s="247"/>
      <c r="AN80" s="247"/>
      <c r="AO80" s="248"/>
    </row>
    <row r="81" ht="10.5" customHeight="1">
      <c r="A81" s="164" t="s">
        <v>419</v>
      </c>
      <c r="B81" s="186">
        <f t="shared" si="235"/>
        <v>20.373</v>
      </c>
      <c r="C81" s="186">
        <f t="shared" ref="C81:E81" si="236">C166-B166</f>
        <v>20.32</v>
      </c>
      <c r="D81" s="186">
        <f t="shared" si="236"/>
        <v>20.271</v>
      </c>
      <c r="E81" s="186">
        <f t="shared" si="236"/>
        <v>20.22</v>
      </c>
      <c r="F81" s="185">
        <f t="shared" si="237"/>
        <v>81.184</v>
      </c>
      <c r="G81" s="186">
        <f t="shared" si="238"/>
        <v>20.165</v>
      </c>
      <c r="H81" s="186">
        <f t="shared" ref="H81:J81" si="239">H166-G166</f>
        <v>20.649</v>
      </c>
      <c r="I81" s="186">
        <f t="shared" si="239"/>
        <v>12.904</v>
      </c>
      <c r="J81" s="186">
        <f t="shared" si="239"/>
        <v>37.135</v>
      </c>
      <c r="K81" s="185">
        <f t="shared" si="240"/>
        <v>90.853</v>
      </c>
      <c r="L81" s="186">
        <f t="shared" si="241"/>
        <v>25.065</v>
      </c>
      <c r="M81" s="186">
        <f t="shared" ref="M81:N81" si="242">M166-L166</f>
        <v>25.002</v>
      </c>
      <c r="N81" s="186">
        <f t="shared" si="242"/>
        <v>24.937</v>
      </c>
      <c r="O81" s="247"/>
      <c r="P81" s="248"/>
      <c r="Q81" s="247"/>
      <c r="R81" s="247"/>
      <c r="S81" s="247"/>
      <c r="T81" s="247"/>
      <c r="U81" s="248"/>
      <c r="V81" s="247"/>
      <c r="W81" s="247"/>
      <c r="X81" s="247"/>
      <c r="Y81" s="247"/>
      <c r="Z81" s="248"/>
      <c r="AA81" s="247"/>
      <c r="AB81" s="247"/>
      <c r="AC81" s="247"/>
      <c r="AD81" s="247"/>
      <c r="AE81" s="248"/>
      <c r="AF81" s="247"/>
      <c r="AG81" s="247"/>
      <c r="AH81" s="247"/>
      <c r="AI81" s="247"/>
      <c r="AJ81" s="248"/>
      <c r="AK81" s="247"/>
      <c r="AL81" s="247"/>
      <c r="AM81" s="247"/>
      <c r="AN81" s="247"/>
      <c r="AO81" s="248"/>
    </row>
    <row r="82" ht="10.5" customHeight="1">
      <c r="A82" s="181" t="s">
        <v>420</v>
      </c>
      <c r="B82" s="186"/>
      <c r="C82" s="186"/>
      <c r="D82" s="186"/>
      <c r="E82" s="186"/>
      <c r="F82" s="185"/>
      <c r="G82" s="186"/>
      <c r="H82" s="186"/>
      <c r="I82" s="186"/>
      <c r="J82" s="186"/>
      <c r="K82" s="185"/>
      <c r="L82" s="186"/>
      <c r="M82" s="186"/>
      <c r="N82" s="186"/>
      <c r="O82" s="186"/>
      <c r="P82" s="185"/>
      <c r="Q82" s="186"/>
      <c r="R82" s="186"/>
      <c r="S82" s="186"/>
      <c r="T82" s="186"/>
      <c r="U82" s="185"/>
      <c r="V82" s="186"/>
      <c r="W82" s="186"/>
      <c r="X82" s="186"/>
      <c r="Y82" s="186"/>
      <c r="Z82" s="185"/>
      <c r="AA82" s="186"/>
      <c r="AB82" s="186"/>
      <c r="AC82" s="186"/>
      <c r="AD82" s="186"/>
      <c r="AE82" s="185"/>
      <c r="AF82" s="186"/>
      <c r="AG82" s="186"/>
      <c r="AH82" s="186"/>
      <c r="AI82" s="186"/>
      <c r="AJ82" s="185"/>
      <c r="AK82" s="186"/>
      <c r="AL82" s="186"/>
      <c r="AM82" s="186"/>
      <c r="AN82" s="186"/>
      <c r="AO82" s="185"/>
    </row>
    <row r="83" ht="10.5" customHeight="1">
      <c r="A83" s="164" t="s">
        <v>421</v>
      </c>
      <c r="B83" s="186">
        <f t="shared" ref="B83:B87" si="246">B168</f>
        <v>11.682</v>
      </c>
      <c r="C83" s="186">
        <f t="shared" ref="C83:E83" si="243">C168-B168</f>
        <v>3.376</v>
      </c>
      <c r="D83" s="186">
        <f t="shared" si="243"/>
        <v>5.532</v>
      </c>
      <c r="E83" s="186">
        <f t="shared" si="243"/>
        <v>-1.951</v>
      </c>
      <c r="F83" s="185">
        <f t="shared" ref="F83:F87" si="248">SUM(B83:E83)</f>
        <v>18.639</v>
      </c>
      <c r="G83" s="186">
        <f t="shared" ref="G83:G87" si="249">G168</f>
        <v>11.4</v>
      </c>
      <c r="H83" s="186">
        <f t="shared" ref="H83:J83" si="244">H168-G168</f>
        <v>7.245</v>
      </c>
      <c r="I83" s="186">
        <f t="shared" si="244"/>
        <v>-0.199</v>
      </c>
      <c r="J83" s="186">
        <f t="shared" si="244"/>
        <v>-7.023</v>
      </c>
      <c r="K83" s="185">
        <f t="shared" ref="K83:K87" si="251">SUM(G83:J83)</f>
        <v>11.423</v>
      </c>
      <c r="L83" s="186">
        <f t="shared" ref="L83:L87" si="252">L168</f>
        <v>10.645</v>
      </c>
      <c r="M83" s="186">
        <f t="shared" ref="M83:N83" si="245">M168-L168</f>
        <v>6.022</v>
      </c>
      <c r="N83" s="186">
        <f t="shared" si="245"/>
        <v>5.492</v>
      </c>
      <c r="O83" s="247"/>
      <c r="P83" s="248"/>
      <c r="Q83" s="247"/>
      <c r="R83" s="247"/>
      <c r="S83" s="247"/>
      <c r="T83" s="247"/>
      <c r="U83" s="248"/>
      <c r="V83" s="247"/>
      <c r="W83" s="247"/>
      <c r="X83" s="247"/>
      <c r="Y83" s="247"/>
      <c r="Z83" s="248"/>
      <c r="AA83" s="247"/>
      <c r="AB83" s="247"/>
      <c r="AC83" s="247"/>
      <c r="AD83" s="247"/>
      <c r="AE83" s="248"/>
      <c r="AF83" s="247"/>
      <c r="AG83" s="247"/>
      <c r="AH83" s="247"/>
      <c r="AI83" s="247"/>
      <c r="AJ83" s="248"/>
      <c r="AK83" s="247"/>
      <c r="AL83" s="247"/>
      <c r="AM83" s="247"/>
      <c r="AN83" s="247"/>
      <c r="AO83" s="248"/>
    </row>
    <row r="84" ht="10.5" customHeight="1">
      <c r="A84" s="164" t="s">
        <v>422</v>
      </c>
      <c r="B84" s="186">
        <f t="shared" si="246"/>
        <v>0</v>
      </c>
      <c r="C84" s="186">
        <f t="shared" ref="C84:E84" si="247">C169-B169</f>
        <v>0</v>
      </c>
      <c r="D84" s="186">
        <f t="shared" si="247"/>
        <v>1.048</v>
      </c>
      <c r="E84" s="186">
        <f t="shared" si="247"/>
        <v>15.952</v>
      </c>
      <c r="F84" s="185">
        <f t="shared" si="248"/>
        <v>17</v>
      </c>
      <c r="G84" s="186">
        <f t="shared" si="249"/>
        <v>0</v>
      </c>
      <c r="H84" s="186">
        <f t="shared" ref="H84:J84" si="250">H169-G169</f>
        <v>0</v>
      </c>
      <c r="I84" s="186">
        <f t="shared" si="250"/>
        <v>0</v>
      </c>
      <c r="J84" s="186">
        <f t="shared" si="250"/>
        <v>0</v>
      </c>
      <c r="K84" s="185">
        <f t="shared" si="251"/>
        <v>0</v>
      </c>
      <c r="L84" s="186">
        <f t="shared" si="252"/>
        <v>0</v>
      </c>
      <c r="M84" s="186">
        <f t="shared" ref="M84:N84" si="253">M169-L169</f>
        <v>0</v>
      </c>
      <c r="N84" s="186">
        <f t="shared" si="253"/>
        <v>0</v>
      </c>
      <c r="O84" s="247"/>
      <c r="P84" s="248"/>
      <c r="Q84" s="247"/>
      <c r="R84" s="247"/>
      <c r="S84" s="247"/>
      <c r="T84" s="247"/>
      <c r="U84" s="248"/>
      <c r="V84" s="247"/>
      <c r="W84" s="247"/>
      <c r="X84" s="247"/>
      <c r="Y84" s="247"/>
      <c r="Z84" s="248"/>
      <c r="AA84" s="247"/>
      <c r="AB84" s="247"/>
      <c r="AC84" s="247"/>
      <c r="AD84" s="247"/>
      <c r="AE84" s="248"/>
      <c r="AF84" s="247"/>
      <c r="AG84" s="247"/>
      <c r="AH84" s="247"/>
      <c r="AI84" s="247"/>
      <c r="AJ84" s="248"/>
      <c r="AK84" s="247"/>
      <c r="AL84" s="247"/>
      <c r="AM84" s="247"/>
      <c r="AN84" s="247"/>
      <c r="AO84" s="248"/>
    </row>
    <row r="85" ht="10.5" customHeight="1">
      <c r="A85" s="164" t="s">
        <v>423</v>
      </c>
      <c r="B85" s="186">
        <f t="shared" si="246"/>
        <v>0</v>
      </c>
      <c r="C85" s="186">
        <f t="shared" ref="C85:E85" si="254">C170-B170</f>
        <v>0</v>
      </c>
      <c r="D85" s="186">
        <f t="shared" si="254"/>
        <v>0</v>
      </c>
      <c r="E85" s="186">
        <f t="shared" si="254"/>
        <v>0</v>
      </c>
      <c r="F85" s="185">
        <f t="shared" si="248"/>
        <v>0</v>
      </c>
      <c r="G85" s="186">
        <f t="shared" si="249"/>
        <v>0</v>
      </c>
      <c r="H85" s="186">
        <f t="shared" ref="H85:J85" si="255">H170-G170</f>
        <v>0</v>
      </c>
      <c r="I85" s="186">
        <f t="shared" si="255"/>
        <v>0</v>
      </c>
      <c r="J85" s="186">
        <f t="shared" si="255"/>
        <v>0</v>
      </c>
      <c r="K85" s="185">
        <f t="shared" si="251"/>
        <v>0</v>
      </c>
      <c r="L85" s="186">
        <f t="shared" si="252"/>
        <v>0</v>
      </c>
      <c r="M85" s="186">
        <f t="shared" ref="M85:N85" si="256">M170-L170</f>
        <v>0</v>
      </c>
      <c r="N85" s="186">
        <f t="shared" si="256"/>
        <v>0</v>
      </c>
      <c r="O85" s="247"/>
      <c r="P85" s="248"/>
      <c r="Q85" s="247"/>
      <c r="R85" s="247"/>
      <c r="S85" s="247"/>
      <c r="T85" s="247"/>
      <c r="U85" s="248"/>
      <c r="V85" s="247"/>
      <c r="W85" s="247"/>
      <c r="X85" s="247"/>
      <c r="Y85" s="247"/>
      <c r="Z85" s="248"/>
      <c r="AA85" s="247"/>
      <c r="AB85" s="247"/>
      <c r="AC85" s="247"/>
      <c r="AD85" s="247"/>
      <c r="AE85" s="248"/>
      <c r="AF85" s="247"/>
      <c r="AG85" s="247"/>
      <c r="AH85" s="247"/>
      <c r="AI85" s="247"/>
      <c r="AJ85" s="248"/>
      <c r="AK85" s="247"/>
      <c r="AL85" s="247"/>
      <c r="AM85" s="247"/>
      <c r="AN85" s="247"/>
      <c r="AO85" s="248"/>
    </row>
    <row r="86" ht="10.5" customHeight="1">
      <c r="A86" s="164" t="s">
        <v>424</v>
      </c>
      <c r="B86" s="186">
        <f t="shared" si="246"/>
        <v>0</v>
      </c>
      <c r="C86" s="186">
        <f t="shared" ref="C86:E86" si="257">C171-B171</f>
        <v>0</v>
      </c>
      <c r="D86" s="186">
        <f t="shared" si="257"/>
        <v>0</v>
      </c>
      <c r="E86" s="186">
        <f t="shared" si="257"/>
        <v>0</v>
      </c>
      <c r="F86" s="185">
        <f t="shared" si="248"/>
        <v>0</v>
      </c>
      <c r="G86" s="186">
        <f t="shared" si="249"/>
        <v>0</v>
      </c>
      <c r="H86" s="186">
        <f t="shared" ref="H86:J86" si="258">H171-G171</f>
        <v>0</v>
      </c>
      <c r="I86" s="186">
        <f t="shared" si="258"/>
        <v>0</v>
      </c>
      <c r="J86" s="186">
        <f t="shared" si="258"/>
        <v>0</v>
      </c>
      <c r="K86" s="185">
        <f t="shared" si="251"/>
        <v>0</v>
      </c>
      <c r="L86" s="186">
        <f t="shared" si="252"/>
        <v>0</v>
      </c>
      <c r="M86" s="186">
        <f t="shared" ref="M86:N86" si="259">M171-L171</f>
        <v>0</v>
      </c>
      <c r="N86" s="186">
        <f t="shared" si="259"/>
        <v>0</v>
      </c>
      <c r="O86" s="247"/>
      <c r="P86" s="248"/>
      <c r="Q86" s="247"/>
      <c r="R86" s="247"/>
      <c r="S86" s="247"/>
      <c r="T86" s="247"/>
      <c r="U86" s="248"/>
      <c r="V86" s="247"/>
      <c r="W86" s="247"/>
      <c r="X86" s="247"/>
      <c r="Y86" s="247"/>
      <c r="Z86" s="248"/>
      <c r="AA86" s="247"/>
      <c r="AB86" s="247"/>
      <c r="AC86" s="247"/>
      <c r="AD86" s="247"/>
      <c r="AE86" s="248"/>
      <c r="AF86" s="247"/>
      <c r="AG86" s="247"/>
      <c r="AH86" s="247"/>
      <c r="AI86" s="247"/>
      <c r="AJ86" s="248"/>
      <c r="AK86" s="247"/>
      <c r="AL86" s="247"/>
      <c r="AM86" s="247"/>
      <c r="AN86" s="247"/>
      <c r="AO86" s="248"/>
    </row>
    <row r="87" ht="10.5" customHeight="1">
      <c r="A87" s="202" t="s">
        <v>425</v>
      </c>
      <c r="B87" s="192">
        <f t="shared" si="246"/>
        <v>0</v>
      </c>
      <c r="C87" s="192">
        <f t="shared" ref="C87:E87" si="260">C172-B172</f>
        <v>0</v>
      </c>
      <c r="D87" s="192">
        <f t="shared" si="260"/>
        <v>0</v>
      </c>
      <c r="E87" s="192">
        <f t="shared" si="260"/>
        <v>0</v>
      </c>
      <c r="F87" s="191">
        <f t="shared" si="248"/>
        <v>0</v>
      </c>
      <c r="G87" s="192">
        <f t="shared" si="249"/>
        <v>0</v>
      </c>
      <c r="H87" s="192">
        <f t="shared" ref="H87:J87" si="261">H172-G172</f>
        <v>0</v>
      </c>
      <c r="I87" s="192">
        <f t="shared" si="261"/>
        <v>0</v>
      </c>
      <c r="J87" s="192">
        <f t="shared" si="261"/>
        <v>0</v>
      </c>
      <c r="K87" s="191">
        <f t="shared" si="251"/>
        <v>0</v>
      </c>
      <c r="L87" s="192">
        <f t="shared" si="252"/>
        <v>0</v>
      </c>
      <c r="M87" s="192">
        <f t="shared" ref="M87:N87" si="262">M172-L172</f>
        <v>0</v>
      </c>
      <c r="N87" s="192">
        <f t="shared" si="262"/>
        <v>0</v>
      </c>
      <c r="O87" s="305"/>
      <c r="P87" s="310"/>
      <c r="Q87" s="305"/>
      <c r="R87" s="305"/>
      <c r="S87" s="305"/>
      <c r="T87" s="305"/>
      <c r="U87" s="310"/>
      <c r="V87" s="305"/>
      <c r="W87" s="305"/>
      <c r="X87" s="305"/>
      <c r="Y87" s="305"/>
      <c r="Z87" s="310"/>
      <c r="AA87" s="305"/>
      <c r="AB87" s="305"/>
      <c r="AC87" s="305"/>
      <c r="AD87" s="305"/>
      <c r="AE87" s="310"/>
      <c r="AF87" s="305"/>
      <c r="AG87" s="305"/>
      <c r="AH87" s="305"/>
      <c r="AI87" s="305"/>
      <c r="AJ87" s="310"/>
      <c r="AK87" s="305"/>
      <c r="AL87" s="305"/>
      <c r="AM87" s="305"/>
      <c r="AN87" s="305"/>
      <c r="AO87" s="310"/>
    </row>
    <row r="88" ht="10.5" customHeight="1" outlineLevel="1">
      <c r="A88" s="164"/>
      <c r="B88" s="165"/>
      <c r="C88" s="165"/>
      <c r="D88" s="165"/>
      <c r="E88" s="165"/>
      <c r="F88" s="207"/>
      <c r="G88" s="165"/>
      <c r="H88" s="165"/>
      <c r="I88" s="165"/>
      <c r="J88" s="165"/>
      <c r="K88" s="207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165"/>
      <c r="AF88" s="165"/>
      <c r="AG88" s="165"/>
      <c r="AH88" s="165"/>
      <c r="AI88" s="165"/>
      <c r="AJ88" s="165"/>
      <c r="AK88" s="165"/>
      <c r="AL88" s="165"/>
      <c r="AM88" s="165"/>
      <c r="AN88" s="165"/>
      <c r="AO88" s="165"/>
    </row>
    <row r="89" ht="10.5" customHeight="1" outlineLevel="1">
      <c r="A89" s="164"/>
      <c r="B89" s="165"/>
      <c r="C89" s="165"/>
      <c r="D89" s="165"/>
      <c r="E89" s="165"/>
      <c r="F89" s="207"/>
      <c r="G89" s="165"/>
      <c r="H89" s="165"/>
      <c r="I89" s="165"/>
      <c r="J89" s="165"/>
      <c r="K89" s="207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  <c r="AD89" s="165"/>
      <c r="AE89" s="165"/>
      <c r="AF89" s="165"/>
      <c r="AG89" s="165"/>
      <c r="AH89" s="165"/>
      <c r="AI89" s="165"/>
      <c r="AJ89" s="165"/>
      <c r="AK89" s="165"/>
      <c r="AL89" s="165"/>
      <c r="AM89" s="165"/>
      <c r="AN89" s="165"/>
      <c r="AO89" s="165"/>
    </row>
    <row r="90" ht="10.5" customHeight="1" outlineLevel="1">
      <c r="A90" s="164"/>
      <c r="B90" s="173" t="s">
        <v>145</v>
      </c>
      <c r="C90" s="174"/>
      <c r="D90" s="174"/>
      <c r="E90" s="175"/>
      <c r="F90" s="176" t="s">
        <v>145</v>
      </c>
      <c r="G90" s="173" t="s">
        <v>426</v>
      </c>
      <c r="H90" s="174"/>
      <c r="I90" s="174"/>
      <c r="J90" s="175"/>
      <c r="K90" s="176" t="s">
        <v>426</v>
      </c>
      <c r="L90" s="173" t="s">
        <v>147</v>
      </c>
      <c r="M90" s="174"/>
      <c r="N90" s="174"/>
      <c r="O90" s="175"/>
      <c r="P90" s="302">
        <v>2025.0</v>
      </c>
      <c r="Q90" s="303">
        <f>P90+1</f>
        <v>2026</v>
      </c>
      <c r="R90" s="174"/>
      <c r="S90" s="174"/>
      <c r="T90" s="175"/>
      <c r="U90" s="302">
        <f>Q90</f>
        <v>2026</v>
      </c>
      <c r="V90" s="303">
        <f>U90+1</f>
        <v>2027</v>
      </c>
      <c r="W90" s="174"/>
      <c r="X90" s="174"/>
      <c r="Y90" s="175"/>
      <c r="Z90" s="302">
        <f>V90</f>
        <v>2027</v>
      </c>
      <c r="AA90" s="303">
        <f>Z90+1</f>
        <v>2028</v>
      </c>
      <c r="AB90" s="174"/>
      <c r="AC90" s="174"/>
      <c r="AD90" s="175"/>
      <c r="AE90" s="302">
        <f>AA90</f>
        <v>2028</v>
      </c>
      <c r="AF90" s="303">
        <f>AE90+1</f>
        <v>2029</v>
      </c>
      <c r="AG90" s="174"/>
      <c r="AH90" s="174"/>
      <c r="AI90" s="175"/>
      <c r="AJ90" s="302">
        <f>AF90</f>
        <v>2029</v>
      </c>
      <c r="AK90" s="303">
        <f>AJ90+1</f>
        <v>2030</v>
      </c>
      <c r="AL90" s="174"/>
      <c r="AM90" s="174"/>
      <c r="AN90" s="175"/>
      <c r="AO90" s="302">
        <f>AK90</f>
        <v>2030</v>
      </c>
    </row>
    <row r="91" ht="10.5" customHeight="1" outlineLevel="1">
      <c r="A91" s="164"/>
      <c r="B91" s="311" t="s">
        <v>427</v>
      </c>
      <c r="C91" s="311" t="s">
        <v>428</v>
      </c>
      <c r="D91" s="311" t="s">
        <v>429</v>
      </c>
      <c r="E91" s="311" t="s">
        <v>430</v>
      </c>
      <c r="F91" s="312" t="s">
        <v>152</v>
      </c>
      <c r="G91" s="311" t="s">
        <v>427</v>
      </c>
      <c r="H91" s="311" t="s">
        <v>428</v>
      </c>
      <c r="I91" s="311" t="s">
        <v>429</v>
      </c>
      <c r="J91" s="311" t="s">
        <v>430</v>
      </c>
      <c r="K91" s="312" t="s">
        <v>152</v>
      </c>
      <c r="L91" s="311" t="s">
        <v>427</v>
      </c>
      <c r="M91" s="311" t="s">
        <v>428</v>
      </c>
      <c r="N91" s="311" t="s">
        <v>429</v>
      </c>
      <c r="O91" s="311" t="s">
        <v>430</v>
      </c>
      <c r="P91" s="312" t="s">
        <v>152</v>
      </c>
      <c r="Q91" s="311" t="s">
        <v>427</v>
      </c>
      <c r="R91" s="311" t="s">
        <v>428</v>
      </c>
      <c r="S91" s="311" t="s">
        <v>429</v>
      </c>
      <c r="T91" s="311" t="s">
        <v>430</v>
      </c>
      <c r="U91" s="312" t="s">
        <v>152</v>
      </c>
      <c r="V91" s="311" t="s">
        <v>427</v>
      </c>
      <c r="W91" s="311" t="s">
        <v>428</v>
      </c>
      <c r="X91" s="311" t="s">
        <v>429</v>
      </c>
      <c r="Y91" s="311" t="s">
        <v>430</v>
      </c>
      <c r="Z91" s="312" t="s">
        <v>152</v>
      </c>
      <c r="AA91" s="311" t="s">
        <v>427</v>
      </c>
      <c r="AB91" s="311" t="s">
        <v>428</v>
      </c>
      <c r="AC91" s="311" t="s">
        <v>429</v>
      </c>
      <c r="AD91" s="311" t="s">
        <v>430</v>
      </c>
      <c r="AE91" s="312" t="s">
        <v>152</v>
      </c>
      <c r="AF91" s="311" t="s">
        <v>427</v>
      </c>
      <c r="AG91" s="311" t="s">
        <v>428</v>
      </c>
      <c r="AH91" s="311" t="s">
        <v>429</v>
      </c>
      <c r="AI91" s="311" t="s">
        <v>430</v>
      </c>
      <c r="AJ91" s="312" t="s">
        <v>152</v>
      </c>
      <c r="AK91" s="311" t="s">
        <v>427</v>
      </c>
      <c r="AL91" s="311" t="s">
        <v>428</v>
      </c>
      <c r="AM91" s="311" t="s">
        <v>429</v>
      </c>
      <c r="AN91" s="311" t="s">
        <v>430</v>
      </c>
      <c r="AO91" s="312" t="s">
        <v>152</v>
      </c>
    </row>
    <row r="92" ht="10.5" customHeight="1" outlineLevel="1">
      <c r="A92" s="238" t="s">
        <v>360</v>
      </c>
      <c r="B92" s="165"/>
      <c r="C92" s="165"/>
      <c r="D92" s="165"/>
      <c r="E92" s="165"/>
      <c r="F92" s="207"/>
      <c r="G92" s="165"/>
      <c r="H92" s="165"/>
      <c r="I92" s="165"/>
      <c r="J92" s="165"/>
      <c r="K92" s="207"/>
      <c r="L92" s="165"/>
      <c r="M92" s="165"/>
      <c r="N92" s="165"/>
      <c r="O92" s="165"/>
      <c r="P92" s="207"/>
      <c r="Q92" s="165"/>
      <c r="R92" s="165"/>
      <c r="S92" s="165"/>
      <c r="T92" s="165"/>
      <c r="U92" s="207"/>
      <c r="V92" s="165"/>
      <c r="W92" s="165"/>
      <c r="X92" s="165"/>
      <c r="Y92" s="165"/>
      <c r="Z92" s="207"/>
      <c r="AA92" s="165"/>
      <c r="AB92" s="165"/>
      <c r="AC92" s="165"/>
      <c r="AD92" s="165"/>
      <c r="AE92" s="207"/>
      <c r="AF92" s="165"/>
      <c r="AG92" s="165"/>
      <c r="AH92" s="165"/>
      <c r="AI92" s="165"/>
      <c r="AJ92" s="207"/>
      <c r="AK92" s="165"/>
      <c r="AL92" s="165"/>
      <c r="AM92" s="165"/>
      <c r="AN92" s="165"/>
      <c r="AO92" s="207"/>
    </row>
    <row r="93" ht="10.5" customHeight="1" outlineLevel="1">
      <c r="A93" s="165" t="s">
        <v>179</v>
      </c>
      <c r="B93" s="210">
        <v>24.769</v>
      </c>
      <c r="C93" s="210">
        <v>68.948</v>
      </c>
      <c r="D93" s="210">
        <v>110.272</v>
      </c>
      <c r="E93" s="210">
        <v>147.035</v>
      </c>
      <c r="F93" s="211"/>
      <c r="G93" s="210">
        <v>34.973</v>
      </c>
      <c r="H93" s="210">
        <v>84.285</v>
      </c>
      <c r="I93" s="210">
        <v>126.68</v>
      </c>
      <c r="J93" s="210">
        <v>174.243</v>
      </c>
      <c r="K93" s="211"/>
      <c r="L93" s="210">
        <v>42.079</v>
      </c>
      <c r="M93" s="210">
        <v>100.374</v>
      </c>
      <c r="N93" s="210">
        <v>159.557</v>
      </c>
      <c r="O93" s="210"/>
      <c r="P93" s="211"/>
      <c r="Q93" s="210"/>
      <c r="R93" s="210"/>
      <c r="S93" s="210"/>
      <c r="T93" s="210"/>
      <c r="U93" s="211"/>
      <c r="V93" s="210"/>
      <c r="W93" s="210"/>
      <c r="X93" s="210"/>
      <c r="Y93" s="210"/>
      <c r="Z93" s="211"/>
      <c r="AA93" s="210"/>
      <c r="AB93" s="210"/>
      <c r="AC93" s="210"/>
      <c r="AD93" s="210"/>
      <c r="AE93" s="211"/>
      <c r="AF93" s="210"/>
      <c r="AG93" s="210"/>
      <c r="AH93" s="210"/>
      <c r="AI93" s="210"/>
      <c r="AJ93" s="211"/>
      <c r="AK93" s="210"/>
      <c r="AL93" s="210"/>
      <c r="AM93" s="210"/>
      <c r="AN93" s="210"/>
      <c r="AO93" s="211"/>
    </row>
    <row r="94" ht="10.5" customHeight="1" outlineLevel="1">
      <c r="A94" s="165" t="s">
        <v>361</v>
      </c>
      <c r="B94" s="210">
        <v>0.0</v>
      </c>
      <c r="C94" s="210">
        <v>0.0</v>
      </c>
      <c r="D94" s="210">
        <v>0.0</v>
      </c>
      <c r="E94" s="210">
        <v>0.0</v>
      </c>
      <c r="F94" s="211"/>
      <c r="G94" s="210">
        <v>0.0</v>
      </c>
      <c r="H94" s="210">
        <v>0.0</v>
      </c>
      <c r="I94" s="210">
        <v>0.0</v>
      </c>
      <c r="J94" s="210">
        <v>0.0</v>
      </c>
      <c r="K94" s="211"/>
      <c r="L94" s="210">
        <v>0.0</v>
      </c>
      <c r="M94" s="210">
        <v>0.0</v>
      </c>
      <c r="N94" s="210">
        <v>0.0</v>
      </c>
      <c r="O94" s="210"/>
      <c r="P94" s="211"/>
      <c r="Q94" s="210"/>
      <c r="R94" s="210"/>
      <c r="S94" s="210"/>
      <c r="T94" s="210"/>
      <c r="U94" s="211"/>
      <c r="V94" s="210"/>
      <c r="W94" s="210"/>
      <c r="X94" s="210"/>
      <c r="Y94" s="210"/>
      <c r="Z94" s="211"/>
      <c r="AA94" s="210"/>
      <c r="AB94" s="210"/>
      <c r="AC94" s="210"/>
      <c r="AD94" s="210"/>
      <c r="AE94" s="211"/>
      <c r="AF94" s="210"/>
      <c r="AG94" s="210"/>
      <c r="AH94" s="210"/>
      <c r="AI94" s="210"/>
      <c r="AJ94" s="211"/>
      <c r="AK94" s="210"/>
      <c r="AL94" s="210"/>
      <c r="AM94" s="210"/>
      <c r="AN94" s="210"/>
      <c r="AO94" s="211"/>
    </row>
    <row r="95" ht="10.5" customHeight="1" outlineLevel="1">
      <c r="A95" s="165" t="s">
        <v>167</v>
      </c>
      <c r="B95" s="210">
        <v>36.01</v>
      </c>
      <c r="C95" s="210">
        <v>72.777</v>
      </c>
      <c r="D95" s="210">
        <v>110.254</v>
      </c>
      <c r="E95" s="210">
        <v>149.413</v>
      </c>
      <c r="F95" s="211"/>
      <c r="G95" s="210">
        <v>39.38</v>
      </c>
      <c r="H95" s="210">
        <v>79.197</v>
      </c>
      <c r="I95" s="210">
        <v>120.23</v>
      </c>
      <c r="J95" s="210">
        <v>160.346</v>
      </c>
      <c r="K95" s="211"/>
      <c r="L95" s="210">
        <v>38.281</v>
      </c>
      <c r="M95" s="210">
        <v>76.71</v>
      </c>
      <c r="N95" s="210">
        <v>115.818</v>
      </c>
      <c r="O95" s="210"/>
      <c r="P95" s="211"/>
      <c r="Q95" s="210"/>
      <c r="R95" s="210"/>
      <c r="S95" s="210"/>
      <c r="T95" s="210"/>
      <c r="U95" s="211"/>
      <c r="V95" s="210"/>
      <c r="W95" s="210"/>
      <c r="X95" s="210"/>
      <c r="Y95" s="210"/>
      <c r="Z95" s="211"/>
      <c r="AA95" s="210"/>
      <c r="AB95" s="210"/>
      <c r="AC95" s="210"/>
      <c r="AD95" s="210"/>
      <c r="AE95" s="211"/>
      <c r="AF95" s="210"/>
      <c r="AG95" s="210"/>
      <c r="AH95" s="210"/>
      <c r="AI95" s="210"/>
      <c r="AJ95" s="211"/>
      <c r="AK95" s="210"/>
      <c r="AL95" s="210"/>
      <c r="AM95" s="210"/>
      <c r="AN95" s="210"/>
      <c r="AO95" s="211"/>
    </row>
    <row r="96" ht="10.5" customHeight="1" outlineLevel="1">
      <c r="A96" s="165" t="s">
        <v>362</v>
      </c>
      <c r="B96" s="210">
        <v>1.36</v>
      </c>
      <c r="C96" s="210">
        <v>2.731</v>
      </c>
      <c r="D96" s="210">
        <v>4.114</v>
      </c>
      <c r="E96" s="210">
        <v>5.492</v>
      </c>
      <c r="F96" s="211"/>
      <c r="G96" s="210">
        <v>1.346</v>
      </c>
      <c r="H96" s="210">
        <v>2.634</v>
      </c>
      <c r="I96" s="210">
        <v>3.984</v>
      </c>
      <c r="J96" s="210">
        <v>5.362</v>
      </c>
      <c r="K96" s="211"/>
      <c r="L96" s="210">
        <v>1.314</v>
      </c>
      <c r="M96" s="210">
        <v>2.639</v>
      </c>
      <c r="N96" s="210">
        <v>3.975</v>
      </c>
      <c r="O96" s="210"/>
      <c r="P96" s="211"/>
      <c r="Q96" s="210"/>
      <c r="R96" s="210"/>
      <c r="S96" s="210"/>
      <c r="T96" s="210"/>
      <c r="U96" s="211"/>
      <c r="V96" s="210"/>
      <c r="W96" s="210"/>
      <c r="X96" s="210"/>
      <c r="Y96" s="210"/>
      <c r="Z96" s="211"/>
      <c r="AA96" s="210"/>
      <c r="AB96" s="210"/>
      <c r="AC96" s="210"/>
      <c r="AD96" s="210"/>
      <c r="AE96" s="211"/>
      <c r="AF96" s="210"/>
      <c r="AG96" s="210"/>
      <c r="AH96" s="210"/>
      <c r="AI96" s="210"/>
      <c r="AJ96" s="211"/>
      <c r="AK96" s="210"/>
      <c r="AL96" s="210"/>
      <c r="AM96" s="210"/>
      <c r="AN96" s="210"/>
      <c r="AO96" s="211"/>
    </row>
    <row r="97" ht="10.5" customHeight="1" outlineLevel="1">
      <c r="A97" s="165" t="s">
        <v>363</v>
      </c>
      <c r="B97" s="210">
        <v>0.0</v>
      </c>
      <c r="C97" s="210">
        <v>0.0</v>
      </c>
      <c r="D97" s="210">
        <v>0.0</v>
      </c>
      <c r="E97" s="210">
        <v>0.0</v>
      </c>
      <c r="F97" s="211"/>
      <c r="G97" s="210">
        <v>0.0</v>
      </c>
      <c r="H97" s="210">
        <v>0.0</v>
      </c>
      <c r="I97" s="210">
        <v>0.0</v>
      </c>
      <c r="J97" s="210">
        <v>0.0</v>
      </c>
      <c r="K97" s="211"/>
      <c r="L97" s="210">
        <v>0.0</v>
      </c>
      <c r="M97" s="210">
        <v>0.0</v>
      </c>
      <c r="N97" s="210">
        <v>0.0</v>
      </c>
      <c r="O97" s="210"/>
      <c r="P97" s="211"/>
      <c r="Q97" s="210"/>
      <c r="R97" s="210"/>
      <c r="S97" s="210"/>
      <c r="T97" s="210"/>
      <c r="U97" s="211"/>
      <c r="V97" s="210"/>
      <c r="W97" s="210"/>
      <c r="X97" s="210"/>
      <c r="Y97" s="210"/>
      <c r="Z97" s="211"/>
      <c r="AA97" s="210"/>
      <c r="AB97" s="210"/>
      <c r="AC97" s="210"/>
      <c r="AD97" s="210"/>
      <c r="AE97" s="211"/>
      <c r="AF97" s="210"/>
      <c r="AG97" s="210"/>
      <c r="AH97" s="210"/>
      <c r="AI97" s="210"/>
      <c r="AJ97" s="211"/>
      <c r="AK97" s="210"/>
      <c r="AL97" s="210"/>
      <c r="AM97" s="210"/>
      <c r="AN97" s="210"/>
      <c r="AO97" s="211"/>
    </row>
    <row r="98" ht="10.5" customHeight="1" outlineLevel="1">
      <c r="A98" s="165" t="s">
        <v>364</v>
      </c>
      <c r="B98" s="210">
        <v>0.0</v>
      </c>
      <c r="C98" s="210">
        <v>0.0</v>
      </c>
      <c r="D98" s="210">
        <v>0.0</v>
      </c>
      <c r="E98" s="210">
        <v>0.0</v>
      </c>
      <c r="F98" s="211"/>
      <c r="G98" s="210">
        <v>0.0</v>
      </c>
      <c r="H98" s="210">
        <v>0.0</v>
      </c>
      <c r="I98" s="210">
        <v>0.0</v>
      </c>
      <c r="J98" s="210">
        <v>0.0</v>
      </c>
      <c r="K98" s="211"/>
      <c r="L98" s="210">
        <v>0.0</v>
      </c>
      <c r="M98" s="210">
        <v>0.0</v>
      </c>
      <c r="N98" s="210">
        <v>0.0</v>
      </c>
      <c r="O98" s="210"/>
      <c r="P98" s="211"/>
      <c r="Q98" s="210"/>
      <c r="R98" s="210"/>
      <c r="S98" s="210"/>
      <c r="T98" s="210"/>
      <c r="U98" s="211"/>
      <c r="V98" s="210"/>
      <c r="W98" s="210"/>
      <c r="X98" s="210"/>
      <c r="Y98" s="210"/>
      <c r="Z98" s="211"/>
      <c r="AA98" s="210"/>
      <c r="AB98" s="210"/>
      <c r="AC98" s="210"/>
      <c r="AD98" s="210"/>
      <c r="AE98" s="211"/>
      <c r="AF98" s="210"/>
      <c r="AG98" s="210"/>
      <c r="AH98" s="210"/>
      <c r="AI98" s="210"/>
      <c r="AJ98" s="211"/>
      <c r="AK98" s="210"/>
      <c r="AL98" s="210"/>
      <c r="AM98" s="210"/>
      <c r="AN98" s="210"/>
      <c r="AO98" s="211"/>
    </row>
    <row r="99" ht="10.5" customHeight="1" outlineLevel="1">
      <c r="A99" s="165" t="s">
        <v>365</v>
      </c>
      <c r="B99" s="210">
        <v>0.0</v>
      </c>
      <c r="C99" s="210">
        <v>0.0</v>
      </c>
      <c r="D99" s="210">
        <v>0.0</v>
      </c>
      <c r="E99" s="210">
        <v>0.0</v>
      </c>
      <c r="F99" s="211"/>
      <c r="G99" s="210">
        <v>0.0</v>
      </c>
      <c r="H99" s="210">
        <v>0.0</v>
      </c>
      <c r="I99" s="210">
        <v>0.0</v>
      </c>
      <c r="J99" s="210">
        <v>0.0</v>
      </c>
      <c r="K99" s="211"/>
      <c r="L99" s="210">
        <v>0.0</v>
      </c>
      <c r="M99" s="210">
        <v>0.0</v>
      </c>
      <c r="N99" s="210">
        <v>0.0</v>
      </c>
      <c r="O99" s="210"/>
      <c r="P99" s="211"/>
      <c r="Q99" s="210"/>
      <c r="R99" s="210"/>
      <c r="S99" s="210"/>
      <c r="T99" s="210"/>
      <c r="U99" s="211"/>
      <c r="V99" s="210"/>
      <c r="W99" s="210"/>
      <c r="X99" s="210"/>
      <c r="Y99" s="210"/>
      <c r="Z99" s="211"/>
      <c r="AA99" s="210"/>
      <c r="AB99" s="210"/>
      <c r="AC99" s="210"/>
      <c r="AD99" s="210"/>
      <c r="AE99" s="211"/>
      <c r="AF99" s="210"/>
      <c r="AG99" s="210"/>
      <c r="AH99" s="210"/>
      <c r="AI99" s="210"/>
      <c r="AJ99" s="211"/>
      <c r="AK99" s="210"/>
      <c r="AL99" s="210"/>
      <c r="AM99" s="210"/>
      <c r="AN99" s="210"/>
      <c r="AO99" s="211"/>
    </row>
    <row r="100" ht="10.5" customHeight="1" outlineLevel="1">
      <c r="A100" s="165" t="s">
        <v>214</v>
      </c>
      <c r="B100" s="210">
        <v>0.0</v>
      </c>
      <c r="C100" s="210">
        <v>0.0</v>
      </c>
      <c r="D100" s="210">
        <v>0.0</v>
      </c>
      <c r="E100" s="210">
        <v>0.0</v>
      </c>
      <c r="F100" s="211"/>
      <c r="G100" s="210">
        <v>0.0</v>
      </c>
      <c r="H100" s="210">
        <v>2.285</v>
      </c>
      <c r="I100" s="210">
        <v>2.285</v>
      </c>
      <c r="J100" s="210">
        <v>0.0</v>
      </c>
      <c r="K100" s="211"/>
      <c r="L100" s="210">
        <v>0.0</v>
      </c>
      <c r="M100" s="210">
        <v>0.0</v>
      </c>
      <c r="N100" s="210">
        <v>0.0</v>
      </c>
      <c r="O100" s="210"/>
      <c r="P100" s="211"/>
      <c r="Q100" s="210"/>
      <c r="R100" s="210"/>
      <c r="S100" s="210"/>
      <c r="T100" s="210"/>
      <c r="U100" s="211"/>
      <c r="V100" s="210"/>
      <c r="W100" s="210"/>
      <c r="X100" s="210"/>
      <c r="Y100" s="210"/>
      <c r="Z100" s="211"/>
      <c r="AA100" s="210"/>
      <c r="AB100" s="210"/>
      <c r="AC100" s="210"/>
      <c r="AD100" s="210"/>
      <c r="AE100" s="211"/>
      <c r="AF100" s="210"/>
      <c r="AG100" s="210"/>
      <c r="AH100" s="210"/>
      <c r="AI100" s="210"/>
      <c r="AJ100" s="211"/>
      <c r="AK100" s="210"/>
      <c r="AL100" s="210"/>
      <c r="AM100" s="210"/>
      <c r="AN100" s="210"/>
      <c r="AO100" s="211"/>
    </row>
    <row r="101" ht="10.5" customHeight="1" outlineLevel="1">
      <c r="A101" s="165" t="s">
        <v>366</v>
      </c>
      <c r="B101" s="210">
        <v>0.0</v>
      </c>
      <c r="C101" s="210">
        <v>0.0</v>
      </c>
      <c r="D101" s="210">
        <v>0.0</v>
      </c>
      <c r="E101" s="210">
        <v>0.0</v>
      </c>
      <c r="F101" s="211"/>
      <c r="G101" s="210">
        <v>0.0</v>
      </c>
      <c r="H101" s="210">
        <v>0.0</v>
      </c>
      <c r="I101" s="210">
        <v>0.0</v>
      </c>
      <c r="J101" s="210">
        <v>2.285</v>
      </c>
      <c r="K101" s="211"/>
      <c r="L101" s="210">
        <v>0.0</v>
      </c>
      <c r="M101" s="210">
        <v>0.0</v>
      </c>
      <c r="N101" s="210">
        <v>0.0</v>
      </c>
      <c r="O101" s="210"/>
      <c r="P101" s="211"/>
      <c r="Q101" s="210"/>
      <c r="R101" s="210"/>
      <c r="S101" s="210"/>
      <c r="T101" s="210"/>
      <c r="U101" s="211"/>
      <c r="V101" s="210"/>
      <c r="W101" s="210"/>
      <c r="X101" s="210"/>
      <c r="Y101" s="210"/>
      <c r="Z101" s="211"/>
      <c r="AA101" s="210"/>
      <c r="AB101" s="210"/>
      <c r="AC101" s="210"/>
      <c r="AD101" s="210"/>
      <c r="AE101" s="211"/>
      <c r="AF101" s="210"/>
      <c r="AG101" s="210"/>
      <c r="AH101" s="210"/>
      <c r="AI101" s="210"/>
      <c r="AJ101" s="211"/>
      <c r="AK101" s="210"/>
      <c r="AL101" s="210"/>
      <c r="AM101" s="210"/>
      <c r="AN101" s="210"/>
      <c r="AO101" s="211"/>
    </row>
    <row r="102" ht="10.5" customHeight="1" outlineLevel="1">
      <c r="A102" s="165" t="s">
        <v>367</v>
      </c>
      <c r="B102" s="210">
        <v>0.0</v>
      </c>
      <c r="C102" s="210">
        <v>-0.944</v>
      </c>
      <c r="D102" s="210">
        <v>-2.224</v>
      </c>
      <c r="E102" s="210">
        <v>-3.273</v>
      </c>
      <c r="F102" s="211"/>
      <c r="G102" s="210">
        <v>-0.871</v>
      </c>
      <c r="H102" s="210">
        <v>-1.879</v>
      </c>
      <c r="I102" s="210">
        <v>-2.658</v>
      </c>
      <c r="J102" s="210">
        <v>-3.307</v>
      </c>
      <c r="K102" s="211"/>
      <c r="L102" s="210">
        <v>-0.488</v>
      </c>
      <c r="M102" s="210">
        <v>-0.837</v>
      </c>
      <c r="N102" s="210">
        <v>-1.109</v>
      </c>
      <c r="O102" s="210"/>
      <c r="P102" s="211"/>
      <c r="Q102" s="210"/>
      <c r="R102" s="210"/>
      <c r="S102" s="210"/>
      <c r="T102" s="210"/>
      <c r="U102" s="211"/>
      <c r="V102" s="210"/>
      <c r="W102" s="210"/>
      <c r="X102" s="210"/>
      <c r="Y102" s="210"/>
      <c r="Z102" s="211"/>
      <c r="AA102" s="210"/>
      <c r="AB102" s="210"/>
      <c r="AC102" s="210"/>
      <c r="AD102" s="210"/>
      <c r="AE102" s="211"/>
      <c r="AF102" s="210"/>
      <c r="AG102" s="210"/>
      <c r="AH102" s="210"/>
      <c r="AI102" s="210"/>
      <c r="AJ102" s="211"/>
      <c r="AK102" s="210"/>
      <c r="AL102" s="210"/>
      <c r="AM102" s="210"/>
      <c r="AN102" s="210"/>
      <c r="AO102" s="211"/>
    </row>
    <row r="103" ht="10.5" customHeight="1" outlineLevel="1">
      <c r="A103" s="165" t="s">
        <v>178</v>
      </c>
      <c r="B103" s="210">
        <v>0.265</v>
      </c>
      <c r="C103" s="210">
        <v>0.338</v>
      </c>
      <c r="D103" s="210">
        <v>0.0</v>
      </c>
      <c r="E103" s="210">
        <v>1.994</v>
      </c>
      <c r="F103" s="211"/>
      <c r="G103" s="210">
        <v>1.2</v>
      </c>
      <c r="H103" s="210">
        <v>2.416</v>
      </c>
      <c r="I103" s="210">
        <v>3.198</v>
      </c>
      <c r="J103" s="210">
        <v>4.042</v>
      </c>
      <c r="K103" s="211"/>
      <c r="L103" s="210">
        <v>0.805</v>
      </c>
      <c r="M103" s="210">
        <v>1.433</v>
      </c>
      <c r="N103" s="210">
        <v>2.005</v>
      </c>
      <c r="O103" s="210"/>
      <c r="P103" s="211"/>
      <c r="Q103" s="210"/>
      <c r="R103" s="210"/>
      <c r="S103" s="210"/>
      <c r="T103" s="210"/>
      <c r="U103" s="211"/>
      <c r="V103" s="210"/>
      <c r="W103" s="210"/>
      <c r="X103" s="210"/>
      <c r="Y103" s="210"/>
      <c r="Z103" s="211"/>
      <c r="AA103" s="210"/>
      <c r="AB103" s="210"/>
      <c r="AC103" s="210"/>
      <c r="AD103" s="210"/>
      <c r="AE103" s="211"/>
      <c r="AF103" s="210"/>
      <c r="AG103" s="210"/>
      <c r="AH103" s="210"/>
      <c r="AI103" s="210"/>
      <c r="AJ103" s="211"/>
      <c r="AK103" s="210"/>
      <c r="AL103" s="210"/>
      <c r="AM103" s="210"/>
      <c r="AN103" s="210"/>
      <c r="AO103" s="211"/>
    </row>
    <row r="104" ht="10.5" customHeight="1" outlineLevel="1">
      <c r="A104" s="165" t="s">
        <v>368</v>
      </c>
      <c r="B104" s="210">
        <v>-0.483</v>
      </c>
      <c r="C104" s="210">
        <v>-0.979</v>
      </c>
      <c r="D104" s="210">
        <v>-1.49</v>
      </c>
      <c r="E104" s="210">
        <v>-2.066</v>
      </c>
      <c r="F104" s="211"/>
      <c r="G104" s="210">
        <v>-0.528</v>
      </c>
      <c r="H104" s="210">
        <v>-1.065</v>
      </c>
      <c r="I104" s="210">
        <v>-1.618</v>
      </c>
      <c r="J104" s="210">
        <v>-2.18</v>
      </c>
      <c r="K104" s="211"/>
      <c r="L104" s="210">
        <v>-0.561</v>
      </c>
      <c r="M104" s="210">
        <v>-1.139</v>
      </c>
      <c r="N104" s="210">
        <v>-1.733</v>
      </c>
      <c r="O104" s="210"/>
      <c r="P104" s="211"/>
      <c r="Q104" s="210"/>
      <c r="R104" s="210"/>
      <c r="S104" s="210"/>
      <c r="T104" s="210"/>
      <c r="U104" s="211"/>
      <c r="V104" s="210"/>
      <c r="W104" s="210"/>
      <c r="X104" s="210"/>
      <c r="Y104" s="210"/>
      <c r="Z104" s="211"/>
      <c r="AA104" s="210"/>
      <c r="AB104" s="210"/>
      <c r="AC104" s="210"/>
      <c r="AD104" s="210"/>
      <c r="AE104" s="211"/>
      <c r="AF104" s="210"/>
      <c r="AG104" s="210"/>
      <c r="AH104" s="210"/>
      <c r="AI104" s="210"/>
      <c r="AJ104" s="211"/>
      <c r="AK104" s="210"/>
      <c r="AL104" s="210"/>
      <c r="AM104" s="210"/>
      <c r="AN104" s="210"/>
      <c r="AO104" s="211"/>
    </row>
    <row r="105" ht="10.5" customHeight="1" outlineLevel="1">
      <c r="A105" s="165" t="s">
        <v>369</v>
      </c>
      <c r="B105" s="210">
        <v>0.255</v>
      </c>
      <c r="C105" s="210">
        <v>0.095</v>
      </c>
      <c r="D105" s="210">
        <v>0.0</v>
      </c>
      <c r="E105" s="210">
        <v>2.732</v>
      </c>
      <c r="F105" s="211"/>
      <c r="G105" s="210">
        <v>0.475</v>
      </c>
      <c r="H105" s="210">
        <v>0.557</v>
      </c>
      <c r="I105" s="210">
        <v>0.849</v>
      </c>
      <c r="J105" s="210">
        <v>1.145</v>
      </c>
      <c r="K105" s="211"/>
      <c r="L105" s="210">
        <v>0.292</v>
      </c>
      <c r="M105" s="210">
        <v>4.603</v>
      </c>
      <c r="N105" s="210">
        <v>5.089</v>
      </c>
      <c r="O105" s="210"/>
      <c r="P105" s="211"/>
      <c r="Q105" s="210"/>
      <c r="R105" s="210"/>
      <c r="S105" s="210"/>
      <c r="T105" s="210"/>
      <c r="U105" s="211"/>
      <c r="V105" s="210"/>
      <c r="W105" s="210"/>
      <c r="X105" s="210"/>
      <c r="Y105" s="210"/>
      <c r="Z105" s="211"/>
      <c r="AA105" s="210"/>
      <c r="AB105" s="210"/>
      <c r="AC105" s="210"/>
      <c r="AD105" s="210"/>
      <c r="AE105" s="211"/>
      <c r="AF105" s="210"/>
      <c r="AG105" s="210"/>
      <c r="AH105" s="210"/>
      <c r="AI105" s="210"/>
      <c r="AJ105" s="211"/>
      <c r="AK105" s="210"/>
      <c r="AL105" s="210"/>
      <c r="AM105" s="210"/>
      <c r="AN105" s="210"/>
      <c r="AO105" s="211"/>
    </row>
    <row r="106" ht="10.5" customHeight="1" outlineLevel="1">
      <c r="A106" s="165" t="s">
        <v>370</v>
      </c>
      <c r="B106" s="210">
        <v>8.082</v>
      </c>
      <c r="C106" s="210">
        <v>21.575</v>
      </c>
      <c r="D106" s="210">
        <v>34.884</v>
      </c>
      <c r="E106" s="210">
        <v>51.189</v>
      </c>
      <c r="F106" s="211"/>
      <c r="G106" s="210">
        <v>11.367</v>
      </c>
      <c r="H106" s="210">
        <v>26.761</v>
      </c>
      <c r="I106" s="210">
        <v>40.077</v>
      </c>
      <c r="J106" s="210">
        <v>55.689</v>
      </c>
      <c r="K106" s="211"/>
      <c r="L106" s="210">
        <v>10.961</v>
      </c>
      <c r="M106" s="210">
        <v>27.619</v>
      </c>
      <c r="N106" s="210">
        <v>54.408</v>
      </c>
      <c r="O106" s="210"/>
      <c r="P106" s="211"/>
      <c r="Q106" s="210"/>
      <c r="R106" s="210"/>
      <c r="S106" s="210"/>
      <c r="T106" s="210"/>
      <c r="U106" s="211"/>
      <c r="V106" s="210"/>
      <c r="W106" s="210"/>
      <c r="X106" s="210"/>
      <c r="Y106" s="210"/>
      <c r="Z106" s="211"/>
      <c r="AA106" s="210"/>
      <c r="AB106" s="210"/>
      <c r="AC106" s="210"/>
      <c r="AD106" s="210"/>
      <c r="AE106" s="211"/>
      <c r="AF106" s="210"/>
      <c r="AG106" s="210"/>
      <c r="AH106" s="210"/>
      <c r="AI106" s="210"/>
      <c r="AJ106" s="211"/>
      <c r="AK106" s="210"/>
      <c r="AL106" s="210"/>
      <c r="AM106" s="210"/>
      <c r="AN106" s="210"/>
      <c r="AO106" s="211"/>
    </row>
    <row r="107" ht="10.5" customHeight="1" outlineLevel="1">
      <c r="A107" s="165" t="s">
        <v>371</v>
      </c>
      <c r="B107" s="210">
        <v>0.0</v>
      </c>
      <c r="C107" s="210">
        <v>0.0</v>
      </c>
      <c r="D107" s="210">
        <v>0.58</v>
      </c>
      <c r="E107" s="210">
        <v>0.0</v>
      </c>
      <c r="F107" s="211"/>
      <c r="G107" s="210">
        <v>0.0</v>
      </c>
      <c r="H107" s="210">
        <v>0.0</v>
      </c>
      <c r="I107" s="210">
        <v>0.0</v>
      </c>
      <c r="J107" s="210">
        <v>0.0</v>
      </c>
      <c r="K107" s="211"/>
      <c r="L107" s="210">
        <v>0.0</v>
      </c>
      <c r="M107" s="210">
        <v>0.0</v>
      </c>
      <c r="N107" s="210">
        <v>0.0</v>
      </c>
      <c r="O107" s="210"/>
      <c r="P107" s="211"/>
      <c r="Q107" s="210"/>
      <c r="R107" s="210"/>
      <c r="S107" s="210"/>
      <c r="T107" s="210"/>
      <c r="U107" s="211"/>
      <c r="V107" s="210"/>
      <c r="W107" s="210"/>
      <c r="X107" s="210"/>
      <c r="Y107" s="210"/>
      <c r="Z107" s="211"/>
      <c r="AA107" s="210"/>
      <c r="AB107" s="210"/>
      <c r="AC107" s="210"/>
      <c r="AD107" s="210"/>
      <c r="AE107" s="211"/>
      <c r="AF107" s="210"/>
      <c r="AG107" s="210"/>
      <c r="AH107" s="210"/>
      <c r="AI107" s="210"/>
      <c r="AJ107" s="211"/>
      <c r="AK107" s="210"/>
      <c r="AL107" s="210"/>
      <c r="AM107" s="210"/>
      <c r="AN107" s="210"/>
      <c r="AO107" s="211"/>
    </row>
    <row r="108" ht="10.5" customHeight="1" outlineLevel="1">
      <c r="A108" s="165" t="s">
        <v>372</v>
      </c>
      <c r="B108" s="210">
        <v>0.0</v>
      </c>
      <c r="C108" s="210">
        <v>0.0</v>
      </c>
      <c r="D108" s="210">
        <v>0.0</v>
      </c>
      <c r="E108" s="210">
        <v>0.0</v>
      </c>
      <c r="F108" s="211"/>
      <c r="G108" s="210">
        <v>0.0</v>
      </c>
      <c r="H108" s="210">
        <v>0.0</v>
      </c>
      <c r="I108" s="210">
        <v>0.0</v>
      </c>
      <c r="J108" s="210">
        <v>0.0</v>
      </c>
      <c r="K108" s="211"/>
      <c r="L108" s="210">
        <v>0.0</v>
      </c>
      <c r="M108" s="210">
        <v>0.0</v>
      </c>
      <c r="N108" s="210">
        <v>0.0</v>
      </c>
      <c r="O108" s="210"/>
      <c r="P108" s="211"/>
      <c r="Q108" s="210"/>
      <c r="R108" s="210"/>
      <c r="S108" s="210"/>
      <c r="T108" s="210"/>
      <c r="U108" s="211"/>
      <c r="V108" s="210"/>
      <c r="W108" s="210"/>
      <c r="X108" s="210"/>
      <c r="Y108" s="210"/>
      <c r="Z108" s="211"/>
      <c r="AA108" s="210"/>
      <c r="AB108" s="210"/>
      <c r="AC108" s="210"/>
      <c r="AD108" s="210"/>
      <c r="AE108" s="211"/>
      <c r="AF108" s="210"/>
      <c r="AG108" s="210"/>
      <c r="AH108" s="210"/>
      <c r="AI108" s="210"/>
      <c r="AJ108" s="211"/>
      <c r="AK108" s="210"/>
      <c r="AL108" s="210"/>
      <c r="AM108" s="210"/>
      <c r="AN108" s="210"/>
      <c r="AO108" s="211"/>
    </row>
    <row r="109" ht="10.5" customHeight="1" outlineLevel="1">
      <c r="A109" s="165" t="s">
        <v>373</v>
      </c>
      <c r="B109" s="210">
        <v>0.0</v>
      </c>
      <c r="C109" s="210">
        <v>0.0</v>
      </c>
      <c r="D109" s="210">
        <v>-0.006</v>
      </c>
      <c r="E109" s="210">
        <v>0.0</v>
      </c>
      <c r="F109" s="211"/>
      <c r="G109" s="210">
        <v>0.0</v>
      </c>
      <c r="H109" s="210">
        <v>0.0</v>
      </c>
      <c r="I109" s="210">
        <v>-0.774</v>
      </c>
      <c r="J109" s="210">
        <v>0.0</v>
      </c>
      <c r="K109" s="211"/>
      <c r="L109" s="210">
        <v>0.0</v>
      </c>
      <c r="M109" s="210">
        <v>0.0</v>
      </c>
      <c r="N109" s="210">
        <v>-1.769</v>
      </c>
      <c r="O109" s="210"/>
      <c r="P109" s="211"/>
      <c r="Q109" s="210"/>
      <c r="R109" s="210"/>
      <c r="S109" s="210"/>
      <c r="T109" s="210"/>
      <c r="U109" s="211"/>
      <c r="V109" s="210"/>
      <c r="W109" s="210"/>
      <c r="X109" s="210"/>
      <c r="Y109" s="210"/>
      <c r="Z109" s="211"/>
      <c r="AA109" s="210"/>
      <c r="AB109" s="210"/>
      <c r="AC109" s="210"/>
      <c r="AD109" s="210"/>
      <c r="AE109" s="211"/>
      <c r="AF109" s="210"/>
      <c r="AG109" s="210"/>
      <c r="AH109" s="210"/>
      <c r="AI109" s="210"/>
      <c r="AJ109" s="211"/>
      <c r="AK109" s="210"/>
      <c r="AL109" s="210"/>
      <c r="AM109" s="210"/>
      <c r="AN109" s="210"/>
      <c r="AO109" s="211"/>
    </row>
    <row r="110" ht="10.5" customHeight="1" outlineLevel="1">
      <c r="A110" s="165" t="s">
        <v>374</v>
      </c>
      <c r="B110" s="210">
        <v>0.0</v>
      </c>
      <c r="C110" s="210">
        <v>0.0</v>
      </c>
      <c r="D110" s="210">
        <v>0.0</v>
      </c>
      <c r="E110" s="210">
        <v>-1.964</v>
      </c>
      <c r="F110" s="211"/>
      <c r="G110" s="210">
        <v>-0.362</v>
      </c>
      <c r="H110" s="210">
        <v>-1.349</v>
      </c>
      <c r="I110" s="210">
        <v>0.0</v>
      </c>
      <c r="J110" s="210">
        <v>1.3</v>
      </c>
      <c r="K110" s="211"/>
      <c r="L110" s="210">
        <v>-0.084</v>
      </c>
      <c r="M110" s="210">
        <v>-1.294</v>
      </c>
      <c r="N110" s="210">
        <v>0.0</v>
      </c>
      <c r="O110" s="210"/>
      <c r="P110" s="211"/>
      <c r="Q110" s="210"/>
      <c r="R110" s="210"/>
      <c r="S110" s="210"/>
      <c r="T110" s="210"/>
      <c r="U110" s="211"/>
      <c r="V110" s="210"/>
      <c r="W110" s="210"/>
      <c r="X110" s="210"/>
      <c r="Y110" s="210"/>
      <c r="Z110" s="211"/>
      <c r="AA110" s="210"/>
      <c r="AB110" s="210"/>
      <c r="AC110" s="210"/>
      <c r="AD110" s="210"/>
      <c r="AE110" s="211"/>
      <c r="AF110" s="210"/>
      <c r="AG110" s="210"/>
      <c r="AH110" s="210"/>
      <c r="AI110" s="210"/>
      <c r="AJ110" s="211"/>
      <c r="AK110" s="210"/>
      <c r="AL110" s="210"/>
      <c r="AM110" s="210"/>
      <c r="AN110" s="210"/>
      <c r="AO110" s="211"/>
    </row>
    <row r="111" ht="10.5" customHeight="1" outlineLevel="1">
      <c r="A111" s="165" t="s">
        <v>375</v>
      </c>
      <c r="B111" s="210">
        <v>0.0</v>
      </c>
      <c r="C111" s="210">
        <v>0.0</v>
      </c>
      <c r="D111" s="210">
        <v>0.0</v>
      </c>
      <c r="E111" s="210">
        <v>0.0</v>
      </c>
      <c r="F111" s="211"/>
      <c r="G111" s="210">
        <v>0.867</v>
      </c>
      <c r="H111" s="210">
        <v>0.0</v>
      </c>
      <c r="I111" s="210">
        <v>0.4</v>
      </c>
      <c r="J111" s="210">
        <v>-0.671</v>
      </c>
      <c r="K111" s="211"/>
      <c r="L111" s="210">
        <v>0.056</v>
      </c>
      <c r="M111" s="210">
        <v>0.0</v>
      </c>
      <c r="N111" s="210">
        <v>0.0</v>
      </c>
      <c r="O111" s="210"/>
      <c r="P111" s="211"/>
      <c r="Q111" s="210"/>
      <c r="R111" s="210"/>
      <c r="S111" s="210"/>
      <c r="T111" s="210"/>
      <c r="U111" s="211"/>
      <c r="V111" s="210"/>
      <c r="W111" s="210"/>
      <c r="X111" s="210"/>
      <c r="Y111" s="210"/>
      <c r="Z111" s="211"/>
      <c r="AA111" s="210"/>
      <c r="AB111" s="210"/>
      <c r="AC111" s="210"/>
      <c r="AD111" s="210"/>
      <c r="AE111" s="211"/>
      <c r="AF111" s="210"/>
      <c r="AG111" s="210"/>
      <c r="AH111" s="210"/>
      <c r="AI111" s="210"/>
      <c r="AJ111" s="211"/>
      <c r="AK111" s="210"/>
      <c r="AL111" s="210"/>
      <c r="AM111" s="210"/>
      <c r="AN111" s="210"/>
      <c r="AO111" s="211"/>
    </row>
    <row r="112" ht="10.5" customHeight="1" outlineLevel="1">
      <c r="A112" s="165" t="s">
        <v>193</v>
      </c>
      <c r="B112" s="210">
        <v>0.0</v>
      </c>
      <c r="C112" s="210">
        <v>0.11</v>
      </c>
      <c r="D112" s="210">
        <v>0.11</v>
      </c>
      <c r="E112" s="210">
        <v>0.11</v>
      </c>
      <c r="F112" s="211"/>
      <c r="G112" s="210">
        <v>0.0</v>
      </c>
      <c r="H112" s="210">
        <v>0.0</v>
      </c>
      <c r="I112" s="210">
        <v>0.0</v>
      </c>
      <c r="J112" s="210">
        <v>0.0</v>
      </c>
      <c r="K112" s="211"/>
      <c r="L112" s="210">
        <v>0.0</v>
      </c>
      <c r="M112" s="210">
        <v>0.0</v>
      </c>
      <c r="N112" s="210">
        <v>0.0</v>
      </c>
      <c r="O112" s="210"/>
      <c r="P112" s="211"/>
      <c r="Q112" s="210"/>
      <c r="R112" s="210"/>
      <c r="S112" s="210"/>
      <c r="T112" s="210"/>
      <c r="U112" s="211"/>
      <c r="V112" s="210"/>
      <c r="W112" s="210"/>
      <c r="X112" s="210"/>
      <c r="Y112" s="210"/>
      <c r="Z112" s="211"/>
      <c r="AA112" s="210"/>
      <c r="AB112" s="210"/>
      <c r="AC112" s="210"/>
      <c r="AD112" s="210"/>
      <c r="AE112" s="211"/>
      <c r="AF112" s="210"/>
      <c r="AG112" s="210"/>
      <c r="AH112" s="210"/>
      <c r="AI112" s="210"/>
      <c r="AJ112" s="211"/>
      <c r="AK112" s="210"/>
      <c r="AL112" s="210"/>
      <c r="AM112" s="210"/>
      <c r="AN112" s="210"/>
      <c r="AO112" s="211"/>
    </row>
    <row r="113" ht="10.5" customHeight="1" outlineLevel="1">
      <c r="A113" s="165" t="s">
        <v>208</v>
      </c>
      <c r="B113" s="210">
        <v>0.0</v>
      </c>
      <c r="C113" s="210">
        <v>0.0</v>
      </c>
      <c r="D113" s="210">
        <v>0.0</v>
      </c>
      <c r="E113" s="210">
        <v>0.0</v>
      </c>
      <c r="F113" s="211"/>
      <c r="G113" s="210">
        <v>0.0</v>
      </c>
      <c r="H113" s="210">
        <v>0.0</v>
      </c>
      <c r="I113" s="210">
        <v>0.0</v>
      </c>
      <c r="J113" s="210">
        <v>0.0</v>
      </c>
      <c r="K113" s="211"/>
      <c r="L113" s="210">
        <v>0.0</v>
      </c>
      <c r="M113" s="210">
        <v>0.0</v>
      </c>
      <c r="N113" s="210">
        <v>-6.443</v>
      </c>
      <c r="O113" s="210"/>
      <c r="P113" s="211"/>
      <c r="Q113" s="210"/>
      <c r="R113" s="210"/>
      <c r="S113" s="210"/>
      <c r="T113" s="210"/>
      <c r="U113" s="211"/>
      <c r="V113" s="210"/>
      <c r="W113" s="210"/>
      <c r="X113" s="210"/>
      <c r="Y113" s="210"/>
      <c r="Z113" s="211"/>
      <c r="AA113" s="210"/>
      <c r="AB113" s="210"/>
      <c r="AC113" s="210"/>
      <c r="AD113" s="210"/>
      <c r="AE113" s="211"/>
      <c r="AF113" s="210"/>
      <c r="AG113" s="210"/>
      <c r="AH113" s="210"/>
      <c r="AI113" s="210"/>
      <c r="AJ113" s="211"/>
      <c r="AK113" s="210"/>
      <c r="AL113" s="210"/>
      <c r="AM113" s="210"/>
      <c r="AN113" s="210"/>
      <c r="AO113" s="211"/>
    </row>
    <row r="114" ht="10.5" customHeight="1" outlineLevel="1">
      <c r="A114" s="165" t="s">
        <v>376</v>
      </c>
      <c r="B114" s="210">
        <v>0.0</v>
      </c>
      <c r="C114" s="210">
        <v>0.0</v>
      </c>
      <c r="D114" s="210">
        <v>0.0</v>
      </c>
      <c r="E114" s="210">
        <v>0.0</v>
      </c>
      <c r="F114" s="211"/>
      <c r="G114" s="210">
        <v>0.0</v>
      </c>
      <c r="H114" s="210">
        <v>0.0</v>
      </c>
      <c r="I114" s="210">
        <v>0.0</v>
      </c>
      <c r="J114" s="210">
        <v>0.0</v>
      </c>
      <c r="K114" s="211"/>
      <c r="L114" s="210">
        <v>0.0</v>
      </c>
      <c r="M114" s="210">
        <v>0.0</v>
      </c>
      <c r="N114" s="210">
        <v>0.0</v>
      </c>
      <c r="O114" s="210"/>
      <c r="P114" s="211"/>
      <c r="Q114" s="210"/>
      <c r="R114" s="210"/>
      <c r="S114" s="210"/>
      <c r="T114" s="210"/>
      <c r="U114" s="211"/>
      <c r="V114" s="210"/>
      <c r="W114" s="210"/>
      <c r="X114" s="210"/>
      <c r="Y114" s="210"/>
      <c r="Z114" s="211"/>
      <c r="AA114" s="210"/>
      <c r="AB114" s="210"/>
      <c r="AC114" s="210"/>
      <c r="AD114" s="210"/>
      <c r="AE114" s="211"/>
      <c r="AF114" s="210"/>
      <c r="AG114" s="210"/>
      <c r="AH114" s="210"/>
      <c r="AI114" s="210"/>
      <c r="AJ114" s="211"/>
      <c r="AK114" s="210"/>
      <c r="AL114" s="210"/>
      <c r="AM114" s="210"/>
      <c r="AN114" s="210"/>
      <c r="AO114" s="211"/>
    </row>
    <row r="115" ht="10.5" customHeight="1" outlineLevel="1">
      <c r="A115" s="165" t="s">
        <v>377</v>
      </c>
      <c r="B115" s="210">
        <v>2.049</v>
      </c>
      <c r="C115" s="210">
        <v>4.793</v>
      </c>
      <c r="D115" s="210">
        <v>6.326</v>
      </c>
      <c r="E115" s="210">
        <v>7.906</v>
      </c>
      <c r="F115" s="211"/>
      <c r="G115" s="210">
        <v>0.975</v>
      </c>
      <c r="H115" s="210">
        <v>2.847</v>
      </c>
      <c r="I115" s="210">
        <v>5.965</v>
      </c>
      <c r="J115" s="210">
        <v>8.913</v>
      </c>
      <c r="K115" s="211"/>
      <c r="L115" s="210">
        <v>2.631</v>
      </c>
      <c r="M115" s="210">
        <v>6.138</v>
      </c>
      <c r="N115" s="210">
        <v>9.132</v>
      </c>
      <c r="O115" s="210"/>
      <c r="P115" s="211"/>
      <c r="Q115" s="210"/>
      <c r="R115" s="210"/>
      <c r="S115" s="210"/>
      <c r="T115" s="210"/>
      <c r="U115" s="211"/>
      <c r="V115" s="210"/>
      <c r="W115" s="210"/>
      <c r="X115" s="210"/>
      <c r="Y115" s="210"/>
      <c r="Z115" s="211"/>
      <c r="AA115" s="210"/>
      <c r="AB115" s="210"/>
      <c r="AC115" s="210"/>
      <c r="AD115" s="210"/>
      <c r="AE115" s="211"/>
      <c r="AF115" s="210"/>
      <c r="AG115" s="210"/>
      <c r="AH115" s="210"/>
      <c r="AI115" s="210"/>
      <c r="AJ115" s="211"/>
      <c r="AK115" s="210"/>
      <c r="AL115" s="210"/>
      <c r="AM115" s="210"/>
      <c r="AN115" s="210"/>
      <c r="AO115" s="211"/>
    </row>
    <row r="116" ht="10.5" customHeight="1" outlineLevel="1">
      <c r="A116" s="165" t="s">
        <v>210</v>
      </c>
      <c r="B116" s="210">
        <v>-0.044</v>
      </c>
      <c r="C116" s="210">
        <v>-0.051</v>
      </c>
      <c r="D116" s="210">
        <v>0.133</v>
      </c>
      <c r="E116" s="210">
        <v>-0.394</v>
      </c>
      <c r="F116" s="211"/>
      <c r="G116" s="210">
        <v>-0.041</v>
      </c>
      <c r="H116" s="210">
        <v>1.3</v>
      </c>
      <c r="I116" s="210">
        <v>0.138</v>
      </c>
      <c r="J116" s="210">
        <v>1.28</v>
      </c>
      <c r="K116" s="211"/>
      <c r="L116" s="210">
        <f>-0.316-1.461</f>
        <v>-1.777</v>
      </c>
      <c r="M116" s="210">
        <f>-1.46+0.21</f>
        <v>-1.25</v>
      </c>
      <c r="N116" s="210">
        <f>-1.461-0.15</f>
        <v>-1.611</v>
      </c>
      <c r="O116" s="210"/>
      <c r="P116" s="211"/>
      <c r="Q116" s="210"/>
      <c r="R116" s="210"/>
      <c r="S116" s="210"/>
      <c r="T116" s="210"/>
      <c r="U116" s="211"/>
      <c r="V116" s="210"/>
      <c r="W116" s="210"/>
      <c r="X116" s="210"/>
      <c r="Y116" s="210"/>
      <c r="Z116" s="211"/>
      <c r="AA116" s="210"/>
      <c r="AB116" s="210"/>
      <c r="AC116" s="210"/>
      <c r="AD116" s="210"/>
      <c r="AE116" s="211"/>
      <c r="AF116" s="210"/>
      <c r="AG116" s="210"/>
      <c r="AH116" s="210"/>
      <c r="AI116" s="210"/>
      <c r="AJ116" s="211"/>
      <c r="AK116" s="210"/>
      <c r="AL116" s="210"/>
      <c r="AM116" s="210"/>
      <c r="AN116" s="210"/>
      <c r="AO116" s="211"/>
    </row>
    <row r="117" ht="10.5" customHeight="1" outlineLevel="1">
      <c r="A117" s="165" t="s">
        <v>378</v>
      </c>
      <c r="B117" s="210"/>
      <c r="C117" s="210"/>
      <c r="D117" s="210"/>
      <c r="E117" s="210"/>
      <c r="F117" s="211"/>
      <c r="G117" s="210"/>
      <c r="H117" s="210"/>
      <c r="I117" s="210"/>
      <c r="J117" s="210"/>
      <c r="K117" s="211"/>
      <c r="L117" s="210">
        <v>0.0</v>
      </c>
      <c r="M117" s="210">
        <v>0.0</v>
      </c>
      <c r="N117" s="210">
        <v>0.0</v>
      </c>
      <c r="O117" s="210"/>
      <c r="P117" s="211"/>
      <c r="Q117" s="210"/>
      <c r="R117" s="210"/>
      <c r="S117" s="210"/>
      <c r="T117" s="210"/>
      <c r="U117" s="211"/>
      <c r="V117" s="210"/>
      <c r="W117" s="210"/>
      <c r="X117" s="210"/>
      <c r="Y117" s="210"/>
      <c r="Z117" s="211"/>
      <c r="AA117" s="210"/>
      <c r="AB117" s="210"/>
      <c r="AC117" s="210"/>
      <c r="AD117" s="210"/>
      <c r="AE117" s="211"/>
      <c r="AF117" s="210"/>
      <c r="AG117" s="210"/>
      <c r="AH117" s="210"/>
      <c r="AI117" s="210"/>
      <c r="AJ117" s="211"/>
      <c r="AK117" s="210"/>
      <c r="AL117" s="210"/>
      <c r="AM117" s="210"/>
      <c r="AN117" s="210"/>
      <c r="AO117" s="211"/>
    </row>
    <row r="118" ht="10.5" customHeight="1" outlineLevel="1">
      <c r="A118" s="313" t="s">
        <v>305</v>
      </c>
      <c r="B118" s="210">
        <v>25.619</v>
      </c>
      <c r="C118" s="210">
        <v>-0.781</v>
      </c>
      <c r="D118" s="210">
        <v>10.086</v>
      </c>
      <c r="E118" s="210">
        <v>4.761</v>
      </c>
      <c r="F118" s="211"/>
      <c r="G118" s="210">
        <v>18.084</v>
      </c>
      <c r="H118" s="210">
        <v>0.38</v>
      </c>
      <c r="I118" s="210">
        <v>-7.443</v>
      </c>
      <c r="J118" s="210">
        <v>-36.459</v>
      </c>
      <c r="K118" s="211"/>
      <c r="L118" s="210">
        <v>38.49</v>
      </c>
      <c r="M118" s="210">
        <v>4.747</v>
      </c>
      <c r="N118" s="210">
        <v>7.484</v>
      </c>
      <c r="O118" s="210"/>
      <c r="P118" s="211"/>
      <c r="Q118" s="210"/>
      <c r="R118" s="210"/>
      <c r="S118" s="210"/>
      <c r="T118" s="210"/>
      <c r="U118" s="211"/>
      <c r="V118" s="210"/>
      <c r="W118" s="210"/>
      <c r="X118" s="210"/>
      <c r="Y118" s="210"/>
      <c r="Z118" s="211"/>
      <c r="AA118" s="210"/>
      <c r="AB118" s="210"/>
      <c r="AC118" s="210"/>
      <c r="AD118" s="210"/>
      <c r="AE118" s="211"/>
      <c r="AF118" s="210"/>
      <c r="AG118" s="210"/>
      <c r="AH118" s="210"/>
      <c r="AI118" s="210"/>
      <c r="AJ118" s="211"/>
      <c r="AK118" s="210"/>
      <c r="AL118" s="210"/>
      <c r="AM118" s="210"/>
      <c r="AN118" s="210"/>
      <c r="AO118" s="211"/>
    </row>
    <row r="119" ht="10.5" customHeight="1" outlineLevel="1">
      <c r="A119" s="313" t="s">
        <v>306</v>
      </c>
      <c r="B119" s="210">
        <v>0.0</v>
      </c>
      <c r="C119" s="210">
        <v>0.0</v>
      </c>
      <c r="D119" s="210">
        <v>0.0</v>
      </c>
      <c r="E119" s="210">
        <v>0.0</v>
      </c>
      <c r="F119" s="211"/>
      <c r="G119" s="210">
        <v>0.0</v>
      </c>
      <c r="H119" s="210">
        <v>0.0</v>
      </c>
      <c r="I119" s="210">
        <v>0.0</v>
      </c>
      <c r="J119" s="210">
        <v>0.0</v>
      </c>
      <c r="K119" s="211"/>
      <c r="L119" s="210">
        <v>0.0</v>
      </c>
      <c r="M119" s="210">
        <v>0.0</v>
      </c>
      <c r="N119" s="210">
        <v>0.0</v>
      </c>
      <c r="O119" s="210"/>
      <c r="P119" s="211"/>
      <c r="Q119" s="210"/>
      <c r="R119" s="210"/>
      <c r="S119" s="210"/>
      <c r="T119" s="210"/>
      <c r="U119" s="211"/>
      <c r="V119" s="210"/>
      <c r="W119" s="210"/>
      <c r="X119" s="210"/>
      <c r="Y119" s="210"/>
      <c r="Z119" s="211"/>
      <c r="AA119" s="210"/>
      <c r="AB119" s="210"/>
      <c r="AC119" s="210"/>
      <c r="AD119" s="210"/>
      <c r="AE119" s="211"/>
      <c r="AF119" s="210"/>
      <c r="AG119" s="210"/>
      <c r="AH119" s="210"/>
      <c r="AI119" s="210"/>
      <c r="AJ119" s="211"/>
      <c r="AK119" s="210"/>
      <c r="AL119" s="210"/>
      <c r="AM119" s="210"/>
      <c r="AN119" s="210"/>
      <c r="AO119" s="211"/>
    </row>
    <row r="120" ht="10.5" customHeight="1" outlineLevel="1">
      <c r="A120" s="313" t="s">
        <v>75</v>
      </c>
      <c r="B120" s="210">
        <v>0.266</v>
      </c>
      <c r="C120" s="210">
        <v>-1.58</v>
      </c>
      <c r="D120" s="210">
        <v>-2.27</v>
      </c>
      <c r="E120" s="210">
        <v>0.599</v>
      </c>
      <c r="F120" s="211"/>
      <c r="G120" s="210">
        <v>-0.287</v>
      </c>
      <c r="H120" s="210">
        <v>-0.544</v>
      </c>
      <c r="I120" s="210">
        <v>-0.201</v>
      </c>
      <c r="J120" s="210">
        <v>-1.484</v>
      </c>
      <c r="K120" s="211"/>
      <c r="L120" s="210">
        <v>4.172</v>
      </c>
      <c r="M120" s="210">
        <v>1.799</v>
      </c>
      <c r="N120" s="210">
        <v>-0.836</v>
      </c>
      <c r="O120" s="210"/>
      <c r="P120" s="211"/>
      <c r="Q120" s="210"/>
      <c r="R120" s="210"/>
      <c r="S120" s="210"/>
      <c r="T120" s="210"/>
      <c r="U120" s="211"/>
      <c r="V120" s="210"/>
      <c r="W120" s="210"/>
      <c r="X120" s="210"/>
      <c r="Y120" s="210"/>
      <c r="Z120" s="211"/>
      <c r="AA120" s="210"/>
      <c r="AB120" s="210"/>
      <c r="AC120" s="210"/>
      <c r="AD120" s="210"/>
      <c r="AE120" s="211"/>
      <c r="AF120" s="210"/>
      <c r="AG120" s="210"/>
      <c r="AH120" s="210"/>
      <c r="AI120" s="210"/>
      <c r="AJ120" s="211"/>
      <c r="AK120" s="210"/>
      <c r="AL120" s="210"/>
      <c r="AM120" s="210"/>
      <c r="AN120" s="210"/>
      <c r="AO120" s="211"/>
    </row>
    <row r="121" ht="10.5" customHeight="1" outlineLevel="1">
      <c r="A121" s="313" t="s">
        <v>379</v>
      </c>
      <c r="B121" s="210">
        <v>2.01</v>
      </c>
      <c r="C121" s="210">
        <v>4.431</v>
      </c>
      <c r="D121" s="210">
        <v>-1.722</v>
      </c>
      <c r="E121" s="210">
        <v>0.929</v>
      </c>
      <c r="F121" s="211"/>
      <c r="G121" s="210">
        <v>-6.444</v>
      </c>
      <c r="H121" s="210">
        <v>-6.313</v>
      </c>
      <c r="I121" s="210">
        <v>1.735</v>
      </c>
      <c r="J121" s="210">
        <v>-11.785</v>
      </c>
      <c r="K121" s="211"/>
      <c r="L121" s="210">
        <v>0.868</v>
      </c>
      <c r="M121" s="210">
        <v>-5.4</v>
      </c>
      <c r="N121" s="210">
        <v>1.581</v>
      </c>
      <c r="O121" s="210"/>
      <c r="P121" s="211"/>
      <c r="Q121" s="210"/>
      <c r="R121" s="210"/>
      <c r="S121" s="210"/>
      <c r="T121" s="210"/>
      <c r="U121" s="211"/>
      <c r="V121" s="210"/>
      <c r="W121" s="210"/>
      <c r="X121" s="210"/>
      <c r="Y121" s="210"/>
      <c r="Z121" s="211"/>
      <c r="AA121" s="210"/>
      <c r="AB121" s="210"/>
      <c r="AC121" s="210"/>
      <c r="AD121" s="210"/>
      <c r="AE121" s="211"/>
      <c r="AF121" s="210"/>
      <c r="AG121" s="210"/>
      <c r="AH121" s="210"/>
      <c r="AI121" s="210"/>
      <c r="AJ121" s="211"/>
      <c r="AK121" s="210"/>
      <c r="AL121" s="210"/>
      <c r="AM121" s="210"/>
      <c r="AN121" s="210"/>
      <c r="AO121" s="211"/>
    </row>
    <row r="122" ht="10.5" customHeight="1" outlineLevel="1">
      <c r="A122" s="313" t="s">
        <v>307</v>
      </c>
      <c r="B122" s="210">
        <v>-13.387</v>
      </c>
      <c r="C122" s="210">
        <v>-9.918</v>
      </c>
      <c r="D122" s="210">
        <v>0.805</v>
      </c>
      <c r="E122" s="210">
        <v>0.0</v>
      </c>
      <c r="F122" s="211"/>
      <c r="G122" s="210">
        <v>-17.945</v>
      </c>
      <c r="H122" s="210">
        <v>-12.268</v>
      </c>
      <c r="I122" s="210">
        <v>-0.368</v>
      </c>
      <c r="J122" s="210">
        <v>0.0</v>
      </c>
      <c r="K122" s="211"/>
      <c r="L122" s="210">
        <v>-16.67</v>
      </c>
      <c r="M122" s="210">
        <v>-9.023</v>
      </c>
      <c r="N122" s="210">
        <v>2.613</v>
      </c>
      <c r="O122" s="210"/>
      <c r="P122" s="211"/>
      <c r="Q122" s="210"/>
      <c r="R122" s="210"/>
      <c r="S122" s="210"/>
      <c r="T122" s="210"/>
      <c r="U122" s="211"/>
      <c r="V122" s="210"/>
      <c r="W122" s="210"/>
      <c r="X122" s="210"/>
      <c r="Y122" s="210"/>
      <c r="Z122" s="211"/>
      <c r="AA122" s="210"/>
      <c r="AB122" s="210"/>
      <c r="AC122" s="210"/>
      <c r="AD122" s="210"/>
      <c r="AE122" s="211"/>
      <c r="AF122" s="210"/>
      <c r="AG122" s="210"/>
      <c r="AH122" s="210"/>
      <c r="AI122" s="210"/>
      <c r="AJ122" s="211"/>
      <c r="AK122" s="210"/>
      <c r="AL122" s="210"/>
      <c r="AM122" s="210"/>
      <c r="AN122" s="210"/>
      <c r="AO122" s="211"/>
    </row>
    <row r="123" ht="10.5" customHeight="1" outlineLevel="1">
      <c r="A123" s="313" t="s">
        <v>380</v>
      </c>
      <c r="B123" s="210">
        <v>-19.928</v>
      </c>
      <c r="C123" s="210">
        <v>-13.427</v>
      </c>
      <c r="D123" s="210">
        <v>-7.488</v>
      </c>
      <c r="E123" s="210">
        <v>-0.975</v>
      </c>
      <c r="F123" s="211"/>
      <c r="G123" s="210">
        <v>-18.53</v>
      </c>
      <c r="H123" s="210">
        <v>-3.302</v>
      </c>
      <c r="I123" s="210">
        <v>8.818</v>
      </c>
      <c r="J123" s="210">
        <v>17.312</v>
      </c>
      <c r="K123" s="211"/>
      <c r="L123" s="210">
        <v>-13.934</v>
      </c>
      <c r="M123" s="210">
        <v>1.317</v>
      </c>
      <c r="N123" s="210">
        <v>-3.728</v>
      </c>
      <c r="O123" s="210"/>
      <c r="P123" s="211"/>
      <c r="Q123" s="210"/>
      <c r="R123" s="210"/>
      <c r="S123" s="210"/>
      <c r="T123" s="210"/>
      <c r="U123" s="211"/>
      <c r="V123" s="210"/>
      <c r="W123" s="210"/>
      <c r="X123" s="210"/>
      <c r="Y123" s="210"/>
      <c r="Z123" s="211"/>
      <c r="AA123" s="210"/>
      <c r="AB123" s="210"/>
      <c r="AC123" s="210"/>
      <c r="AD123" s="210"/>
      <c r="AE123" s="211"/>
      <c r="AF123" s="210"/>
      <c r="AG123" s="210"/>
      <c r="AH123" s="210"/>
      <c r="AI123" s="210"/>
      <c r="AJ123" s="211"/>
      <c r="AK123" s="210"/>
      <c r="AL123" s="210"/>
      <c r="AM123" s="210"/>
      <c r="AN123" s="210"/>
      <c r="AO123" s="211"/>
    </row>
    <row r="124" ht="10.5" customHeight="1" outlineLevel="1">
      <c r="A124" s="313" t="s">
        <v>381</v>
      </c>
      <c r="B124" s="210">
        <v>4.907</v>
      </c>
      <c r="C124" s="210">
        <v>8.312</v>
      </c>
      <c r="D124" s="210">
        <v>6.855</v>
      </c>
      <c r="E124" s="210">
        <v>-8.106</v>
      </c>
      <c r="F124" s="211"/>
      <c r="G124" s="210">
        <v>-0.548</v>
      </c>
      <c r="H124" s="210">
        <v>-0.699</v>
      </c>
      <c r="I124" s="210">
        <v>-0.741</v>
      </c>
      <c r="J124" s="210">
        <v>-0.519</v>
      </c>
      <c r="K124" s="211"/>
      <c r="L124" s="210">
        <v>-0.918</v>
      </c>
      <c r="M124" s="210">
        <v>-0.427</v>
      </c>
      <c r="N124" s="210">
        <v>0.327</v>
      </c>
      <c r="O124" s="210"/>
      <c r="P124" s="211"/>
      <c r="Q124" s="210"/>
      <c r="R124" s="210"/>
      <c r="S124" s="210"/>
      <c r="T124" s="210"/>
      <c r="U124" s="211"/>
      <c r="V124" s="210"/>
      <c r="W124" s="210"/>
      <c r="X124" s="210"/>
      <c r="Y124" s="210"/>
      <c r="Z124" s="211"/>
      <c r="AA124" s="210"/>
      <c r="AB124" s="210"/>
      <c r="AC124" s="210"/>
      <c r="AD124" s="210"/>
      <c r="AE124" s="211"/>
      <c r="AF124" s="210"/>
      <c r="AG124" s="210"/>
      <c r="AH124" s="210"/>
      <c r="AI124" s="210"/>
      <c r="AJ124" s="211"/>
      <c r="AK124" s="210"/>
      <c r="AL124" s="210"/>
      <c r="AM124" s="210"/>
      <c r="AN124" s="210"/>
      <c r="AO124" s="211"/>
    </row>
    <row r="125" ht="10.5" customHeight="1" outlineLevel="1">
      <c r="A125" s="313" t="s">
        <v>382</v>
      </c>
      <c r="B125" s="210">
        <v>2.736</v>
      </c>
      <c r="C125" s="210">
        <v>1.368</v>
      </c>
      <c r="D125" s="210">
        <v>-0.104</v>
      </c>
      <c r="E125" s="210">
        <v>2.183</v>
      </c>
      <c r="F125" s="211"/>
      <c r="G125" s="210">
        <v>1.943</v>
      </c>
      <c r="H125" s="210">
        <v>-2.632</v>
      </c>
      <c r="I125" s="210">
        <v>-1.553</v>
      </c>
      <c r="J125" s="210">
        <v>0.407</v>
      </c>
      <c r="K125" s="211"/>
      <c r="L125" s="210">
        <v>4.967</v>
      </c>
      <c r="M125" s="210">
        <v>-4.753</v>
      </c>
      <c r="N125" s="210">
        <v>-5.119</v>
      </c>
      <c r="O125" s="210"/>
      <c r="P125" s="211"/>
      <c r="Q125" s="210"/>
      <c r="R125" s="210"/>
      <c r="S125" s="210"/>
      <c r="T125" s="210"/>
      <c r="U125" s="211"/>
      <c r="V125" s="210"/>
      <c r="W125" s="210"/>
      <c r="X125" s="210"/>
      <c r="Y125" s="210"/>
      <c r="Z125" s="211"/>
      <c r="AA125" s="210"/>
      <c r="AB125" s="210"/>
      <c r="AC125" s="210"/>
      <c r="AD125" s="210"/>
      <c r="AE125" s="211"/>
      <c r="AF125" s="210"/>
      <c r="AG125" s="210"/>
      <c r="AH125" s="210"/>
      <c r="AI125" s="210"/>
      <c r="AJ125" s="211"/>
      <c r="AK125" s="210"/>
      <c r="AL125" s="210"/>
      <c r="AM125" s="210"/>
      <c r="AN125" s="210"/>
      <c r="AO125" s="211"/>
    </row>
    <row r="126" ht="10.5" customHeight="1" outlineLevel="1">
      <c r="A126" s="313" t="s">
        <v>383</v>
      </c>
      <c r="B126" s="210">
        <v>0.0</v>
      </c>
      <c r="C126" s="210">
        <v>-21.78</v>
      </c>
      <c r="D126" s="210">
        <v>-21.78</v>
      </c>
      <c r="E126" s="210">
        <v>-34.797</v>
      </c>
      <c r="F126" s="211"/>
      <c r="G126" s="210">
        <v>0.0</v>
      </c>
      <c r="H126" s="210">
        <v>-28.786</v>
      </c>
      <c r="I126" s="210">
        <v>-28.786</v>
      </c>
      <c r="J126" s="210">
        <v>-44.946</v>
      </c>
      <c r="K126" s="211"/>
      <c r="L126" s="210">
        <v>0.0</v>
      </c>
      <c r="M126" s="210">
        <v>-52.74</v>
      </c>
      <c r="N126" s="210">
        <v>-52.778</v>
      </c>
      <c r="O126" s="210"/>
      <c r="P126" s="211"/>
      <c r="Q126" s="210"/>
      <c r="R126" s="210"/>
      <c r="S126" s="210"/>
      <c r="T126" s="210"/>
      <c r="U126" s="211"/>
      <c r="V126" s="210"/>
      <c r="W126" s="210"/>
      <c r="X126" s="210"/>
      <c r="Y126" s="210"/>
      <c r="Z126" s="211"/>
      <c r="AA126" s="210"/>
      <c r="AB126" s="210"/>
      <c r="AC126" s="210"/>
      <c r="AD126" s="210"/>
      <c r="AE126" s="211"/>
      <c r="AF126" s="210"/>
      <c r="AG126" s="210"/>
      <c r="AH126" s="210"/>
      <c r="AI126" s="210"/>
      <c r="AJ126" s="211"/>
      <c r="AK126" s="210"/>
      <c r="AL126" s="210"/>
      <c r="AM126" s="210"/>
      <c r="AN126" s="210"/>
      <c r="AO126" s="211"/>
    </row>
    <row r="127" ht="10.5" customHeight="1" outlineLevel="1">
      <c r="A127" s="313" t="s">
        <v>331</v>
      </c>
      <c r="B127" s="210">
        <v>4.408</v>
      </c>
      <c r="C127" s="210">
        <v>3.654</v>
      </c>
      <c r="D127" s="210">
        <v>5.495</v>
      </c>
      <c r="E127" s="210">
        <v>-3.937</v>
      </c>
      <c r="F127" s="211"/>
      <c r="G127" s="210">
        <v>3.088</v>
      </c>
      <c r="H127" s="210">
        <v>0.632</v>
      </c>
      <c r="I127" s="210">
        <v>5.835</v>
      </c>
      <c r="J127" s="210">
        <v>-2.653</v>
      </c>
      <c r="K127" s="211"/>
      <c r="L127" s="210">
        <v>0.637</v>
      </c>
      <c r="M127" s="210">
        <v>6.009</v>
      </c>
      <c r="N127" s="210">
        <v>9.324</v>
      </c>
      <c r="O127" s="210"/>
      <c r="P127" s="211"/>
      <c r="Q127" s="210"/>
      <c r="R127" s="210"/>
      <c r="S127" s="210"/>
      <c r="T127" s="210"/>
      <c r="U127" s="211"/>
      <c r="V127" s="210"/>
      <c r="W127" s="210"/>
      <c r="X127" s="210"/>
      <c r="Y127" s="210"/>
      <c r="Z127" s="211"/>
      <c r="AA127" s="210"/>
      <c r="AB127" s="210"/>
      <c r="AC127" s="210"/>
      <c r="AD127" s="210"/>
      <c r="AE127" s="211"/>
      <c r="AF127" s="210"/>
      <c r="AG127" s="210"/>
      <c r="AH127" s="210"/>
      <c r="AI127" s="210"/>
      <c r="AJ127" s="211"/>
      <c r="AK127" s="210"/>
      <c r="AL127" s="210"/>
      <c r="AM127" s="210"/>
      <c r="AN127" s="210"/>
      <c r="AO127" s="211"/>
    </row>
    <row r="128" ht="10.5" customHeight="1" outlineLevel="1">
      <c r="A128" s="313" t="s">
        <v>384</v>
      </c>
      <c r="B128" s="210">
        <v>19.395</v>
      </c>
      <c r="C128" s="210">
        <v>17.313</v>
      </c>
      <c r="D128" s="210">
        <v>9.428</v>
      </c>
      <c r="E128" s="210">
        <v>3.942</v>
      </c>
      <c r="F128" s="211"/>
      <c r="G128" s="210">
        <v>19.519</v>
      </c>
      <c r="H128" s="210">
        <v>18.653</v>
      </c>
      <c r="I128" s="210">
        <v>9.552</v>
      </c>
      <c r="J128" s="210">
        <v>2.775</v>
      </c>
      <c r="K128" s="211"/>
      <c r="L128" s="210">
        <v>17.805</v>
      </c>
      <c r="M128" s="210">
        <v>13.77</v>
      </c>
      <c r="N128" s="210">
        <v>3.862</v>
      </c>
      <c r="O128" s="210"/>
      <c r="P128" s="211"/>
      <c r="Q128" s="210"/>
      <c r="R128" s="210"/>
      <c r="S128" s="210"/>
      <c r="T128" s="210"/>
      <c r="U128" s="211"/>
      <c r="V128" s="210"/>
      <c r="W128" s="210"/>
      <c r="X128" s="210"/>
      <c r="Y128" s="210"/>
      <c r="Z128" s="211"/>
      <c r="AA128" s="210"/>
      <c r="AB128" s="210"/>
      <c r="AC128" s="210"/>
      <c r="AD128" s="210"/>
      <c r="AE128" s="211"/>
      <c r="AF128" s="210"/>
      <c r="AG128" s="210"/>
      <c r="AH128" s="210"/>
      <c r="AI128" s="210"/>
      <c r="AJ128" s="211"/>
      <c r="AK128" s="210"/>
      <c r="AL128" s="210"/>
      <c r="AM128" s="210"/>
      <c r="AN128" s="210"/>
      <c r="AO128" s="211"/>
    </row>
    <row r="129" ht="10.5" customHeight="1" outlineLevel="1">
      <c r="A129" s="314" t="s">
        <v>385</v>
      </c>
      <c r="B129" s="213">
        <v>-0.379</v>
      </c>
      <c r="C129" s="213">
        <v>0.345</v>
      </c>
      <c r="D129" s="213">
        <v>4.662</v>
      </c>
      <c r="E129" s="213">
        <v>7.481</v>
      </c>
      <c r="F129" s="214"/>
      <c r="G129" s="213">
        <v>2.071</v>
      </c>
      <c r="H129" s="213">
        <v>4.838</v>
      </c>
      <c r="I129" s="213">
        <v>9.138</v>
      </c>
      <c r="J129" s="213">
        <v>12.778</v>
      </c>
      <c r="K129" s="214"/>
      <c r="L129" s="213">
        <v>5.001</v>
      </c>
      <c r="M129" s="213">
        <v>7.599</v>
      </c>
      <c r="N129" s="213">
        <v>9.312</v>
      </c>
      <c r="O129" s="213"/>
      <c r="P129" s="214"/>
      <c r="Q129" s="213"/>
      <c r="R129" s="213"/>
      <c r="S129" s="213"/>
      <c r="T129" s="213"/>
      <c r="U129" s="214"/>
      <c r="V129" s="213"/>
      <c r="W129" s="213"/>
      <c r="X129" s="213"/>
      <c r="Y129" s="213"/>
      <c r="Z129" s="214"/>
      <c r="AA129" s="213"/>
      <c r="AB129" s="213"/>
      <c r="AC129" s="213"/>
      <c r="AD129" s="213"/>
      <c r="AE129" s="214"/>
      <c r="AF129" s="213"/>
      <c r="AG129" s="213"/>
      <c r="AH129" s="213"/>
      <c r="AI129" s="213"/>
      <c r="AJ129" s="214"/>
      <c r="AK129" s="213"/>
      <c r="AL129" s="213"/>
      <c r="AM129" s="213"/>
      <c r="AN129" s="213"/>
      <c r="AO129" s="214"/>
    </row>
    <row r="130" ht="10.5" customHeight="1" outlineLevel="1">
      <c r="A130" s="315" t="s">
        <v>386</v>
      </c>
      <c r="B130" s="316">
        <v>97.91</v>
      </c>
      <c r="C130" s="316">
        <v>157.33</v>
      </c>
      <c r="D130" s="316">
        <v>266.92</v>
      </c>
      <c r="E130" s="316">
        <v>330.254</v>
      </c>
      <c r="F130" s="317"/>
      <c r="G130" s="316">
        <v>89.732</v>
      </c>
      <c r="H130" s="316">
        <v>167.948</v>
      </c>
      <c r="I130" s="316">
        <v>294.742</v>
      </c>
      <c r="J130" s="316">
        <v>343.873</v>
      </c>
      <c r="K130" s="317"/>
      <c r="L130" s="316">
        <v>133.927</v>
      </c>
      <c r="M130" s="316">
        <v>177.894</v>
      </c>
      <c r="N130" s="316">
        <v>309.3610000000001</v>
      </c>
      <c r="O130" s="316"/>
      <c r="P130" s="317"/>
      <c r="Q130" s="316"/>
      <c r="R130" s="316"/>
      <c r="S130" s="316"/>
      <c r="T130" s="316"/>
      <c r="U130" s="317"/>
      <c r="V130" s="316"/>
      <c r="W130" s="316"/>
      <c r="X130" s="316"/>
      <c r="Y130" s="316"/>
      <c r="Z130" s="317"/>
      <c r="AA130" s="316"/>
      <c r="AB130" s="316"/>
      <c r="AC130" s="316"/>
      <c r="AD130" s="316"/>
      <c r="AE130" s="317"/>
      <c r="AF130" s="316"/>
      <c r="AG130" s="316"/>
      <c r="AH130" s="316"/>
      <c r="AI130" s="316"/>
      <c r="AJ130" s="317"/>
      <c r="AK130" s="316"/>
      <c r="AL130" s="316"/>
      <c r="AM130" s="316"/>
      <c r="AN130" s="316"/>
      <c r="AO130" s="317"/>
    </row>
    <row r="131" ht="10.5" customHeight="1" outlineLevel="1">
      <c r="A131" s="238" t="s">
        <v>387</v>
      </c>
      <c r="B131" s="210"/>
      <c r="C131" s="210"/>
      <c r="D131" s="210"/>
      <c r="E131" s="210"/>
      <c r="F131" s="211"/>
      <c r="G131" s="210"/>
      <c r="H131" s="210"/>
      <c r="I131" s="210"/>
      <c r="J131" s="210"/>
      <c r="K131" s="211"/>
      <c r="L131" s="210"/>
      <c r="M131" s="210"/>
      <c r="N131" s="210"/>
      <c r="O131" s="210"/>
      <c r="P131" s="211"/>
      <c r="Q131" s="210"/>
      <c r="R131" s="210"/>
      <c r="S131" s="210"/>
      <c r="T131" s="210"/>
      <c r="U131" s="211"/>
      <c r="V131" s="210"/>
      <c r="W131" s="210"/>
      <c r="X131" s="210"/>
      <c r="Y131" s="210"/>
      <c r="Z131" s="211"/>
      <c r="AA131" s="210"/>
      <c r="AB131" s="210"/>
      <c r="AC131" s="210"/>
      <c r="AD131" s="210"/>
      <c r="AE131" s="211"/>
      <c r="AF131" s="210"/>
      <c r="AG131" s="210"/>
      <c r="AH131" s="210"/>
      <c r="AI131" s="210"/>
      <c r="AJ131" s="211"/>
      <c r="AK131" s="210"/>
      <c r="AL131" s="210"/>
      <c r="AM131" s="210"/>
      <c r="AN131" s="210"/>
      <c r="AO131" s="211"/>
    </row>
    <row r="132" ht="10.5" customHeight="1" outlineLevel="1">
      <c r="A132" s="165" t="s">
        <v>388</v>
      </c>
      <c r="B132" s="210">
        <v>-22.997</v>
      </c>
      <c r="C132" s="210">
        <v>-45.143</v>
      </c>
      <c r="D132" s="210">
        <v>-84.636</v>
      </c>
      <c r="E132" s="210">
        <v>-135.986</v>
      </c>
      <c r="F132" s="211"/>
      <c r="G132" s="210">
        <v>-26.311</v>
      </c>
      <c r="H132" s="210">
        <v>-64.345</v>
      </c>
      <c r="I132" s="210">
        <v>-112.968</v>
      </c>
      <c r="J132" s="210">
        <v>-155.061</v>
      </c>
      <c r="K132" s="211"/>
      <c r="L132" s="210">
        <v>-23.055</v>
      </c>
      <c r="M132" s="210">
        <v>-58.801</v>
      </c>
      <c r="N132" s="210">
        <v>-113.577</v>
      </c>
      <c r="O132" s="210"/>
      <c r="P132" s="211"/>
      <c r="Q132" s="210"/>
      <c r="R132" s="210"/>
      <c r="S132" s="210"/>
      <c r="T132" s="210"/>
      <c r="U132" s="211"/>
      <c r="V132" s="210"/>
      <c r="W132" s="210"/>
      <c r="X132" s="210"/>
      <c r="Y132" s="210"/>
      <c r="Z132" s="211"/>
      <c r="AA132" s="210"/>
      <c r="AB132" s="210"/>
      <c r="AC132" s="210"/>
      <c r="AD132" s="210"/>
      <c r="AE132" s="211"/>
      <c r="AF132" s="210"/>
      <c r="AG132" s="210"/>
      <c r="AH132" s="210"/>
      <c r="AI132" s="210"/>
      <c r="AJ132" s="211"/>
      <c r="AK132" s="210"/>
      <c r="AL132" s="210"/>
      <c r="AM132" s="210"/>
      <c r="AN132" s="210"/>
      <c r="AO132" s="211"/>
    </row>
    <row r="133" ht="10.5" customHeight="1" outlineLevel="1">
      <c r="A133" s="165" t="s">
        <v>389</v>
      </c>
      <c r="B133" s="210">
        <v>0.0</v>
      </c>
      <c r="C133" s="210">
        <v>-26.264</v>
      </c>
      <c r="D133" s="210">
        <v>-26.264</v>
      </c>
      <c r="E133" s="210">
        <v>-43.264</v>
      </c>
      <c r="F133" s="211"/>
      <c r="G133" s="210">
        <v>0.0</v>
      </c>
      <c r="H133" s="210">
        <v>0.0</v>
      </c>
      <c r="I133" s="210">
        <v>0.0</v>
      </c>
      <c r="J133" s="210">
        <v>0.0</v>
      </c>
      <c r="K133" s="211"/>
      <c r="L133" s="210">
        <v>0.0</v>
      </c>
      <c r="M133" s="210">
        <v>0.0</v>
      </c>
      <c r="N133" s="210">
        <v>0.0</v>
      </c>
      <c r="O133" s="210"/>
      <c r="P133" s="211"/>
      <c r="Q133" s="210"/>
      <c r="R133" s="210"/>
      <c r="S133" s="210"/>
      <c r="T133" s="210"/>
      <c r="U133" s="211"/>
      <c r="V133" s="210"/>
      <c r="W133" s="210"/>
      <c r="X133" s="210"/>
      <c r="Y133" s="210"/>
      <c r="Z133" s="211"/>
      <c r="AA133" s="210"/>
      <c r="AB133" s="210"/>
      <c r="AC133" s="210"/>
      <c r="AD133" s="210"/>
      <c r="AE133" s="211"/>
      <c r="AF133" s="210"/>
      <c r="AG133" s="210"/>
      <c r="AH133" s="210"/>
      <c r="AI133" s="210"/>
      <c r="AJ133" s="211"/>
      <c r="AK133" s="210"/>
      <c r="AL133" s="210"/>
      <c r="AM133" s="210"/>
      <c r="AN133" s="210"/>
      <c r="AO133" s="211"/>
    </row>
    <row r="134" ht="10.5" customHeight="1" outlineLevel="1">
      <c r="A134" s="165" t="s">
        <v>390</v>
      </c>
      <c r="B134" s="210">
        <v>0.0</v>
      </c>
      <c r="C134" s="210">
        <v>0.0</v>
      </c>
      <c r="D134" s="210">
        <v>0.0</v>
      </c>
      <c r="E134" s="210">
        <v>0.0</v>
      </c>
      <c r="F134" s="211"/>
      <c r="G134" s="210">
        <v>0.0</v>
      </c>
      <c r="H134" s="210">
        <v>0.0</v>
      </c>
      <c r="I134" s="210">
        <v>0.0</v>
      </c>
      <c r="J134" s="210">
        <v>0.0</v>
      </c>
      <c r="K134" s="211"/>
      <c r="L134" s="210">
        <v>0.0</v>
      </c>
      <c r="M134" s="210">
        <v>0.0</v>
      </c>
      <c r="N134" s="210">
        <v>21.626</v>
      </c>
      <c r="O134" s="210"/>
      <c r="P134" s="211"/>
      <c r="Q134" s="210"/>
      <c r="R134" s="210"/>
      <c r="S134" s="210"/>
      <c r="T134" s="210"/>
      <c r="U134" s="211"/>
      <c r="V134" s="210"/>
      <c r="W134" s="210"/>
      <c r="X134" s="210"/>
      <c r="Y134" s="210"/>
      <c r="Z134" s="211"/>
      <c r="AA134" s="210"/>
      <c r="AB134" s="210"/>
      <c r="AC134" s="210"/>
      <c r="AD134" s="210"/>
      <c r="AE134" s="211"/>
      <c r="AF134" s="210"/>
      <c r="AG134" s="210"/>
      <c r="AH134" s="210"/>
      <c r="AI134" s="210"/>
      <c r="AJ134" s="211"/>
      <c r="AK134" s="210"/>
      <c r="AL134" s="210"/>
      <c r="AM134" s="210"/>
      <c r="AN134" s="210"/>
      <c r="AO134" s="211"/>
    </row>
    <row r="135" ht="10.5" customHeight="1" outlineLevel="1">
      <c r="A135" s="165" t="s">
        <v>391</v>
      </c>
      <c r="B135" s="210">
        <v>0.0</v>
      </c>
      <c r="C135" s="210">
        <v>0.0</v>
      </c>
      <c r="D135" s="210">
        <v>0.002</v>
      </c>
      <c r="E135" s="210">
        <v>0.099</v>
      </c>
      <c r="F135" s="211"/>
      <c r="G135" s="210">
        <v>0.0</v>
      </c>
      <c r="H135" s="210">
        <v>0.0</v>
      </c>
      <c r="I135" s="210">
        <v>0.568</v>
      </c>
      <c r="J135" s="210">
        <v>1.396</v>
      </c>
      <c r="K135" s="211"/>
      <c r="L135" s="210">
        <v>0.0</v>
      </c>
      <c r="M135" s="210">
        <v>0.0</v>
      </c>
      <c r="N135" s="210">
        <v>0.0</v>
      </c>
      <c r="O135" s="210"/>
      <c r="P135" s="211"/>
      <c r="Q135" s="210"/>
      <c r="R135" s="210"/>
      <c r="S135" s="210"/>
      <c r="T135" s="210"/>
      <c r="U135" s="211"/>
      <c r="V135" s="210"/>
      <c r="W135" s="210"/>
      <c r="X135" s="210"/>
      <c r="Y135" s="210"/>
      <c r="Z135" s="211"/>
      <c r="AA135" s="210"/>
      <c r="AB135" s="210"/>
      <c r="AC135" s="210"/>
      <c r="AD135" s="210"/>
      <c r="AE135" s="211"/>
      <c r="AF135" s="210"/>
      <c r="AG135" s="210"/>
      <c r="AH135" s="210"/>
      <c r="AI135" s="210"/>
      <c r="AJ135" s="211"/>
      <c r="AK135" s="210"/>
      <c r="AL135" s="210"/>
      <c r="AM135" s="210"/>
      <c r="AN135" s="210"/>
      <c r="AO135" s="211"/>
    </row>
    <row r="136" ht="10.5" customHeight="1" outlineLevel="1">
      <c r="A136" s="165" t="s">
        <v>392</v>
      </c>
      <c r="B136" s="210">
        <v>0.0</v>
      </c>
      <c r="C136" s="210">
        <v>-119.614</v>
      </c>
      <c r="D136" s="210">
        <v>-155.007</v>
      </c>
      <c r="E136" s="210">
        <v>-203.285</v>
      </c>
      <c r="F136" s="211"/>
      <c r="G136" s="210">
        <v>-34.922</v>
      </c>
      <c r="H136" s="210">
        <v>-73.93</v>
      </c>
      <c r="I136" s="210">
        <v>-116.833</v>
      </c>
      <c r="J136" s="210">
        <v>-155.423</v>
      </c>
      <c r="K136" s="211"/>
      <c r="L136" s="210">
        <v>-42.334</v>
      </c>
      <c r="M136" s="210">
        <v>-81.958</v>
      </c>
      <c r="N136" s="210">
        <v>-118.401</v>
      </c>
      <c r="O136" s="210"/>
      <c r="P136" s="211"/>
      <c r="Q136" s="210"/>
      <c r="R136" s="210"/>
      <c r="S136" s="210"/>
      <c r="T136" s="210"/>
      <c r="U136" s="211"/>
      <c r="V136" s="210"/>
      <c r="W136" s="210"/>
      <c r="X136" s="210"/>
      <c r="Y136" s="210"/>
      <c r="Z136" s="211"/>
      <c r="AA136" s="210"/>
      <c r="AB136" s="210"/>
      <c r="AC136" s="210"/>
      <c r="AD136" s="210"/>
      <c r="AE136" s="211"/>
      <c r="AF136" s="210"/>
      <c r="AG136" s="210"/>
      <c r="AH136" s="210"/>
      <c r="AI136" s="210"/>
      <c r="AJ136" s="211"/>
      <c r="AK136" s="210"/>
      <c r="AL136" s="210"/>
      <c r="AM136" s="210"/>
      <c r="AN136" s="210"/>
      <c r="AO136" s="211"/>
    </row>
    <row r="137" ht="10.5" customHeight="1" outlineLevel="1">
      <c r="A137" s="165" t="s">
        <v>393</v>
      </c>
      <c r="B137" s="210">
        <v>0.0</v>
      </c>
      <c r="C137" s="210">
        <v>0.0</v>
      </c>
      <c r="D137" s="210">
        <v>37.99</v>
      </c>
      <c r="E137" s="210">
        <v>80.49</v>
      </c>
      <c r="F137" s="211"/>
      <c r="G137" s="210">
        <v>22.589</v>
      </c>
      <c r="H137" s="210">
        <v>47.839</v>
      </c>
      <c r="I137" s="210">
        <v>80.922</v>
      </c>
      <c r="J137" s="210">
        <v>103.672</v>
      </c>
      <c r="K137" s="211"/>
      <c r="L137" s="210">
        <v>36.749</v>
      </c>
      <c r="M137" s="210">
        <v>71.954</v>
      </c>
      <c r="N137" s="210">
        <v>106.309</v>
      </c>
      <c r="O137" s="210"/>
      <c r="P137" s="211"/>
      <c r="Q137" s="210"/>
      <c r="R137" s="210"/>
      <c r="S137" s="210"/>
      <c r="T137" s="210"/>
      <c r="U137" s="211"/>
      <c r="V137" s="210"/>
      <c r="W137" s="210"/>
      <c r="X137" s="210"/>
      <c r="Y137" s="210"/>
      <c r="Z137" s="211"/>
      <c r="AA137" s="210"/>
      <c r="AB137" s="210"/>
      <c r="AC137" s="210"/>
      <c r="AD137" s="210"/>
      <c r="AE137" s="211"/>
      <c r="AF137" s="210"/>
      <c r="AG137" s="210"/>
      <c r="AH137" s="210"/>
      <c r="AI137" s="210"/>
      <c r="AJ137" s="211"/>
      <c r="AK137" s="210"/>
      <c r="AL137" s="210"/>
      <c r="AM137" s="210"/>
      <c r="AN137" s="210"/>
      <c r="AO137" s="211"/>
    </row>
    <row r="138" ht="10.5" customHeight="1" outlineLevel="1">
      <c r="A138" s="165" t="s">
        <v>394</v>
      </c>
      <c r="B138" s="210">
        <v>0.0</v>
      </c>
      <c r="C138" s="210">
        <v>-10.0</v>
      </c>
      <c r="D138" s="210">
        <v>-20.0</v>
      </c>
      <c r="E138" s="210">
        <v>-38.045</v>
      </c>
      <c r="F138" s="211"/>
      <c r="G138" s="210">
        <v>0.0</v>
      </c>
      <c r="H138" s="210">
        <v>0.0</v>
      </c>
      <c r="I138" s="210">
        <v>0.0</v>
      </c>
      <c r="J138" s="210">
        <f>-1.15-2.145</f>
        <v>-3.295</v>
      </c>
      <c r="K138" s="211"/>
      <c r="L138" s="210">
        <f>2.053-1.479-0.033</f>
        <v>0.541</v>
      </c>
      <c r="M138" s="210">
        <f>2.053-1.539-2.639-0.032</f>
        <v>-2.157</v>
      </c>
      <c r="N138" s="210">
        <f>2.053-1.524-2.639+0.112</f>
        <v>-1.998</v>
      </c>
      <c r="O138" s="210"/>
      <c r="P138" s="211"/>
      <c r="Q138" s="210"/>
      <c r="R138" s="210"/>
      <c r="S138" s="210"/>
      <c r="T138" s="210"/>
      <c r="U138" s="211"/>
      <c r="V138" s="210"/>
      <c r="W138" s="210"/>
      <c r="X138" s="210"/>
      <c r="Y138" s="210"/>
      <c r="Z138" s="211"/>
      <c r="AA138" s="210"/>
      <c r="AB138" s="210"/>
      <c r="AC138" s="210"/>
      <c r="AD138" s="210"/>
      <c r="AE138" s="211"/>
      <c r="AF138" s="210"/>
      <c r="AG138" s="210"/>
      <c r="AH138" s="210"/>
      <c r="AI138" s="210"/>
      <c r="AJ138" s="211"/>
      <c r="AK138" s="210"/>
      <c r="AL138" s="210"/>
      <c r="AM138" s="210"/>
      <c r="AN138" s="210"/>
      <c r="AO138" s="211"/>
    </row>
    <row r="139" ht="10.5" customHeight="1" outlineLevel="1">
      <c r="A139" s="215" t="s">
        <v>395</v>
      </c>
      <c r="B139" s="213">
        <v>0.0</v>
      </c>
      <c r="C139" s="213">
        <v>0.0</v>
      </c>
      <c r="D139" s="213">
        <v>0.0</v>
      </c>
      <c r="E139" s="213">
        <v>0.0</v>
      </c>
      <c r="F139" s="214"/>
      <c r="G139" s="213">
        <v>0.0</v>
      </c>
      <c r="H139" s="213">
        <v>0.0</v>
      </c>
      <c r="I139" s="213">
        <v>0.0</v>
      </c>
      <c r="J139" s="213">
        <v>0.0</v>
      </c>
      <c r="K139" s="214"/>
      <c r="L139" s="213">
        <v>0.0</v>
      </c>
      <c r="M139" s="213">
        <v>0.0</v>
      </c>
      <c r="N139" s="213">
        <v>0.0</v>
      </c>
      <c r="O139" s="213"/>
      <c r="P139" s="214"/>
      <c r="Q139" s="213"/>
      <c r="R139" s="213"/>
      <c r="S139" s="213"/>
      <c r="T139" s="213"/>
      <c r="U139" s="214"/>
      <c r="V139" s="213"/>
      <c r="W139" s="213"/>
      <c r="X139" s="213"/>
      <c r="Y139" s="213"/>
      <c r="Z139" s="214"/>
      <c r="AA139" s="213"/>
      <c r="AB139" s="213"/>
      <c r="AC139" s="213"/>
      <c r="AD139" s="213"/>
      <c r="AE139" s="214"/>
      <c r="AF139" s="213"/>
      <c r="AG139" s="213"/>
      <c r="AH139" s="213"/>
      <c r="AI139" s="213"/>
      <c r="AJ139" s="214"/>
      <c r="AK139" s="213"/>
      <c r="AL139" s="213"/>
      <c r="AM139" s="213"/>
      <c r="AN139" s="213"/>
      <c r="AO139" s="214"/>
    </row>
    <row r="140" ht="10.5" customHeight="1" outlineLevel="1">
      <c r="A140" s="315" t="s">
        <v>396</v>
      </c>
      <c r="B140" s="316">
        <v>-22.997</v>
      </c>
      <c r="C140" s="316">
        <v>-201.021</v>
      </c>
      <c r="D140" s="316">
        <v>-247.915</v>
      </c>
      <c r="E140" s="316">
        <v>-339.991</v>
      </c>
      <c r="F140" s="317"/>
      <c r="G140" s="316">
        <v>-38.644</v>
      </c>
      <c r="H140" s="316">
        <v>-90.436</v>
      </c>
      <c r="I140" s="316">
        <v>-148.311</v>
      </c>
      <c r="J140" s="316">
        <v>-208.711</v>
      </c>
      <c r="K140" s="317"/>
      <c r="L140" s="316">
        <v>-28.099</v>
      </c>
      <c r="M140" s="316">
        <v>-70.962</v>
      </c>
      <c r="N140" s="316">
        <f>SUM(N132:N139)</f>
        <v>-106.041</v>
      </c>
      <c r="O140" s="316"/>
      <c r="P140" s="317"/>
      <c r="Q140" s="316"/>
      <c r="R140" s="316"/>
      <c r="S140" s="316"/>
      <c r="T140" s="316"/>
      <c r="U140" s="317"/>
      <c r="V140" s="316"/>
      <c r="W140" s="316"/>
      <c r="X140" s="316"/>
      <c r="Y140" s="316"/>
      <c r="Z140" s="317"/>
      <c r="AA140" s="316"/>
      <c r="AB140" s="316"/>
      <c r="AC140" s="316"/>
      <c r="AD140" s="316"/>
      <c r="AE140" s="317"/>
      <c r="AF140" s="316"/>
      <c r="AG140" s="316"/>
      <c r="AH140" s="316"/>
      <c r="AI140" s="316"/>
      <c r="AJ140" s="317"/>
      <c r="AK140" s="316"/>
      <c r="AL140" s="316"/>
      <c r="AM140" s="316"/>
      <c r="AN140" s="316"/>
      <c r="AO140" s="317"/>
    </row>
    <row r="141" ht="10.5" customHeight="1" outlineLevel="1">
      <c r="A141" s="165" t="s">
        <v>397</v>
      </c>
      <c r="B141" s="210"/>
      <c r="C141" s="210"/>
      <c r="D141" s="210"/>
      <c r="E141" s="210"/>
      <c r="F141" s="211"/>
      <c r="G141" s="210"/>
      <c r="H141" s="210"/>
      <c r="I141" s="210"/>
      <c r="J141" s="210"/>
      <c r="K141" s="211"/>
      <c r="L141" s="210"/>
      <c r="M141" s="210"/>
      <c r="N141" s="210"/>
      <c r="O141" s="210"/>
      <c r="P141" s="211"/>
      <c r="Q141" s="210"/>
      <c r="R141" s="210"/>
      <c r="S141" s="210"/>
      <c r="T141" s="210"/>
      <c r="U141" s="211"/>
      <c r="V141" s="210"/>
      <c r="W141" s="210"/>
      <c r="X141" s="210"/>
      <c r="Y141" s="210"/>
      <c r="Z141" s="211"/>
      <c r="AA141" s="210"/>
      <c r="AB141" s="210"/>
      <c r="AC141" s="210"/>
      <c r="AD141" s="210"/>
      <c r="AE141" s="211"/>
      <c r="AF141" s="210"/>
      <c r="AG141" s="210"/>
      <c r="AH141" s="210"/>
      <c r="AI141" s="210"/>
      <c r="AJ141" s="211"/>
      <c r="AK141" s="210"/>
      <c r="AL141" s="210"/>
      <c r="AM141" s="210"/>
      <c r="AN141" s="210"/>
      <c r="AO141" s="211"/>
    </row>
    <row r="142" ht="10.5" customHeight="1" outlineLevel="1">
      <c r="A142" s="165" t="s">
        <v>398</v>
      </c>
      <c r="B142" s="210">
        <v>0.0</v>
      </c>
      <c r="C142" s="210">
        <v>0.0</v>
      </c>
      <c r="D142" s="210">
        <v>0.0</v>
      </c>
      <c r="E142" s="210">
        <v>0.0</v>
      </c>
      <c r="F142" s="211"/>
      <c r="G142" s="210">
        <v>0.0</v>
      </c>
      <c r="H142" s="210">
        <v>0.0</v>
      </c>
      <c r="I142" s="210">
        <v>0.0</v>
      </c>
      <c r="J142" s="210">
        <v>0.0</v>
      </c>
      <c r="K142" s="211"/>
      <c r="L142" s="210">
        <v>0.0</v>
      </c>
      <c r="M142" s="210">
        <v>0.0</v>
      </c>
      <c r="N142" s="210">
        <v>0.0</v>
      </c>
      <c r="O142" s="210"/>
      <c r="P142" s="211"/>
      <c r="Q142" s="210"/>
      <c r="R142" s="210"/>
      <c r="S142" s="210"/>
      <c r="T142" s="210"/>
      <c r="U142" s="211"/>
      <c r="V142" s="210"/>
      <c r="W142" s="210"/>
      <c r="X142" s="210"/>
      <c r="Y142" s="210"/>
      <c r="Z142" s="211"/>
      <c r="AA142" s="210"/>
      <c r="AB142" s="210"/>
      <c r="AC142" s="210"/>
      <c r="AD142" s="210"/>
      <c r="AE142" s="211"/>
      <c r="AF142" s="210"/>
      <c r="AG142" s="210"/>
      <c r="AH142" s="210"/>
      <c r="AI142" s="210"/>
      <c r="AJ142" s="211"/>
      <c r="AK142" s="210"/>
      <c r="AL142" s="210"/>
      <c r="AM142" s="210"/>
      <c r="AN142" s="210"/>
      <c r="AO142" s="211"/>
    </row>
    <row r="143" ht="10.5" customHeight="1" outlineLevel="1">
      <c r="A143" s="165" t="s">
        <v>399</v>
      </c>
      <c r="B143" s="210">
        <v>0.0</v>
      </c>
      <c r="C143" s="210">
        <v>0.0</v>
      </c>
      <c r="D143" s="210">
        <v>0.0</v>
      </c>
      <c r="E143" s="210">
        <v>0.0</v>
      </c>
      <c r="F143" s="211"/>
      <c r="G143" s="210">
        <v>0.0</v>
      </c>
      <c r="H143" s="210">
        <v>0.0</v>
      </c>
      <c r="I143" s="210">
        <v>0.0</v>
      </c>
      <c r="J143" s="210">
        <v>0.0</v>
      </c>
      <c r="K143" s="211"/>
      <c r="L143" s="210">
        <v>0.0</v>
      </c>
      <c r="M143" s="210">
        <v>0.0</v>
      </c>
      <c r="N143" s="210">
        <v>0.0</v>
      </c>
      <c r="O143" s="210"/>
      <c r="P143" s="211"/>
      <c r="Q143" s="210"/>
      <c r="R143" s="210"/>
      <c r="S143" s="210"/>
      <c r="T143" s="210"/>
      <c r="U143" s="211"/>
      <c r="V143" s="210"/>
      <c r="W143" s="210"/>
      <c r="X143" s="210"/>
      <c r="Y143" s="210"/>
      <c r="Z143" s="211"/>
      <c r="AA143" s="210"/>
      <c r="AB143" s="210"/>
      <c r="AC143" s="210"/>
      <c r="AD143" s="210"/>
      <c r="AE143" s="211"/>
      <c r="AF143" s="210"/>
      <c r="AG143" s="210"/>
      <c r="AH143" s="210"/>
      <c r="AI143" s="210"/>
      <c r="AJ143" s="211"/>
      <c r="AK143" s="210"/>
      <c r="AL143" s="210"/>
      <c r="AM143" s="210"/>
      <c r="AN143" s="210"/>
      <c r="AO143" s="211"/>
    </row>
    <row r="144" ht="10.5" customHeight="1" outlineLevel="1">
      <c r="A144" s="165" t="s">
        <v>400</v>
      </c>
      <c r="B144" s="210">
        <v>-0.056</v>
      </c>
      <c r="C144" s="210">
        <v>-0.107</v>
      </c>
      <c r="D144" s="210">
        <v>-0.152</v>
      </c>
      <c r="E144" s="210">
        <v>-0.193</v>
      </c>
      <c r="F144" s="211"/>
      <c r="G144" s="210">
        <v>-0.036</v>
      </c>
      <c r="H144" s="210">
        <v>-0.072</v>
      </c>
      <c r="I144" s="210">
        <v>-0.1</v>
      </c>
      <c r="J144" s="210">
        <v>-0.098</v>
      </c>
      <c r="K144" s="211"/>
      <c r="L144" s="210">
        <v>-0.031</v>
      </c>
      <c r="M144" s="210">
        <v>-0.051</v>
      </c>
      <c r="N144" s="210">
        <v>-0.093</v>
      </c>
      <c r="O144" s="210"/>
      <c r="P144" s="211"/>
      <c r="Q144" s="210"/>
      <c r="R144" s="210"/>
      <c r="S144" s="210"/>
      <c r="T144" s="210"/>
      <c r="U144" s="211"/>
      <c r="V144" s="210"/>
      <c r="W144" s="210"/>
      <c r="X144" s="210"/>
      <c r="Y144" s="210"/>
      <c r="Z144" s="211"/>
      <c r="AA144" s="210"/>
      <c r="AB144" s="210"/>
      <c r="AC144" s="210"/>
      <c r="AD144" s="210"/>
      <c r="AE144" s="211"/>
      <c r="AF144" s="210"/>
      <c r="AG144" s="210"/>
      <c r="AH144" s="210"/>
      <c r="AI144" s="210"/>
      <c r="AJ144" s="211"/>
      <c r="AK144" s="210"/>
      <c r="AL144" s="210"/>
      <c r="AM144" s="210"/>
      <c r="AN144" s="210"/>
      <c r="AO144" s="211"/>
    </row>
    <row r="145" ht="10.5" customHeight="1" outlineLevel="1">
      <c r="A145" s="165" t="s">
        <v>401</v>
      </c>
      <c r="B145" s="210">
        <v>0.0</v>
      </c>
      <c r="C145" s="210">
        <v>0.0</v>
      </c>
      <c r="D145" s="210">
        <v>0.0</v>
      </c>
      <c r="E145" s="210">
        <v>0.0</v>
      </c>
      <c r="F145" s="211"/>
      <c r="G145" s="210">
        <v>0.0</v>
      </c>
      <c r="H145" s="210">
        <v>800.0</v>
      </c>
      <c r="I145" s="210">
        <v>800.0</v>
      </c>
      <c r="J145" s="210">
        <v>800.0</v>
      </c>
      <c r="K145" s="211"/>
      <c r="L145" s="210">
        <v>0.0</v>
      </c>
      <c r="M145" s="210">
        <v>0.0</v>
      </c>
      <c r="N145" s="210">
        <v>0.0</v>
      </c>
      <c r="O145" s="210"/>
      <c r="P145" s="211"/>
      <c r="Q145" s="210"/>
      <c r="R145" s="210"/>
      <c r="S145" s="210"/>
      <c r="T145" s="210"/>
      <c r="U145" s="211"/>
      <c r="V145" s="210"/>
      <c r="W145" s="210"/>
      <c r="X145" s="210"/>
      <c r="Y145" s="210"/>
      <c r="Z145" s="211"/>
      <c r="AA145" s="210"/>
      <c r="AB145" s="210"/>
      <c r="AC145" s="210"/>
      <c r="AD145" s="210"/>
      <c r="AE145" s="211"/>
      <c r="AF145" s="210"/>
      <c r="AG145" s="210"/>
      <c r="AH145" s="210"/>
      <c r="AI145" s="210"/>
      <c r="AJ145" s="211"/>
      <c r="AK145" s="210"/>
      <c r="AL145" s="210"/>
      <c r="AM145" s="210"/>
      <c r="AN145" s="210"/>
      <c r="AO145" s="211"/>
    </row>
    <row r="146" ht="10.5" customHeight="1" outlineLevel="1">
      <c r="A146" s="165" t="s">
        <v>402</v>
      </c>
      <c r="B146" s="210">
        <v>0.0</v>
      </c>
      <c r="C146" s="210">
        <v>0.0</v>
      </c>
      <c r="D146" s="210">
        <v>0.0</v>
      </c>
      <c r="E146" s="210">
        <v>0.0</v>
      </c>
      <c r="F146" s="211"/>
      <c r="G146" s="210">
        <v>0.0</v>
      </c>
      <c r="H146" s="210">
        <v>0.0</v>
      </c>
      <c r="I146" s="210">
        <v>0.0</v>
      </c>
      <c r="J146" s="210">
        <v>0.0</v>
      </c>
      <c r="K146" s="211"/>
      <c r="L146" s="210">
        <v>0.0</v>
      </c>
      <c r="M146" s="210">
        <v>0.0</v>
      </c>
      <c r="N146" s="210">
        <v>0.0</v>
      </c>
      <c r="O146" s="210"/>
      <c r="P146" s="211"/>
      <c r="Q146" s="210"/>
      <c r="R146" s="210"/>
      <c r="S146" s="210"/>
      <c r="T146" s="210"/>
      <c r="U146" s="211"/>
      <c r="V146" s="210"/>
      <c r="W146" s="210"/>
      <c r="X146" s="210"/>
      <c r="Y146" s="210"/>
      <c r="Z146" s="211"/>
      <c r="AA146" s="210"/>
      <c r="AB146" s="210"/>
      <c r="AC146" s="210"/>
      <c r="AD146" s="210"/>
      <c r="AE146" s="211"/>
      <c r="AF146" s="210"/>
      <c r="AG146" s="210"/>
      <c r="AH146" s="210"/>
      <c r="AI146" s="210"/>
      <c r="AJ146" s="211"/>
      <c r="AK146" s="210"/>
      <c r="AL146" s="210"/>
      <c r="AM146" s="210"/>
      <c r="AN146" s="210"/>
      <c r="AO146" s="211"/>
    </row>
    <row r="147" ht="10.5" customHeight="1" outlineLevel="1">
      <c r="A147" s="165" t="s">
        <v>403</v>
      </c>
      <c r="B147" s="210">
        <v>-5.188</v>
      </c>
      <c r="C147" s="210">
        <v>-10.375</v>
      </c>
      <c r="D147" s="210">
        <v>-15.563</v>
      </c>
      <c r="E147" s="210">
        <v>-20.749</v>
      </c>
      <c r="F147" s="211"/>
      <c r="G147" s="210">
        <v>-5.188</v>
      </c>
      <c r="H147" s="210">
        <v>-599.437</v>
      </c>
      <c r="I147" s="210">
        <v>-603.063</v>
      </c>
      <c r="J147" s="210">
        <v>-608.688</v>
      </c>
      <c r="K147" s="211"/>
      <c r="L147" s="210">
        <v>-5.625</v>
      </c>
      <c r="M147" s="210">
        <v>-11.25</v>
      </c>
      <c r="N147" s="210">
        <v>-16.875</v>
      </c>
      <c r="O147" s="210"/>
      <c r="P147" s="211"/>
      <c r="Q147" s="210"/>
      <c r="R147" s="210"/>
      <c r="S147" s="210"/>
      <c r="T147" s="210"/>
      <c r="U147" s="211"/>
      <c r="V147" s="210"/>
      <c r="W147" s="210"/>
      <c r="X147" s="210"/>
      <c r="Y147" s="210"/>
      <c r="Z147" s="211"/>
      <c r="AA147" s="210"/>
      <c r="AB147" s="210"/>
      <c r="AC147" s="210"/>
      <c r="AD147" s="210"/>
      <c r="AE147" s="211"/>
      <c r="AF147" s="210"/>
      <c r="AG147" s="210"/>
      <c r="AH147" s="210"/>
      <c r="AI147" s="210"/>
      <c r="AJ147" s="211"/>
      <c r="AK147" s="210"/>
      <c r="AL147" s="210"/>
      <c r="AM147" s="210"/>
      <c r="AN147" s="210"/>
      <c r="AO147" s="211"/>
    </row>
    <row r="148" ht="10.5" customHeight="1" outlineLevel="1">
      <c r="A148" s="165" t="s">
        <v>404</v>
      </c>
      <c r="B148" s="210">
        <v>0.0</v>
      </c>
      <c r="C148" s="210">
        <v>0.0</v>
      </c>
      <c r="D148" s="210">
        <v>0.0</v>
      </c>
      <c r="E148" s="210">
        <v>0.0</v>
      </c>
      <c r="F148" s="211"/>
      <c r="G148" s="210">
        <v>0.0</v>
      </c>
      <c r="H148" s="210">
        <v>-12.055</v>
      </c>
      <c r="I148" s="210">
        <v>-12.055</v>
      </c>
      <c r="J148" s="210">
        <v>-12.055</v>
      </c>
      <c r="K148" s="211"/>
      <c r="L148" s="210">
        <v>0.0</v>
      </c>
      <c r="M148" s="210">
        <v>0.0</v>
      </c>
      <c r="N148" s="210">
        <v>0.0</v>
      </c>
      <c r="O148" s="210"/>
      <c r="P148" s="211"/>
      <c r="Q148" s="210"/>
      <c r="R148" s="210"/>
      <c r="S148" s="210"/>
      <c r="T148" s="210"/>
      <c r="U148" s="211"/>
      <c r="V148" s="210"/>
      <c r="W148" s="210"/>
      <c r="X148" s="210"/>
      <c r="Y148" s="210"/>
      <c r="Z148" s="211"/>
      <c r="AA148" s="210"/>
      <c r="AB148" s="210"/>
      <c r="AC148" s="210"/>
      <c r="AD148" s="210"/>
      <c r="AE148" s="211"/>
      <c r="AF148" s="210"/>
      <c r="AG148" s="210"/>
      <c r="AH148" s="210"/>
      <c r="AI148" s="210"/>
      <c r="AJ148" s="211"/>
      <c r="AK148" s="210"/>
      <c r="AL148" s="210"/>
      <c r="AM148" s="210"/>
      <c r="AN148" s="210"/>
      <c r="AO148" s="211"/>
    </row>
    <row r="149" ht="10.5" customHeight="1" outlineLevel="1">
      <c r="A149" s="165" t="s">
        <v>405</v>
      </c>
      <c r="B149" s="210">
        <v>6.748</v>
      </c>
      <c r="C149" s="210">
        <v>8.372</v>
      </c>
      <c r="D149" s="210">
        <v>8.575</v>
      </c>
      <c r="E149" s="210">
        <v>9.16</v>
      </c>
      <c r="F149" s="211"/>
      <c r="G149" s="210">
        <v>0.45</v>
      </c>
      <c r="H149" s="210">
        <v>9.808</v>
      </c>
      <c r="I149" s="210">
        <v>17.221</v>
      </c>
      <c r="J149" s="210">
        <v>21.875</v>
      </c>
      <c r="K149" s="211"/>
      <c r="L149" s="210">
        <v>0.45</v>
      </c>
      <c r="M149" s="210">
        <v>1.177</v>
      </c>
      <c r="N149" s="210">
        <v>1.478</v>
      </c>
      <c r="O149" s="210"/>
      <c r="P149" s="211"/>
      <c r="Q149" s="210"/>
      <c r="R149" s="210"/>
      <c r="S149" s="210"/>
      <c r="T149" s="210"/>
      <c r="U149" s="211"/>
      <c r="V149" s="210"/>
      <c r="W149" s="210"/>
      <c r="X149" s="210"/>
      <c r="Y149" s="210"/>
      <c r="Z149" s="211"/>
      <c r="AA149" s="210"/>
      <c r="AB149" s="210"/>
      <c r="AC149" s="210"/>
      <c r="AD149" s="210"/>
      <c r="AE149" s="211"/>
      <c r="AF149" s="210"/>
      <c r="AG149" s="210"/>
      <c r="AH149" s="210"/>
      <c r="AI149" s="210"/>
      <c r="AJ149" s="211"/>
      <c r="AK149" s="210"/>
      <c r="AL149" s="210"/>
      <c r="AM149" s="210"/>
      <c r="AN149" s="210"/>
      <c r="AO149" s="211"/>
    </row>
    <row r="150" ht="10.5" customHeight="1" outlineLevel="1">
      <c r="A150" s="165" t="s">
        <v>406</v>
      </c>
      <c r="B150" s="210">
        <v>-25.005</v>
      </c>
      <c r="C150" s="210">
        <v>-125.03</v>
      </c>
      <c r="D150" s="210">
        <v>-125.03</v>
      </c>
      <c r="E150" s="210">
        <v>-125.03</v>
      </c>
      <c r="F150" s="211"/>
      <c r="G150" s="210">
        <v>-20.005</v>
      </c>
      <c r="H150" s="210">
        <v>-300.205</v>
      </c>
      <c r="I150" s="210">
        <v>-300.205</v>
      </c>
      <c r="J150" s="210">
        <v>-300.205</v>
      </c>
      <c r="K150" s="211"/>
      <c r="L150" s="210">
        <v>-50.009</v>
      </c>
      <c r="M150" s="210">
        <v>-52.085</v>
      </c>
      <c r="N150" s="210">
        <v>-150.026</v>
      </c>
      <c r="O150" s="210"/>
      <c r="P150" s="211"/>
      <c r="Q150" s="210"/>
      <c r="R150" s="210"/>
      <c r="S150" s="210"/>
      <c r="T150" s="210"/>
      <c r="U150" s="211"/>
      <c r="V150" s="210"/>
      <c r="W150" s="210"/>
      <c r="X150" s="210"/>
      <c r="Y150" s="210"/>
      <c r="Z150" s="211"/>
      <c r="AA150" s="210"/>
      <c r="AB150" s="210"/>
      <c r="AC150" s="210"/>
      <c r="AD150" s="210"/>
      <c r="AE150" s="211"/>
      <c r="AF150" s="210"/>
      <c r="AG150" s="210"/>
      <c r="AH150" s="210"/>
      <c r="AI150" s="210"/>
      <c r="AJ150" s="211"/>
      <c r="AK150" s="210"/>
      <c r="AL150" s="210"/>
      <c r="AM150" s="210"/>
      <c r="AN150" s="210"/>
      <c r="AO150" s="211"/>
    </row>
    <row r="151" ht="10.5" customHeight="1" outlineLevel="1">
      <c r="A151" s="165" t="s">
        <v>407</v>
      </c>
      <c r="B151" s="210">
        <v>0.0</v>
      </c>
      <c r="C151" s="210">
        <v>0.0</v>
      </c>
      <c r="D151" s="210">
        <v>0.0</v>
      </c>
      <c r="E151" s="210">
        <v>0.0</v>
      </c>
      <c r="F151" s="211"/>
      <c r="G151" s="210">
        <v>0.0</v>
      </c>
      <c r="H151" s="210">
        <v>0.0</v>
      </c>
      <c r="I151" s="210">
        <v>0.0</v>
      </c>
      <c r="J151" s="210">
        <v>0.0</v>
      </c>
      <c r="K151" s="211"/>
      <c r="L151" s="210">
        <v>0.0</v>
      </c>
      <c r="M151" s="210">
        <v>0.0</v>
      </c>
      <c r="N151" s="210">
        <v>0.0</v>
      </c>
      <c r="O151" s="210"/>
      <c r="P151" s="211"/>
      <c r="Q151" s="210"/>
      <c r="R151" s="210"/>
      <c r="S151" s="210"/>
      <c r="T151" s="210"/>
      <c r="U151" s="211"/>
      <c r="V151" s="210"/>
      <c r="W151" s="210"/>
      <c r="X151" s="210"/>
      <c r="Y151" s="210"/>
      <c r="Z151" s="211"/>
      <c r="AA151" s="210"/>
      <c r="AB151" s="210"/>
      <c r="AC151" s="210"/>
      <c r="AD151" s="210"/>
      <c r="AE151" s="211"/>
      <c r="AF151" s="210"/>
      <c r="AG151" s="210"/>
      <c r="AH151" s="210"/>
      <c r="AI151" s="210"/>
      <c r="AJ151" s="211"/>
      <c r="AK151" s="210"/>
      <c r="AL151" s="210"/>
      <c r="AM151" s="210"/>
      <c r="AN151" s="210"/>
      <c r="AO151" s="211"/>
    </row>
    <row r="152" ht="10.5" customHeight="1" outlineLevel="1">
      <c r="A152" s="165" t="s">
        <v>408</v>
      </c>
      <c r="B152" s="210">
        <v>0.0</v>
      </c>
      <c r="C152" s="210">
        <v>0.0</v>
      </c>
      <c r="D152" s="210">
        <v>0.0</v>
      </c>
      <c r="E152" s="210">
        <v>0.0</v>
      </c>
      <c r="F152" s="211"/>
      <c r="G152" s="210">
        <v>0.0</v>
      </c>
      <c r="H152" s="210">
        <v>0.0</v>
      </c>
      <c r="I152" s="210">
        <v>0.0</v>
      </c>
      <c r="J152" s="210">
        <v>0.0</v>
      </c>
      <c r="K152" s="211"/>
      <c r="L152" s="210">
        <v>0.0</v>
      </c>
      <c r="M152" s="210">
        <v>0.0</v>
      </c>
      <c r="N152" s="210">
        <v>0.0</v>
      </c>
      <c r="O152" s="210"/>
      <c r="P152" s="211"/>
      <c r="Q152" s="210"/>
      <c r="R152" s="210"/>
      <c r="S152" s="210"/>
      <c r="T152" s="210"/>
      <c r="U152" s="211"/>
      <c r="V152" s="210"/>
      <c r="W152" s="210"/>
      <c r="X152" s="210"/>
      <c r="Y152" s="210"/>
      <c r="Z152" s="211"/>
      <c r="AA152" s="210"/>
      <c r="AB152" s="210"/>
      <c r="AC152" s="210"/>
      <c r="AD152" s="210"/>
      <c r="AE152" s="211"/>
      <c r="AF152" s="210"/>
      <c r="AG152" s="210"/>
      <c r="AH152" s="210"/>
      <c r="AI152" s="210"/>
      <c r="AJ152" s="211"/>
      <c r="AK152" s="210"/>
      <c r="AL152" s="210"/>
      <c r="AM152" s="210"/>
      <c r="AN152" s="210"/>
      <c r="AO152" s="211"/>
    </row>
    <row r="153" ht="10.5" customHeight="1" outlineLevel="1">
      <c r="A153" s="165" t="s">
        <v>409</v>
      </c>
      <c r="B153" s="210">
        <v>0.0</v>
      </c>
      <c r="C153" s="210">
        <v>0.0</v>
      </c>
      <c r="D153" s="210">
        <v>0.0</v>
      </c>
      <c r="E153" s="210">
        <v>0.0</v>
      </c>
      <c r="F153" s="211"/>
      <c r="G153" s="210">
        <v>0.0</v>
      </c>
      <c r="H153" s="210">
        <v>0.0</v>
      </c>
      <c r="I153" s="210">
        <v>0.0</v>
      </c>
      <c r="J153" s="210">
        <v>0.0</v>
      </c>
      <c r="K153" s="211"/>
      <c r="L153" s="210">
        <v>0.0</v>
      </c>
      <c r="M153" s="210">
        <v>0.0</v>
      </c>
      <c r="N153" s="210">
        <v>0.0</v>
      </c>
      <c r="O153" s="210"/>
      <c r="P153" s="211"/>
      <c r="Q153" s="210"/>
      <c r="R153" s="210"/>
      <c r="S153" s="210"/>
      <c r="T153" s="210"/>
      <c r="U153" s="211"/>
      <c r="V153" s="210"/>
      <c r="W153" s="210"/>
      <c r="X153" s="210"/>
      <c r="Y153" s="210"/>
      <c r="Z153" s="211"/>
      <c r="AA153" s="210"/>
      <c r="AB153" s="210"/>
      <c r="AC153" s="210"/>
      <c r="AD153" s="210"/>
      <c r="AE153" s="211"/>
      <c r="AF153" s="210"/>
      <c r="AG153" s="210"/>
      <c r="AH153" s="210"/>
      <c r="AI153" s="210"/>
      <c r="AJ153" s="211"/>
      <c r="AK153" s="210"/>
      <c r="AL153" s="210"/>
      <c r="AM153" s="210"/>
      <c r="AN153" s="210"/>
      <c r="AO153" s="211"/>
    </row>
    <row r="154" ht="10.5" customHeight="1" outlineLevel="1">
      <c r="A154" s="165" t="s">
        <v>410</v>
      </c>
      <c r="B154" s="210">
        <v>0.0</v>
      </c>
      <c r="C154" s="210">
        <v>0.0</v>
      </c>
      <c r="D154" s="210">
        <v>0.0</v>
      </c>
      <c r="E154" s="210">
        <v>0.0</v>
      </c>
      <c r="F154" s="211"/>
      <c r="G154" s="210">
        <v>0.0</v>
      </c>
      <c r="H154" s="210">
        <v>0.0</v>
      </c>
      <c r="I154" s="210">
        <v>0.0</v>
      </c>
      <c r="J154" s="210">
        <v>0.0</v>
      </c>
      <c r="K154" s="211"/>
      <c r="L154" s="210">
        <v>0.0</v>
      </c>
      <c r="M154" s="210">
        <v>-2.549</v>
      </c>
      <c r="N154" s="210">
        <v>-2.549</v>
      </c>
      <c r="O154" s="210"/>
      <c r="P154" s="211"/>
      <c r="Q154" s="210"/>
      <c r="R154" s="210"/>
      <c r="S154" s="210"/>
      <c r="T154" s="210"/>
      <c r="U154" s="211"/>
      <c r="V154" s="210"/>
      <c r="W154" s="210"/>
      <c r="X154" s="210"/>
      <c r="Y154" s="210"/>
      <c r="Z154" s="211"/>
      <c r="AA154" s="210"/>
      <c r="AB154" s="210"/>
      <c r="AC154" s="210"/>
      <c r="AD154" s="210"/>
      <c r="AE154" s="211"/>
      <c r="AF154" s="210"/>
      <c r="AG154" s="210"/>
      <c r="AH154" s="210"/>
      <c r="AI154" s="210"/>
      <c r="AJ154" s="211"/>
      <c r="AK154" s="210"/>
      <c r="AL154" s="210"/>
      <c r="AM154" s="210"/>
      <c r="AN154" s="210"/>
      <c r="AO154" s="211"/>
    </row>
    <row r="155" ht="10.5" customHeight="1" outlineLevel="1">
      <c r="A155" s="215" t="s">
        <v>411</v>
      </c>
      <c r="B155" s="213">
        <v>-1.106</v>
      </c>
      <c r="C155" s="213">
        <v>-3.736</v>
      </c>
      <c r="D155" s="213">
        <v>-4.216</v>
      </c>
      <c r="E155" s="213">
        <v>-4.605</v>
      </c>
      <c r="F155" s="214"/>
      <c r="G155" s="213">
        <v>-0.218</v>
      </c>
      <c r="H155" s="213">
        <v>-1.732</v>
      </c>
      <c r="I155" s="213">
        <v>-3.345</v>
      </c>
      <c r="J155" s="213">
        <f>-4.792-1.032</f>
        <v>-5.824</v>
      </c>
      <c r="K155" s="214"/>
      <c r="L155" s="213">
        <v>-0.0349</v>
      </c>
      <c r="M155" s="213">
        <v>-1.331</v>
      </c>
      <c r="N155" s="213">
        <v>-1.521</v>
      </c>
      <c r="O155" s="213"/>
      <c r="P155" s="214"/>
      <c r="Q155" s="213"/>
      <c r="R155" s="213"/>
      <c r="S155" s="213"/>
      <c r="T155" s="213"/>
      <c r="U155" s="214"/>
      <c r="V155" s="213"/>
      <c r="W155" s="213"/>
      <c r="X155" s="213"/>
      <c r="Y155" s="213"/>
      <c r="Z155" s="214"/>
      <c r="AA155" s="213"/>
      <c r="AB155" s="213"/>
      <c r="AC155" s="213"/>
      <c r="AD155" s="213"/>
      <c r="AE155" s="214"/>
      <c r="AF155" s="213"/>
      <c r="AG155" s="213"/>
      <c r="AH155" s="213"/>
      <c r="AI155" s="213"/>
      <c r="AJ155" s="214"/>
      <c r="AK155" s="213"/>
      <c r="AL155" s="213"/>
      <c r="AM155" s="213"/>
      <c r="AN155" s="213"/>
      <c r="AO155" s="214"/>
    </row>
    <row r="156" ht="10.5" customHeight="1" outlineLevel="1">
      <c r="A156" s="315" t="s">
        <v>412</v>
      </c>
      <c r="B156" s="316">
        <v>-24.607</v>
      </c>
      <c r="C156" s="316">
        <v>-130.876</v>
      </c>
      <c r="D156" s="316">
        <v>-136.386</v>
      </c>
      <c r="E156" s="316">
        <v>-141.417</v>
      </c>
      <c r="F156" s="317"/>
      <c r="G156" s="316">
        <v>-24.997</v>
      </c>
      <c r="H156" s="316">
        <v>-103.693</v>
      </c>
      <c r="I156" s="316">
        <v>-101.547</v>
      </c>
      <c r="J156" s="316">
        <v>-104.995</v>
      </c>
      <c r="K156" s="317"/>
      <c r="L156" s="316">
        <v>-55.359</v>
      </c>
      <c r="M156" s="316">
        <v>-66.089</v>
      </c>
      <c r="N156" s="316">
        <f>SUM(N144:N155)</f>
        <v>-169.586</v>
      </c>
      <c r="O156" s="316"/>
      <c r="P156" s="317"/>
      <c r="Q156" s="316"/>
      <c r="R156" s="316"/>
      <c r="S156" s="316"/>
      <c r="T156" s="316"/>
      <c r="U156" s="317"/>
      <c r="V156" s="316"/>
      <c r="W156" s="316"/>
      <c r="X156" s="316"/>
      <c r="Y156" s="316"/>
      <c r="Z156" s="317"/>
      <c r="AA156" s="316"/>
      <c r="AB156" s="316"/>
      <c r="AC156" s="316"/>
      <c r="AD156" s="316"/>
      <c r="AE156" s="317"/>
      <c r="AF156" s="316"/>
      <c r="AG156" s="316"/>
      <c r="AH156" s="316"/>
      <c r="AI156" s="316"/>
      <c r="AJ156" s="317"/>
      <c r="AK156" s="316"/>
      <c r="AL156" s="316"/>
      <c r="AM156" s="316"/>
      <c r="AN156" s="316"/>
      <c r="AO156" s="317"/>
    </row>
    <row r="157" ht="10.5" customHeight="1" outlineLevel="1">
      <c r="A157" s="318" t="s">
        <v>413</v>
      </c>
      <c r="B157" s="316">
        <v>0.198</v>
      </c>
      <c r="C157" s="316">
        <v>0.728</v>
      </c>
      <c r="D157" s="316">
        <v>0.233</v>
      </c>
      <c r="E157" s="316">
        <v>0.776</v>
      </c>
      <c r="F157" s="317"/>
      <c r="G157" s="316">
        <v>-0.315</v>
      </c>
      <c r="H157" s="316">
        <v>-1.179</v>
      </c>
      <c r="I157" s="316">
        <v>-0.456</v>
      </c>
      <c r="J157" s="316">
        <v>-2.614</v>
      </c>
      <c r="K157" s="317"/>
      <c r="L157" s="316">
        <v>0.348</v>
      </c>
      <c r="M157" s="316">
        <v>1.658</v>
      </c>
      <c r="N157" s="316">
        <v>2.0</v>
      </c>
      <c r="O157" s="316"/>
      <c r="P157" s="317"/>
      <c r="Q157" s="316"/>
      <c r="R157" s="316"/>
      <c r="S157" s="316"/>
      <c r="T157" s="316"/>
      <c r="U157" s="317"/>
      <c r="V157" s="316"/>
      <c r="W157" s="316"/>
      <c r="X157" s="316"/>
      <c r="Y157" s="316"/>
      <c r="Z157" s="317"/>
      <c r="AA157" s="316"/>
      <c r="AB157" s="316"/>
      <c r="AC157" s="316"/>
      <c r="AD157" s="316"/>
      <c r="AE157" s="317"/>
      <c r="AF157" s="316"/>
      <c r="AG157" s="316"/>
      <c r="AH157" s="316"/>
      <c r="AI157" s="316"/>
      <c r="AJ157" s="317"/>
      <c r="AK157" s="316"/>
      <c r="AL157" s="316"/>
      <c r="AM157" s="316"/>
      <c r="AN157" s="316"/>
      <c r="AO157" s="317"/>
    </row>
    <row r="158" ht="10.5" customHeight="1" outlineLevel="1">
      <c r="A158" s="238" t="s">
        <v>414</v>
      </c>
      <c r="B158" s="257">
        <v>50.504</v>
      </c>
      <c r="C158" s="257">
        <v>-173.839</v>
      </c>
      <c r="D158" s="257">
        <v>-117.148</v>
      </c>
      <c r="E158" s="257">
        <v>-150.378</v>
      </c>
      <c r="F158" s="319"/>
      <c r="G158" s="257">
        <v>25.776</v>
      </c>
      <c r="H158" s="257">
        <v>-27.36</v>
      </c>
      <c r="I158" s="257">
        <v>44.428</v>
      </c>
      <c r="J158" s="257">
        <v>27.553</v>
      </c>
      <c r="K158" s="319"/>
      <c r="L158" s="257">
        <v>50.817</v>
      </c>
      <c r="M158" s="257">
        <v>42.501</v>
      </c>
      <c r="N158" s="257">
        <v>35.734</v>
      </c>
      <c r="O158" s="257"/>
      <c r="P158" s="319"/>
      <c r="Q158" s="257"/>
      <c r="R158" s="257"/>
      <c r="S158" s="257"/>
      <c r="T158" s="257"/>
      <c r="U158" s="319"/>
      <c r="V158" s="257"/>
      <c r="W158" s="257"/>
      <c r="X158" s="257"/>
      <c r="Y158" s="257"/>
      <c r="Z158" s="319"/>
      <c r="AA158" s="257"/>
      <c r="AB158" s="257"/>
      <c r="AC158" s="257"/>
      <c r="AD158" s="257"/>
      <c r="AE158" s="319"/>
      <c r="AF158" s="257"/>
      <c r="AG158" s="257"/>
      <c r="AH158" s="257"/>
      <c r="AI158" s="257"/>
      <c r="AJ158" s="319"/>
      <c r="AK158" s="257"/>
      <c r="AL158" s="257"/>
      <c r="AM158" s="257"/>
      <c r="AN158" s="257"/>
      <c r="AO158" s="319"/>
    </row>
    <row r="159" ht="10.5" customHeight="1" outlineLevel="1">
      <c r="A159" s="165" t="s">
        <v>415</v>
      </c>
      <c r="B159" s="210">
        <v>472.499</v>
      </c>
      <c r="C159" s="210">
        <v>472.499</v>
      </c>
      <c r="D159" s="210">
        <v>472.499</v>
      </c>
      <c r="E159" s="210">
        <v>472.499</v>
      </c>
      <c r="F159" s="211"/>
      <c r="G159" s="210">
        <v>322.121</v>
      </c>
      <c r="H159" s="210">
        <v>322.121</v>
      </c>
      <c r="I159" s="210">
        <v>322.121</v>
      </c>
      <c r="J159" s="210">
        <v>322.121</v>
      </c>
      <c r="K159" s="211"/>
      <c r="L159" s="210">
        <v>349.674</v>
      </c>
      <c r="M159" s="210">
        <v>349.674</v>
      </c>
      <c r="N159" s="210">
        <v>349.674</v>
      </c>
      <c r="O159" s="210"/>
      <c r="P159" s="211"/>
      <c r="Q159" s="210"/>
      <c r="R159" s="210"/>
      <c r="S159" s="210"/>
      <c r="T159" s="210"/>
      <c r="U159" s="211"/>
      <c r="V159" s="210"/>
      <c r="W159" s="210"/>
      <c r="X159" s="210"/>
      <c r="Y159" s="210"/>
      <c r="Z159" s="211"/>
      <c r="AA159" s="210"/>
      <c r="AB159" s="210"/>
      <c r="AC159" s="210"/>
      <c r="AD159" s="210"/>
      <c r="AE159" s="211"/>
      <c r="AF159" s="210"/>
      <c r="AG159" s="210"/>
      <c r="AH159" s="210"/>
      <c r="AI159" s="210"/>
      <c r="AJ159" s="211"/>
      <c r="AK159" s="210"/>
      <c r="AL159" s="210"/>
      <c r="AM159" s="210"/>
      <c r="AN159" s="210"/>
      <c r="AO159" s="211"/>
    </row>
    <row r="160" ht="10.5" customHeight="1" outlineLevel="1">
      <c r="A160" s="277" t="s">
        <v>416</v>
      </c>
      <c r="B160" s="320">
        <v>523.003</v>
      </c>
      <c r="C160" s="320">
        <v>298.66</v>
      </c>
      <c r="D160" s="320">
        <v>355.351</v>
      </c>
      <c r="E160" s="320">
        <v>322.121</v>
      </c>
      <c r="F160" s="321"/>
      <c r="G160" s="320">
        <v>347.897</v>
      </c>
      <c r="H160" s="320">
        <v>294.761</v>
      </c>
      <c r="I160" s="320">
        <v>366.549</v>
      </c>
      <c r="J160" s="320">
        <v>349.674</v>
      </c>
      <c r="K160" s="321"/>
      <c r="L160" s="320">
        <v>400.491</v>
      </c>
      <c r="M160" s="320">
        <v>392.175</v>
      </c>
      <c r="N160" s="320">
        <v>385.408</v>
      </c>
      <c r="O160" s="320"/>
      <c r="P160" s="321"/>
      <c r="Q160" s="320"/>
      <c r="R160" s="320"/>
      <c r="S160" s="320"/>
      <c r="T160" s="320"/>
      <c r="U160" s="321"/>
      <c r="V160" s="320"/>
      <c r="W160" s="320"/>
      <c r="X160" s="320"/>
      <c r="Y160" s="320"/>
      <c r="Z160" s="321"/>
      <c r="AA160" s="320"/>
      <c r="AB160" s="320"/>
      <c r="AC160" s="320"/>
      <c r="AD160" s="320"/>
      <c r="AE160" s="321"/>
      <c r="AF160" s="320"/>
      <c r="AG160" s="320"/>
      <c r="AH160" s="320"/>
      <c r="AI160" s="320"/>
      <c r="AJ160" s="321"/>
      <c r="AK160" s="320"/>
      <c r="AL160" s="320"/>
      <c r="AM160" s="320"/>
      <c r="AN160" s="320"/>
      <c r="AO160" s="321"/>
    </row>
    <row r="161" ht="10.5" customHeight="1" outlineLevel="1">
      <c r="A161" s="238"/>
      <c r="B161" s="257"/>
      <c r="C161" s="257"/>
      <c r="D161" s="257"/>
      <c r="E161" s="257"/>
      <c r="F161" s="319"/>
      <c r="G161" s="257"/>
      <c r="H161" s="257"/>
      <c r="I161" s="257"/>
      <c r="J161" s="257"/>
      <c r="K161" s="319"/>
      <c r="L161" s="257"/>
      <c r="M161" s="257"/>
      <c r="N161" s="257"/>
      <c r="O161" s="257"/>
      <c r="P161" s="319"/>
      <c r="Q161" s="257"/>
      <c r="R161" s="257"/>
      <c r="S161" s="257"/>
      <c r="T161" s="257"/>
      <c r="U161" s="319"/>
      <c r="V161" s="257"/>
      <c r="W161" s="257"/>
      <c r="X161" s="257"/>
      <c r="Y161" s="257"/>
      <c r="Z161" s="319"/>
      <c r="AA161" s="257"/>
      <c r="AB161" s="257"/>
      <c r="AC161" s="257"/>
      <c r="AD161" s="257"/>
      <c r="AE161" s="319"/>
      <c r="AF161" s="257"/>
      <c r="AG161" s="257"/>
      <c r="AH161" s="257"/>
      <c r="AI161" s="257"/>
      <c r="AJ161" s="319"/>
      <c r="AK161" s="257"/>
      <c r="AL161" s="257"/>
      <c r="AM161" s="257"/>
      <c r="AN161" s="257"/>
      <c r="AO161" s="319"/>
    </row>
    <row r="162" ht="10.5" customHeight="1" outlineLevel="1">
      <c r="A162" s="238"/>
      <c r="B162" s="257"/>
      <c r="C162" s="257"/>
      <c r="D162" s="257"/>
      <c r="E162" s="257"/>
      <c r="F162" s="319"/>
      <c r="G162" s="257"/>
      <c r="H162" s="257"/>
      <c r="I162" s="257"/>
      <c r="J162" s="257"/>
      <c r="K162" s="319"/>
      <c r="L162" s="257"/>
      <c r="M162" s="257"/>
      <c r="N162" s="257"/>
      <c r="O162" s="257"/>
      <c r="P162" s="319"/>
      <c r="Q162" s="257"/>
      <c r="R162" s="257"/>
      <c r="S162" s="257"/>
      <c r="T162" s="257"/>
      <c r="U162" s="319"/>
      <c r="V162" s="257"/>
      <c r="W162" s="257"/>
      <c r="X162" s="257"/>
      <c r="Y162" s="257"/>
      <c r="Z162" s="319"/>
      <c r="AA162" s="257"/>
      <c r="AB162" s="257"/>
      <c r="AC162" s="257"/>
      <c r="AD162" s="257"/>
      <c r="AE162" s="319"/>
      <c r="AF162" s="257"/>
      <c r="AG162" s="257"/>
      <c r="AH162" s="257"/>
      <c r="AI162" s="257"/>
      <c r="AJ162" s="319"/>
      <c r="AK162" s="257"/>
      <c r="AL162" s="257"/>
      <c r="AM162" s="257"/>
      <c r="AN162" s="257"/>
      <c r="AO162" s="319"/>
    </row>
    <row r="163" ht="10.5" customHeight="1" outlineLevel="1">
      <c r="A163" s="238"/>
      <c r="B163" s="257"/>
      <c r="C163" s="257"/>
      <c r="D163" s="257"/>
      <c r="E163" s="257"/>
      <c r="F163" s="319"/>
      <c r="G163" s="257"/>
      <c r="H163" s="257"/>
      <c r="I163" s="257"/>
      <c r="J163" s="257"/>
      <c r="K163" s="319"/>
      <c r="L163" s="257"/>
      <c r="M163" s="257"/>
      <c r="N163" s="257"/>
      <c r="O163" s="257"/>
      <c r="P163" s="319"/>
      <c r="Q163" s="257"/>
      <c r="R163" s="257"/>
      <c r="S163" s="257"/>
      <c r="T163" s="257"/>
      <c r="U163" s="319"/>
      <c r="V163" s="257"/>
      <c r="W163" s="257"/>
      <c r="X163" s="257"/>
      <c r="Y163" s="257"/>
      <c r="Z163" s="319"/>
      <c r="AA163" s="257"/>
      <c r="AB163" s="257"/>
      <c r="AC163" s="257"/>
      <c r="AD163" s="257"/>
      <c r="AE163" s="319"/>
      <c r="AF163" s="257"/>
      <c r="AG163" s="257"/>
      <c r="AH163" s="257"/>
      <c r="AI163" s="257"/>
      <c r="AJ163" s="319"/>
      <c r="AK163" s="257"/>
      <c r="AL163" s="257"/>
      <c r="AM163" s="257"/>
      <c r="AN163" s="257"/>
      <c r="AO163" s="319"/>
    </row>
    <row r="164" ht="10.5" customHeight="1" outlineLevel="1">
      <c r="A164" s="238" t="s">
        <v>417</v>
      </c>
      <c r="B164" s="210"/>
      <c r="C164" s="210"/>
      <c r="D164" s="210"/>
      <c r="E164" s="210"/>
      <c r="F164" s="211"/>
      <c r="G164" s="210"/>
      <c r="H164" s="210"/>
      <c r="I164" s="210"/>
      <c r="J164" s="210"/>
      <c r="K164" s="211"/>
      <c r="L164" s="210"/>
      <c r="M164" s="210"/>
      <c r="N164" s="210"/>
      <c r="O164" s="210"/>
      <c r="P164" s="211"/>
      <c r="Q164" s="210"/>
      <c r="R164" s="210"/>
      <c r="S164" s="210"/>
      <c r="T164" s="210"/>
      <c r="U164" s="211"/>
      <c r="V164" s="210"/>
      <c r="W164" s="210"/>
      <c r="X164" s="210"/>
      <c r="Y164" s="210"/>
      <c r="Z164" s="211"/>
      <c r="AA164" s="210"/>
      <c r="AB164" s="210"/>
      <c r="AC164" s="210"/>
      <c r="AD164" s="210"/>
      <c r="AE164" s="211"/>
      <c r="AF164" s="210"/>
      <c r="AG164" s="210"/>
      <c r="AH164" s="210"/>
      <c r="AI164" s="210"/>
      <c r="AJ164" s="211"/>
      <c r="AK164" s="210"/>
      <c r="AL164" s="210"/>
      <c r="AM164" s="210"/>
      <c r="AN164" s="210"/>
      <c r="AO164" s="211"/>
    </row>
    <row r="165" ht="10.5" customHeight="1" outlineLevel="1">
      <c r="A165" s="165" t="s">
        <v>418</v>
      </c>
      <c r="B165" s="210">
        <v>-1.016</v>
      </c>
      <c r="C165" s="210">
        <v>2.763</v>
      </c>
      <c r="D165" s="210">
        <v>4.394</v>
      </c>
      <c r="E165" s="210">
        <v>5.258</v>
      </c>
      <c r="F165" s="211"/>
      <c r="G165" s="210">
        <v>1.013</v>
      </c>
      <c r="H165" s="210">
        <v>9.168</v>
      </c>
      <c r="I165" s="210">
        <v>11.248</v>
      </c>
      <c r="J165" s="210">
        <v>12.072</v>
      </c>
      <c r="K165" s="211"/>
      <c r="L165" s="210">
        <v>0.289</v>
      </c>
      <c r="M165" s="210">
        <v>18.285</v>
      </c>
      <c r="N165" s="210">
        <v>19.414</v>
      </c>
      <c r="O165" s="210"/>
      <c r="P165" s="211"/>
      <c r="Q165" s="210"/>
      <c r="R165" s="210"/>
      <c r="S165" s="210"/>
      <c r="T165" s="210"/>
      <c r="U165" s="211"/>
      <c r="V165" s="210"/>
      <c r="W165" s="210"/>
      <c r="X165" s="210"/>
      <c r="Y165" s="210"/>
      <c r="Z165" s="211"/>
      <c r="AA165" s="210"/>
      <c r="AB165" s="210"/>
      <c r="AC165" s="210"/>
      <c r="AD165" s="210"/>
      <c r="AE165" s="211"/>
      <c r="AF165" s="210"/>
      <c r="AG165" s="210"/>
      <c r="AH165" s="210"/>
      <c r="AI165" s="210"/>
      <c r="AJ165" s="211"/>
      <c r="AK165" s="210"/>
      <c r="AL165" s="210"/>
      <c r="AM165" s="210"/>
      <c r="AN165" s="210"/>
      <c r="AO165" s="211"/>
    </row>
    <row r="166" ht="10.5" customHeight="1" outlineLevel="1">
      <c r="A166" s="165" t="s">
        <v>419</v>
      </c>
      <c r="B166" s="210">
        <v>20.373</v>
      </c>
      <c r="C166" s="210">
        <v>40.693</v>
      </c>
      <c r="D166" s="210">
        <v>60.964</v>
      </c>
      <c r="E166" s="210">
        <v>81.184</v>
      </c>
      <c r="F166" s="211"/>
      <c r="G166" s="210">
        <v>20.165</v>
      </c>
      <c r="H166" s="210">
        <v>40.814</v>
      </c>
      <c r="I166" s="210">
        <v>53.718</v>
      </c>
      <c r="J166" s="210">
        <v>90.853</v>
      </c>
      <c r="K166" s="211"/>
      <c r="L166" s="210">
        <v>25.065</v>
      </c>
      <c r="M166" s="210">
        <v>50.067</v>
      </c>
      <c r="N166" s="210">
        <v>75.004</v>
      </c>
      <c r="O166" s="210"/>
      <c r="P166" s="211"/>
      <c r="Q166" s="210"/>
      <c r="R166" s="210"/>
      <c r="S166" s="210"/>
      <c r="T166" s="210"/>
      <c r="U166" s="211"/>
      <c r="V166" s="210"/>
      <c r="W166" s="210"/>
      <c r="X166" s="210"/>
      <c r="Y166" s="210"/>
      <c r="Z166" s="211"/>
      <c r="AA166" s="210"/>
      <c r="AB166" s="210"/>
      <c r="AC166" s="210"/>
      <c r="AD166" s="210"/>
      <c r="AE166" s="211"/>
      <c r="AF166" s="210"/>
      <c r="AG166" s="210"/>
      <c r="AH166" s="210"/>
      <c r="AI166" s="210"/>
      <c r="AJ166" s="211"/>
      <c r="AK166" s="210"/>
      <c r="AL166" s="210"/>
      <c r="AM166" s="210"/>
      <c r="AN166" s="210"/>
      <c r="AO166" s="211"/>
    </row>
    <row r="167" ht="10.5" customHeight="1" outlineLevel="1">
      <c r="A167" s="165" t="s">
        <v>420</v>
      </c>
      <c r="B167" s="210"/>
      <c r="C167" s="210"/>
      <c r="D167" s="210"/>
      <c r="E167" s="210"/>
      <c r="F167" s="211"/>
      <c r="G167" s="210"/>
      <c r="H167" s="210"/>
      <c r="I167" s="210"/>
      <c r="J167" s="210"/>
      <c r="K167" s="211"/>
      <c r="L167" s="210"/>
      <c r="M167" s="210"/>
      <c r="N167" s="210"/>
      <c r="O167" s="210"/>
      <c r="P167" s="211"/>
      <c r="Q167" s="210"/>
      <c r="R167" s="210"/>
      <c r="S167" s="210"/>
      <c r="T167" s="210"/>
      <c r="U167" s="211"/>
      <c r="V167" s="210"/>
      <c r="W167" s="210"/>
      <c r="X167" s="210"/>
      <c r="Y167" s="210"/>
      <c r="Z167" s="211"/>
      <c r="AA167" s="210"/>
      <c r="AB167" s="210"/>
      <c r="AC167" s="210"/>
      <c r="AD167" s="210"/>
      <c r="AE167" s="211"/>
      <c r="AF167" s="210"/>
      <c r="AG167" s="210"/>
      <c r="AH167" s="210"/>
      <c r="AI167" s="210"/>
      <c r="AJ167" s="211"/>
      <c r="AK167" s="210"/>
      <c r="AL167" s="210"/>
      <c r="AM167" s="210"/>
      <c r="AN167" s="210"/>
      <c r="AO167" s="211"/>
    </row>
    <row r="168" ht="10.5" customHeight="1" outlineLevel="1">
      <c r="A168" s="165" t="s">
        <v>421</v>
      </c>
      <c r="B168" s="210">
        <v>11.682</v>
      </c>
      <c r="C168" s="210">
        <v>15.058</v>
      </c>
      <c r="D168" s="210">
        <v>20.59</v>
      </c>
      <c r="E168" s="210">
        <v>18.639</v>
      </c>
      <c r="F168" s="211"/>
      <c r="G168" s="210">
        <v>11.4</v>
      </c>
      <c r="H168" s="210">
        <v>18.645</v>
      </c>
      <c r="I168" s="210">
        <v>18.446</v>
      </c>
      <c r="J168" s="210">
        <v>11.423</v>
      </c>
      <c r="K168" s="211"/>
      <c r="L168" s="210">
        <v>10.645</v>
      </c>
      <c r="M168" s="210">
        <v>16.667</v>
      </c>
      <c r="N168" s="210">
        <v>22.159</v>
      </c>
      <c r="O168" s="210"/>
      <c r="P168" s="211"/>
      <c r="Q168" s="210"/>
      <c r="R168" s="210"/>
      <c r="S168" s="210"/>
      <c r="T168" s="210"/>
      <c r="U168" s="211"/>
      <c r="V168" s="210"/>
      <c r="W168" s="210"/>
      <c r="X168" s="210"/>
      <c r="Y168" s="210"/>
      <c r="Z168" s="211"/>
      <c r="AA168" s="210"/>
      <c r="AB168" s="210"/>
      <c r="AC168" s="210"/>
      <c r="AD168" s="210"/>
      <c r="AE168" s="211"/>
      <c r="AF168" s="210"/>
      <c r="AG168" s="210"/>
      <c r="AH168" s="210"/>
      <c r="AI168" s="210"/>
      <c r="AJ168" s="211"/>
      <c r="AK168" s="210"/>
      <c r="AL168" s="210"/>
      <c r="AM168" s="210"/>
      <c r="AN168" s="210"/>
      <c r="AO168" s="211"/>
    </row>
    <row r="169" ht="10.5" customHeight="1" outlineLevel="1">
      <c r="A169" s="165" t="s">
        <v>422</v>
      </c>
      <c r="B169" s="210">
        <v>0.0</v>
      </c>
      <c r="C169" s="210">
        <v>0.0</v>
      </c>
      <c r="D169" s="210">
        <v>1.048</v>
      </c>
      <c r="E169" s="210">
        <v>17.0</v>
      </c>
      <c r="F169" s="211"/>
      <c r="G169" s="210">
        <v>0.0</v>
      </c>
      <c r="H169" s="210">
        <v>0.0</v>
      </c>
      <c r="I169" s="210">
        <v>0.0</v>
      </c>
      <c r="J169" s="210">
        <v>0.0</v>
      </c>
      <c r="K169" s="211"/>
      <c r="L169" s="210">
        <v>0.0</v>
      </c>
      <c r="M169" s="210">
        <v>0.0</v>
      </c>
      <c r="N169" s="210">
        <v>0.0</v>
      </c>
      <c r="O169" s="210"/>
      <c r="P169" s="211"/>
      <c r="Q169" s="210"/>
      <c r="R169" s="210"/>
      <c r="S169" s="210"/>
      <c r="T169" s="210"/>
      <c r="U169" s="211"/>
      <c r="V169" s="210"/>
      <c r="W169" s="210"/>
      <c r="X169" s="210"/>
      <c r="Y169" s="210"/>
      <c r="Z169" s="211"/>
      <c r="AA169" s="210"/>
      <c r="AB169" s="210"/>
      <c r="AC169" s="210"/>
      <c r="AD169" s="210"/>
      <c r="AE169" s="211"/>
      <c r="AF169" s="210"/>
      <c r="AG169" s="210"/>
      <c r="AH169" s="210"/>
      <c r="AI169" s="210"/>
      <c r="AJ169" s="211"/>
      <c r="AK169" s="210"/>
      <c r="AL169" s="210"/>
      <c r="AM169" s="210"/>
      <c r="AN169" s="210"/>
      <c r="AO169" s="211"/>
    </row>
    <row r="170" ht="10.5" customHeight="1" outlineLevel="1">
      <c r="A170" s="165" t="s">
        <v>423</v>
      </c>
      <c r="B170" s="210">
        <v>0.0</v>
      </c>
      <c r="C170" s="210">
        <v>0.0</v>
      </c>
      <c r="D170" s="210">
        <v>0.0</v>
      </c>
      <c r="E170" s="210">
        <v>0.0</v>
      </c>
      <c r="F170" s="211"/>
      <c r="G170" s="210">
        <v>0.0</v>
      </c>
      <c r="H170" s="210">
        <v>0.0</v>
      </c>
      <c r="I170" s="210">
        <v>0.0</v>
      </c>
      <c r="J170" s="210">
        <v>0.0</v>
      </c>
      <c r="K170" s="211"/>
      <c r="L170" s="210">
        <v>0.0</v>
      </c>
      <c r="M170" s="210">
        <v>0.0</v>
      </c>
      <c r="N170" s="210">
        <v>0.0</v>
      </c>
      <c r="O170" s="210"/>
      <c r="P170" s="211"/>
      <c r="Q170" s="210"/>
      <c r="R170" s="210"/>
      <c r="S170" s="210"/>
      <c r="T170" s="210"/>
      <c r="U170" s="211"/>
      <c r="V170" s="210"/>
      <c r="W170" s="210"/>
      <c r="X170" s="210"/>
      <c r="Y170" s="210"/>
      <c r="Z170" s="211"/>
      <c r="AA170" s="210"/>
      <c r="AB170" s="210"/>
      <c r="AC170" s="210"/>
      <c r="AD170" s="210"/>
      <c r="AE170" s="211"/>
      <c r="AF170" s="210"/>
      <c r="AG170" s="210"/>
      <c r="AH170" s="210"/>
      <c r="AI170" s="210"/>
      <c r="AJ170" s="211"/>
      <c r="AK170" s="210"/>
      <c r="AL170" s="210"/>
      <c r="AM170" s="210"/>
      <c r="AN170" s="210"/>
      <c r="AO170" s="211"/>
    </row>
    <row r="171" ht="10.5" customHeight="1" outlineLevel="1">
      <c r="A171" s="165" t="s">
        <v>424</v>
      </c>
      <c r="B171" s="210">
        <v>0.0</v>
      </c>
      <c r="C171" s="210">
        <v>0.0</v>
      </c>
      <c r="D171" s="210">
        <v>0.0</v>
      </c>
      <c r="E171" s="210">
        <v>0.0</v>
      </c>
      <c r="F171" s="211"/>
      <c r="G171" s="210">
        <v>0.0</v>
      </c>
      <c r="H171" s="210">
        <v>0.0</v>
      </c>
      <c r="I171" s="210">
        <v>0.0</v>
      </c>
      <c r="J171" s="210">
        <v>0.0</v>
      </c>
      <c r="K171" s="211"/>
      <c r="L171" s="210">
        <v>0.0</v>
      </c>
      <c r="M171" s="210">
        <v>0.0</v>
      </c>
      <c r="N171" s="210">
        <v>0.0</v>
      </c>
      <c r="O171" s="210"/>
      <c r="P171" s="211"/>
      <c r="Q171" s="210"/>
      <c r="R171" s="210"/>
      <c r="S171" s="210"/>
      <c r="T171" s="210"/>
      <c r="U171" s="211"/>
      <c r="V171" s="210"/>
      <c r="W171" s="210"/>
      <c r="X171" s="210"/>
      <c r="Y171" s="210"/>
      <c r="Z171" s="211"/>
      <c r="AA171" s="210"/>
      <c r="AB171" s="210"/>
      <c r="AC171" s="210"/>
      <c r="AD171" s="210"/>
      <c r="AE171" s="211"/>
      <c r="AF171" s="210"/>
      <c r="AG171" s="210"/>
      <c r="AH171" s="210"/>
      <c r="AI171" s="210"/>
      <c r="AJ171" s="211"/>
      <c r="AK171" s="210"/>
      <c r="AL171" s="210"/>
      <c r="AM171" s="210"/>
      <c r="AN171" s="210"/>
      <c r="AO171" s="211"/>
    </row>
    <row r="172" ht="10.5" customHeight="1" outlineLevel="1">
      <c r="A172" s="215" t="s">
        <v>425</v>
      </c>
      <c r="B172" s="213">
        <v>0.0</v>
      </c>
      <c r="C172" s="213">
        <v>0.0</v>
      </c>
      <c r="D172" s="213">
        <v>0.0</v>
      </c>
      <c r="E172" s="213">
        <v>0.0</v>
      </c>
      <c r="F172" s="214"/>
      <c r="G172" s="213">
        <v>0.0</v>
      </c>
      <c r="H172" s="213">
        <v>0.0</v>
      </c>
      <c r="I172" s="213">
        <v>0.0</v>
      </c>
      <c r="J172" s="213">
        <v>0.0</v>
      </c>
      <c r="K172" s="214"/>
      <c r="L172" s="213">
        <v>0.0</v>
      </c>
      <c r="M172" s="213">
        <v>0.0</v>
      </c>
      <c r="N172" s="213">
        <v>0.0</v>
      </c>
      <c r="O172" s="213"/>
      <c r="P172" s="214"/>
      <c r="Q172" s="213"/>
      <c r="R172" s="213"/>
      <c r="S172" s="213"/>
      <c r="T172" s="213"/>
      <c r="U172" s="214"/>
      <c r="V172" s="213"/>
      <c r="W172" s="213"/>
      <c r="X172" s="213"/>
      <c r="Y172" s="213"/>
      <c r="Z172" s="214"/>
      <c r="AA172" s="213"/>
      <c r="AB172" s="213"/>
      <c r="AC172" s="213"/>
      <c r="AD172" s="213"/>
      <c r="AE172" s="214"/>
      <c r="AF172" s="213"/>
      <c r="AG172" s="213"/>
      <c r="AH172" s="213"/>
      <c r="AI172" s="213"/>
      <c r="AJ172" s="214"/>
      <c r="AK172" s="213"/>
      <c r="AL172" s="213"/>
      <c r="AM172" s="213"/>
      <c r="AN172" s="213"/>
      <c r="AO172" s="214"/>
    </row>
    <row r="173" ht="10.5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  <c r="AA173" s="164"/>
      <c r="AB173" s="164"/>
      <c r="AC173" s="164"/>
      <c r="AD173" s="164"/>
      <c r="AE173" s="164"/>
      <c r="AF173" s="164"/>
      <c r="AG173" s="164"/>
      <c r="AH173" s="164"/>
      <c r="AI173" s="164"/>
      <c r="AJ173" s="164"/>
      <c r="AK173" s="164"/>
      <c r="AL173" s="164"/>
      <c r="AM173" s="164"/>
      <c r="AN173" s="164"/>
      <c r="AO173" s="164"/>
    </row>
    <row r="174" ht="10.5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  <c r="AA174" s="164"/>
      <c r="AB174" s="164"/>
      <c r="AC174" s="164"/>
      <c r="AD174" s="164"/>
      <c r="AE174" s="164"/>
      <c r="AF174" s="164"/>
      <c r="AG174" s="164"/>
      <c r="AH174" s="164"/>
      <c r="AI174" s="164"/>
      <c r="AJ174" s="164"/>
      <c r="AK174" s="164"/>
      <c r="AL174" s="164"/>
      <c r="AM174" s="164"/>
      <c r="AN174" s="164"/>
      <c r="AO174" s="164"/>
    </row>
    <row r="175" ht="10.5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  <c r="AA175" s="164"/>
      <c r="AB175" s="164"/>
      <c r="AC175" s="164"/>
      <c r="AD175" s="164"/>
      <c r="AE175" s="164"/>
      <c r="AF175" s="164"/>
      <c r="AG175" s="164"/>
      <c r="AH175" s="164"/>
      <c r="AI175" s="164"/>
      <c r="AJ175" s="164"/>
      <c r="AK175" s="164"/>
      <c r="AL175" s="164"/>
      <c r="AM175" s="164"/>
      <c r="AN175" s="164"/>
      <c r="AO175" s="164"/>
    </row>
    <row r="176" ht="10.5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65"/>
      <c r="K176" s="165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  <c r="AD176" s="164"/>
      <c r="AE176" s="164"/>
      <c r="AF176" s="164"/>
      <c r="AG176" s="164"/>
      <c r="AH176" s="164"/>
      <c r="AI176" s="164"/>
      <c r="AJ176" s="164"/>
      <c r="AK176" s="164"/>
      <c r="AL176" s="164"/>
      <c r="AM176" s="164"/>
      <c r="AN176" s="164"/>
      <c r="AO176" s="164"/>
    </row>
    <row r="177" ht="10.5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65"/>
      <c r="K177" s="165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  <c r="AA177" s="164"/>
      <c r="AB177" s="164"/>
      <c r="AC177" s="164"/>
      <c r="AD177" s="164"/>
      <c r="AE177" s="164"/>
      <c r="AF177" s="164"/>
      <c r="AG177" s="164"/>
      <c r="AH177" s="164"/>
      <c r="AI177" s="164"/>
      <c r="AJ177" s="164"/>
      <c r="AK177" s="164"/>
      <c r="AL177" s="164"/>
      <c r="AM177" s="164"/>
      <c r="AN177" s="164"/>
      <c r="AO177" s="164"/>
    </row>
    <row r="178" ht="10.5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  <c r="AA178" s="164"/>
      <c r="AB178" s="164"/>
      <c r="AC178" s="164"/>
      <c r="AD178" s="164"/>
      <c r="AE178" s="164"/>
      <c r="AF178" s="164"/>
      <c r="AG178" s="164"/>
      <c r="AH178" s="164"/>
      <c r="AI178" s="164"/>
      <c r="AJ178" s="164"/>
      <c r="AK178" s="164"/>
      <c r="AL178" s="164"/>
      <c r="AM178" s="164"/>
      <c r="AN178" s="164"/>
      <c r="AO178" s="164"/>
    </row>
    <row r="179" ht="10.5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164"/>
      <c r="AC179" s="164"/>
      <c r="AD179" s="164"/>
      <c r="AE179" s="164"/>
      <c r="AF179" s="164"/>
      <c r="AG179" s="164"/>
      <c r="AH179" s="164"/>
      <c r="AI179" s="164"/>
      <c r="AJ179" s="164"/>
      <c r="AK179" s="164"/>
      <c r="AL179" s="164"/>
      <c r="AM179" s="164"/>
      <c r="AN179" s="164"/>
      <c r="AO179" s="164"/>
    </row>
    <row r="180" ht="10.5" customHeight="1">
      <c r="A180" s="164"/>
      <c r="B180" s="165"/>
      <c r="C180" s="165"/>
      <c r="D180" s="165"/>
      <c r="E180" s="165"/>
      <c r="F180" s="165"/>
      <c r="G180" s="165"/>
      <c r="H180" s="165"/>
      <c r="I180" s="165"/>
      <c r="J180" s="165"/>
      <c r="K180" s="165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  <c r="AA180" s="164"/>
      <c r="AB180" s="164"/>
      <c r="AC180" s="164"/>
      <c r="AD180" s="164"/>
      <c r="AE180" s="164"/>
      <c r="AF180" s="164"/>
      <c r="AG180" s="164"/>
      <c r="AH180" s="164"/>
      <c r="AI180" s="164"/>
      <c r="AJ180" s="164"/>
      <c r="AK180" s="164"/>
      <c r="AL180" s="164"/>
      <c r="AM180" s="164"/>
      <c r="AN180" s="164"/>
      <c r="AO180" s="164"/>
    </row>
    <row r="181" ht="10.5" customHeight="1">
      <c r="A181" s="164"/>
      <c r="B181" s="165"/>
      <c r="C181" s="165"/>
      <c r="D181" s="165"/>
      <c r="E181" s="165"/>
      <c r="F181" s="165"/>
      <c r="G181" s="165"/>
      <c r="H181" s="165"/>
      <c r="I181" s="165"/>
      <c r="J181" s="165"/>
      <c r="K181" s="165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  <c r="AC181" s="164"/>
      <c r="AD181" s="164"/>
      <c r="AE181" s="164"/>
      <c r="AF181" s="164"/>
      <c r="AG181" s="164"/>
      <c r="AH181" s="164"/>
      <c r="AI181" s="164"/>
      <c r="AJ181" s="164"/>
      <c r="AK181" s="164"/>
      <c r="AL181" s="164"/>
      <c r="AM181" s="164"/>
      <c r="AN181" s="164"/>
      <c r="AO181" s="164"/>
    </row>
    <row r="182" ht="10.5" customHeight="1">
      <c r="A182" s="164"/>
      <c r="B182" s="165"/>
      <c r="C182" s="165"/>
      <c r="D182" s="165"/>
      <c r="E182" s="165"/>
      <c r="F182" s="165"/>
      <c r="G182" s="165"/>
      <c r="H182" s="165"/>
      <c r="I182" s="165"/>
      <c r="J182" s="165"/>
      <c r="K182" s="165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  <c r="AA182" s="164"/>
      <c r="AB182" s="164"/>
      <c r="AC182" s="164"/>
      <c r="AD182" s="164"/>
      <c r="AE182" s="164"/>
      <c r="AF182" s="164"/>
      <c r="AG182" s="164"/>
      <c r="AH182" s="164"/>
      <c r="AI182" s="164"/>
      <c r="AJ182" s="164"/>
      <c r="AK182" s="164"/>
      <c r="AL182" s="164"/>
      <c r="AM182" s="164"/>
      <c r="AN182" s="164"/>
      <c r="AO182" s="164"/>
    </row>
    <row r="183" ht="10.5" customHeight="1">
      <c r="A183" s="164"/>
      <c r="B183" s="165"/>
      <c r="C183" s="165"/>
      <c r="D183" s="165"/>
      <c r="E183" s="165"/>
      <c r="F183" s="165"/>
      <c r="G183" s="165"/>
      <c r="H183" s="165"/>
      <c r="I183" s="165"/>
      <c r="J183" s="165"/>
      <c r="K183" s="165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  <c r="AA183" s="164"/>
      <c r="AB183" s="164"/>
      <c r="AC183" s="164"/>
      <c r="AD183" s="164"/>
      <c r="AE183" s="164"/>
      <c r="AF183" s="164"/>
      <c r="AG183" s="164"/>
      <c r="AH183" s="164"/>
      <c r="AI183" s="164"/>
      <c r="AJ183" s="164"/>
      <c r="AK183" s="164"/>
      <c r="AL183" s="164"/>
      <c r="AM183" s="164"/>
      <c r="AN183" s="164"/>
      <c r="AO183" s="164"/>
    </row>
    <row r="184" ht="10.5" customHeight="1">
      <c r="A184" s="164"/>
      <c r="B184" s="165"/>
      <c r="C184" s="165"/>
      <c r="D184" s="165"/>
      <c r="E184" s="165"/>
      <c r="F184" s="165"/>
      <c r="G184" s="165"/>
      <c r="H184" s="165"/>
      <c r="I184" s="165"/>
      <c r="J184" s="165"/>
      <c r="K184" s="165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  <c r="AA184" s="164"/>
      <c r="AB184" s="164"/>
      <c r="AC184" s="164"/>
      <c r="AD184" s="164"/>
      <c r="AE184" s="164"/>
      <c r="AF184" s="164"/>
      <c r="AG184" s="164"/>
      <c r="AH184" s="164"/>
      <c r="AI184" s="164"/>
      <c r="AJ184" s="164"/>
      <c r="AK184" s="164"/>
      <c r="AL184" s="164"/>
      <c r="AM184" s="164"/>
      <c r="AN184" s="164"/>
      <c r="AO184" s="164"/>
    </row>
    <row r="185" ht="10.5" customHeight="1">
      <c r="A185" s="164"/>
      <c r="B185" s="165"/>
      <c r="C185" s="165"/>
      <c r="D185" s="165"/>
      <c r="E185" s="165"/>
      <c r="F185" s="165"/>
      <c r="G185" s="165"/>
      <c r="H185" s="165"/>
      <c r="I185" s="165"/>
      <c r="J185" s="165"/>
      <c r="K185" s="165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/>
      <c r="AD185" s="164"/>
      <c r="AE185" s="164"/>
      <c r="AF185" s="164"/>
      <c r="AG185" s="164"/>
      <c r="AH185" s="164"/>
      <c r="AI185" s="164"/>
      <c r="AJ185" s="164"/>
      <c r="AK185" s="164"/>
      <c r="AL185" s="164"/>
      <c r="AM185" s="164"/>
      <c r="AN185" s="164"/>
      <c r="AO185" s="164"/>
    </row>
    <row r="186" ht="10.5" customHeight="1">
      <c r="A186" s="164"/>
      <c r="B186" s="165"/>
      <c r="C186" s="165"/>
      <c r="D186" s="165"/>
      <c r="E186" s="165"/>
      <c r="F186" s="165"/>
      <c r="G186" s="165"/>
      <c r="H186" s="165"/>
      <c r="I186" s="165"/>
      <c r="J186" s="165"/>
      <c r="K186" s="165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  <c r="AD186" s="164"/>
      <c r="AE186" s="164"/>
      <c r="AF186" s="164"/>
      <c r="AG186" s="164"/>
      <c r="AH186" s="164"/>
      <c r="AI186" s="164"/>
      <c r="AJ186" s="164"/>
      <c r="AK186" s="164"/>
      <c r="AL186" s="164"/>
      <c r="AM186" s="164"/>
      <c r="AN186" s="164"/>
      <c r="AO186" s="164"/>
    </row>
    <row r="187" ht="10.5" customHeight="1">
      <c r="A187" s="164"/>
      <c r="B187" s="165"/>
      <c r="C187" s="165"/>
      <c r="D187" s="165"/>
      <c r="E187" s="165"/>
      <c r="F187" s="165"/>
      <c r="G187" s="165"/>
      <c r="H187" s="165"/>
      <c r="I187" s="165"/>
      <c r="J187" s="165"/>
      <c r="K187" s="165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  <c r="AA187" s="164"/>
      <c r="AB187" s="164"/>
      <c r="AC187" s="164"/>
      <c r="AD187" s="164"/>
      <c r="AE187" s="164"/>
      <c r="AF187" s="164"/>
      <c r="AG187" s="164"/>
      <c r="AH187" s="164"/>
      <c r="AI187" s="164"/>
      <c r="AJ187" s="164"/>
      <c r="AK187" s="164"/>
      <c r="AL187" s="164"/>
      <c r="AM187" s="164"/>
      <c r="AN187" s="164"/>
      <c r="AO187" s="164"/>
    </row>
    <row r="188" ht="10.5" customHeight="1">
      <c r="A188" s="164"/>
      <c r="B188" s="165"/>
      <c r="C188" s="165"/>
      <c r="D188" s="165"/>
      <c r="E188" s="165"/>
      <c r="F188" s="165"/>
      <c r="G188" s="165"/>
      <c r="H188" s="165"/>
      <c r="I188" s="165"/>
      <c r="J188" s="165"/>
      <c r="K188" s="165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  <c r="AA188" s="164"/>
      <c r="AB188" s="164"/>
      <c r="AC188" s="164"/>
      <c r="AD188" s="164"/>
      <c r="AE188" s="164"/>
      <c r="AF188" s="164"/>
      <c r="AG188" s="164"/>
      <c r="AH188" s="164"/>
      <c r="AI188" s="164"/>
      <c r="AJ188" s="164"/>
      <c r="AK188" s="164"/>
      <c r="AL188" s="164"/>
      <c r="AM188" s="164"/>
      <c r="AN188" s="164"/>
      <c r="AO188" s="164"/>
    </row>
    <row r="189" ht="10.5" customHeight="1">
      <c r="A189" s="164"/>
      <c r="B189" s="165"/>
      <c r="C189" s="165"/>
      <c r="D189" s="165"/>
      <c r="E189" s="165"/>
      <c r="F189" s="165"/>
      <c r="G189" s="165"/>
      <c r="H189" s="165"/>
      <c r="I189" s="165"/>
      <c r="J189" s="165"/>
      <c r="K189" s="165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  <c r="AA189" s="164"/>
      <c r="AB189" s="164"/>
      <c r="AC189" s="164"/>
      <c r="AD189" s="164"/>
      <c r="AE189" s="164"/>
      <c r="AF189" s="164"/>
      <c r="AG189" s="164"/>
      <c r="AH189" s="164"/>
      <c r="AI189" s="164"/>
      <c r="AJ189" s="164"/>
      <c r="AK189" s="164"/>
      <c r="AL189" s="164"/>
      <c r="AM189" s="164"/>
      <c r="AN189" s="164"/>
      <c r="AO189" s="164"/>
    </row>
    <row r="190" ht="10.5" customHeight="1">
      <c r="A190" s="164"/>
      <c r="B190" s="165"/>
      <c r="C190" s="165"/>
      <c r="D190" s="165"/>
      <c r="E190" s="165"/>
      <c r="F190" s="165"/>
      <c r="G190" s="165"/>
      <c r="H190" s="165"/>
      <c r="I190" s="165"/>
      <c r="J190" s="165"/>
      <c r="K190" s="165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  <c r="AA190" s="164"/>
      <c r="AB190" s="164"/>
      <c r="AC190" s="164"/>
      <c r="AD190" s="164"/>
      <c r="AE190" s="164"/>
      <c r="AF190" s="164"/>
      <c r="AG190" s="164"/>
      <c r="AH190" s="164"/>
      <c r="AI190" s="164"/>
      <c r="AJ190" s="164"/>
      <c r="AK190" s="164"/>
      <c r="AL190" s="164"/>
      <c r="AM190" s="164"/>
      <c r="AN190" s="164"/>
      <c r="AO190" s="164"/>
    </row>
    <row r="191" ht="10.5" customHeight="1">
      <c r="A191" s="164"/>
      <c r="B191" s="165"/>
      <c r="C191" s="165"/>
      <c r="D191" s="165"/>
      <c r="E191" s="165"/>
      <c r="F191" s="165"/>
      <c r="G191" s="165"/>
      <c r="H191" s="165"/>
      <c r="I191" s="165"/>
      <c r="J191" s="165"/>
      <c r="K191" s="165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  <c r="AC191" s="164"/>
      <c r="AD191" s="164"/>
      <c r="AE191" s="164"/>
      <c r="AF191" s="164"/>
      <c r="AG191" s="164"/>
      <c r="AH191" s="164"/>
      <c r="AI191" s="164"/>
      <c r="AJ191" s="164"/>
      <c r="AK191" s="164"/>
      <c r="AL191" s="164"/>
      <c r="AM191" s="164"/>
      <c r="AN191" s="164"/>
      <c r="AO191" s="164"/>
    </row>
    <row r="192" ht="10.5" customHeight="1">
      <c r="A192" s="164"/>
      <c r="B192" s="165"/>
      <c r="C192" s="165"/>
      <c r="D192" s="165"/>
      <c r="E192" s="165"/>
      <c r="F192" s="165"/>
      <c r="G192" s="165"/>
      <c r="H192" s="165"/>
      <c r="I192" s="165"/>
      <c r="J192" s="165"/>
      <c r="K192" s="165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  <c r="AA192" s="164"/>
      <c r="AB192" s="164"/>
      <c r="AC192" s="164"/>
      <c r="AD192" s="164"/>
      <c r="AE192" s="164"/>
      <c r="AF192" s="164"/>
      <c r="AG192" s="164"/>
      <c r="AH192" s="164"/>
      <c r="AI192" s="164"/>
      <c r="AJ192" s="164"/>
      <c r="AK192" s="164"/>
      <c r="AL192" s="164"/>
      <c r="AM192" s="164"/>
      <c r="AN192" s="164"/>
      <c r="AO192" s="164"/>
    </row>
    <row r="193" ht="10.5" customHeight="1">
      <c r="A193" s="164"/>
      <c r="B193" s="165"/>
      <c r="C193" s="165"/>
      <c r="D193" s="165"/>
      <c r="E193" s="165"/>
      <c r="F193" s="165"/>
      <c r="G193" s="165"/>
      <c r="H193" s="165"/>
      <c r="I193" s="165"/>
      <c r="J193" s="165"/>
      <c r="K193" s="165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  <c r="AA193" s="164"/>
      <c r="AB193" s="164"/>
      <c r="AC193" s="164"/>
      <c r="AD193" s="164"/>
      <c r="AE193" s="164"/>
      <c r="AF193" s="164"/>
      <c r="AG193" s="164"/>
      <c r="AH193" s="164"/>
      <c r="AI193" s="164"/>
      <c r="AJ193" s="164"/>
      <c r="AK193" s="164"/>
      <c r="AL193" s="164"/>
      <c r="AM193" s="164"/>
      <c r="AN193" s="164"/>
      <c r="AO193" s="164"/>
    </row>
    <row r="194" ht="10.5" customHeight="1">
      <c r="A194" s="164"/>
      <c r="B194" s="165"/>
      <c r="C194" s="165"/>
      <c r="D194" s="165"/>
      <c r="E194" s="165"/>
      <c r="F194" s="165"/>
      <c r="G194" s="165"/>
      <c r="H194" s="165"/>
      <c r="I194" s="165"/>
      <c r="J194" s="165"/>
      <c r="K194" s="165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  <c r="AA194" s="164"/>
      <c r="AB194" s="164"/>
      <c r="AC194" s="164"/>
      <c r="AD194" s="164"/>
      <c r="AE194" s="164"/>
      <c r="AF194" s="164"/>
      <c r="AG194" s="164"/>
      <c r="AH194" s="164"/>
      <c r="AI194" s="164"/>
      <c r="AJ194" s="164"/>
      <c r="AK194" s="164"/>
      <c r="AL194" s="164"/>
      <c r="AM194" s="164"/>
      <c r="AN194" s="164"/>
      <c r="AO194" s="164"/>
    </row>
    <row r="195" ht="10.5" customHeight="1">
      <c r="A195" s="164"/>
      <c r="B195" s="165"/>
      <c r="C195" s="165"/>
      <c r="D195" s="165"/>
      <c r="E195" s="165"/>
      <c r="F195" s="165"/>
      <c r="G195" s="165"/>
      <c r="H195" s="165"/>
      <c r="I195" s="165"/>
      <c r="J195" s="165"/>
      <c r="K195" s="165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  <c r="AA195" s="164"/>
      <c r="AB195" s="164"/>
      <c r="AC195" s="164"/>
      <c r="AD195" s="164"/>
      <c r="AE195" s="164"/>
      <c r="AF195" s="164"/>
      <c r="AG195" s="164"/>
      <c r="AH195" s="164"/>
      <c r="AI195" s="164"/>
      <c r="AJ195" s="164"/>
      <c r="AK195" s="164"/>
      <c r="AL195" s="164"/>
      <c r="AM195" s="164"/>
      <c r="AN195" s="164"/>
      <c r="AO195" s="164"/>
    </row>
    <row r="196" ht="10.5" customHeight="1">
      <c r="A196" s="164"/>
      <c r="B196" s="165"/>
      <c r="C196" s="165"/>
      <c r="D196" s="165"/>
      <c r="E196" s="165"/>
      <c r="F196" s="165"/>
      <c r="G196" s="165"/>
      <c r="H196" s="165"/>
      <c r="I196" s="165"/>
      <c r="J196" s="165"/>
      <c r="K196" s="165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  <c r="AA196" s="164"/>
      <c r="AB196" s="164"/>
      <c r="AC196" s="164"/>
      <c r="AD196" s="164"/>
      <c r="AE196" s="164"/>
      <c r="AF196" s="164"/>
      <c r="AG196" s="164"/>
      <c r="AH196" s="164"/>
      <c r="AI196" s="164"/>
      <c r="AJ196" s="164"/>
      <c r="AK196" s="164"/>
      <c r="AL196" s="164"/>
      <c r="AM196" s="164"/>
      <c r="AN196" s="164"/>
      <c r="AO196" s="164"/>
    </row>
    <row r="197" ht="10.5" customHeight="1">
      <c r="A197" s="164"/>
      <c r="B197" s="165"/>
      <c r="C197" s="165"/>
      <c r="D197" s="165"/>
      <c r="E197" s="165"/>
      <c r="F197" s="165"/>
      <c r="G197" s="165"/>
      <c r="H197" s="165"/>
      <c r="I197" s="165"/>
      <c r="J197" s="165"/>
      <c r="K197" s="165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  <c r="AA197" s="164"/>
      <c r="AB197" s="164"/>
      <c r="AC197" s="164"/>
      <c r="AD197" s="164"/>
      <c r="AE197" s="164"/>
      <c r="AF197" s="164"/>
      <c r="AG197" s="164"/>
      <c r="AH197" s="164"/>
      <c r="AI197" s="164"/>
      <c r="AJ197" s="164"/>
      <c r="AK197" s="164"/>
      <c r="AL197" s="164"/>
      <c r="AM197" s="164"/>
      <c r="AN197" s="164"/>
      <c r="AO197" s="164"/>
    </row>
    <row r="198" ht="10.5" customHeight="1">
      <c r="A198" s="164"/>
      <c r="B198" s="165"/>
      <c r="C198" s="165"/>
      <c r="D198" s="165"/>
      <c r="E198" s="165"/>
      <c r="F198" s="165"/>
      <c r="G198" s="165"/>
      <c r="H198" s="165"/>
      <c r="I198" s="165"/>
      <c r="J198" s="165"/>
      <c r="K198" s="165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  <c r="AA198" s="164"/>
      <c r="AB198" s="164"/>
      <c r="AC198" s="164"/>
      <c r="AD198" s="164"/>
      <c r="AE198" s="164"/>
      <c r="AF198" s="164"/>
      <c r="AG198" s="164"/>
      <c r="AH198" s="164"/>
      <c r="AI198" s="164"/>
      <c r="AJ198" s="164"/>
      <c r="AK198" s="164"/>
      <c r="AL198" s="164"/>
      <c r="AM198" s="164"/>
      <c r="AN198" s="164"/>
      <c r="AO198" s="164"/>
    </row>
    <row r="199" ht="10.5" customHeight="1">
      <c r="A199" s="164"/>
      <c r="B199" s="165"/>
      <c r="C199" s="165"/>
      <c r="D199" s="165"/>
      <c r="E199" s="165"/>
      <c r="F199" s="165"/>
      <c r="G199" s="165"/>
      <c r="H199" s="165"/>
      <c r="I199" s="165"/>
      <c r="J199" s="165"/>
      <c r="K199" s="165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  <c r="AC199" s="164"/>
      <c r="AD199" s="164"/>
      <c r="AE199" s="164"/>
      <c r="AF199" s="164"/>
      <c r="AG199" s="164"/>
      <c r="AH199" s="164"/>
      <c r="AI199" s="164"/>
      <c r="AJ199" s="164"/>
      <c r="AK199" s="164"/>
      <c r="AL199" s="164"/>
      <c r="AM199" s="164"/>
      <c r="AN199" s="164"/>
      <c r="AO199" s="164"/>
    </row>
    <row r="200" ht="10.5" customHeight="1">
      <c r="A200" s="164"/>
      <c r="B200" s="165"/>
      <c r="C200" s="165"/>
      <c r="D200" s="165"/>
      <c r="E200" s="165"/>
      <c r="F200" s="165"/>
      <c r="G200" s="165"/>
      <c r="H200" s="165"/>
      <c r="I200" s="165"/>
      <c r="J200" s="165"/>
      <c r="K200" s="165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  <c r="AD200" s="164"/>
      <c r="AE200" s="164"/>
      <c r="AF200" s="164"/>
      <c r="AG200" s="164"/>
      <c r="AH200" s="164"/>
      <c r="AI200" s="164"/>
      <c r="AJ200" s="164"/>
      <c r="AK200" s="164"/>
      <c r="AL200" s="164"/>
      <c r="AM200" s="164"/>
      <c r="AN200" s="164"/>
      <c r="AO200" s="164"/>
    </row>
    <row r="201" ht="10.5" customHeight="1">
      <c r="A201" s="164"/>
      <c r="B201" s="165"/>
      <c r="C201" s="165"/>
      <c r="D201" s="165"/>
      <c r="E201" s="165"/>
      <c r="F201" s="165"/>
      <c r="G201" s="165"/>
      <c r="H201" s="165"/>
      <c r="I201" s="165"/>
      <c r="J201" s="165"/>
      <c r="K201" s="165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4"/>
      <c r="AE201" s="164"/>
      <c r="AF201" s="164"/>
      <c r="AG201" s="164"/>
      <c r="AH201" s="164"/>
      <c r="AI201" s="164"/>
      <c r="AJ201" s="164"/>
      <c r="AK201" s="164"/>
      <c r="AL201" s="164"/>
      <c r="AM201" s="164"/>
      <c r="AN201" s="164"/>
      <c r="AO201" s="164"/>
    </row>
    <row r="202" ht="10.5" customHeight="1">
      <c r="A202" s="164"/>
      <c r="B202" s="165"/>
      <c r="C202" s="165"/>
      <c r="D202" s="165"/>
      <c r="E202" s="165"/>
      <c r="F202" s="165"/>
      <c r="G202" s="165"/>
      <c r="H202" s="165"/>
      <c r="I202" s="165"/>
      <c r="J202" s="165"/>
      <c r="K202" s="165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  <c r="AD202" s="164"/>
      <c r="AE202" s="164"/>
      <c r="AF202" s="164"/>
      <c r="AG202" s="164"/>
      <c r="AH202" s="164"/>
      <c r="AI202" s="164"/>
      <c r="AJ202" s="164"/>
      <c r="AK202" s="164"/>
      <c r="AL202" s="164"/>
      <c r="AM202" s="164"/>
      <c r="AN202" s="164"/>
      <c r="AO202" s="164"/>
    </row>
    <row r="203" ht="10.5" customHeight="1">
      <c r="A203" s="164"/>
      <c r="B203" s="165"/>
      <c r="C203" s="165"/>
      <c r="D203" s="165"/>
      <c r="E203" s="165"/>
      <c r="F203" s="165"/>
      <c r="G203" s="165"/>
      <c r="H203" s="165"/>
      <c r="I203" s="165"/>
      <c r="J203" s="165"/>
      <c r="K203" s="165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  <c r="AC203" s="164"/>
      <c r="AD203" s="164"/>
      <c r="AE203" s="164"/>
      <c r="AF203" s="164"/>
      <c r="AG203" s="164"/>
      <c r="AH203" s="164"/>
      <c r="AI203" s="164"/>
      <c r="AJ203" s="164"/>
      <c r="AK203" s="164"/>
      <c r="AL203" s="164"/>
      <c r="AM203" s="164"/>
      <c r="AN203" s="164"/>
      <c r="AO203" s="164"/>
    </row>
    <row r="204" ht="10.5" customHeight="1">
      <c r="A204" s="164"/>
      <c r="B204" s="165"/>
      <c r="C204" s="165"/>
      <c r="D204" s="165"/>
      <c r="E204" s="165"/>
      <c r="F204" s="165"/>
      <c r="G204" s="165"/>
      <c r="H204" s="165"/>
      <c r="I204" s="165"/>
      <c r="J204" s="165"/>
      <c r="K204" s="165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  <c r="AC204" s="164"/>
      <c r="AD204" s="164"/>
      <c r="AE204" s="164"/>
      <c r="AF204" s="164"/>
      <c r="AG204" s="164"/>
      <c r="AH204" s="164"/>
      <c r="AI204" s="164"/>
      <c r="AJ204" s="164"/>
      <c r="AK204" s="164"/>
      <c r="AL204" s="164"/>
      <c r="AM204" s="164"/>
      <c r="AN204" s="164"/>
      <c r="AO204" s="164"/>
    </row>
    <row r="205" ht="10.5" customHeight="1">
      <c r="A205" s="164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  <c r="AD205" s="164"/>
      <c r="AE205" s="164"/>
      <c r="AF205" s="164"/>
      <c r="AG205" s="164"/>
      <c r="AH205" s="164"/>
      <c r="AI205" s="164"/>
      <c r="AJ205" s="164"/>
      <c r="AK205" s="164"/>
      <c r="AL205" s="164"/>
      <c r="AM205" s="164"/>
      <c r="AN205" s="164"/>
      <c r="AO205" s="164"/>
    </row>
    <row r="206" ht="10.5" customHeight="1">
      <c r="A206" s="164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  <c r="AC206" s="164"/>
      <c r="AD206" s="164"/>
      <c r="AE206" s="164"/>
      <c r="AF206" s="164"/>
      <c r="AG206" s="164"/>
      <c r="AH206" s="164"/>
      <c r="AI206" s="164"/>
      <c r="AJ206" s="164"/>
      <c r="AK206" s="164"/>
      <c r="AL206" s="164"/>
      <c r="AM206" s="164"/>
      <c r="AN206" s="164"/>
      <c r="AO206" s="164"/>
    </row>
    <row r="207" ht="10.5" customHeight="1">
      <c r="A207" s="164"/>
      <c r="B207" s="165"/>
      <c r="C207" s="165"/>
      <c r="D207" s="165"/>
      <c r="E207" s="165"/>
      <c r="F207" s="165"/>
      <c r="G207" s="165"/>
      <c r="H207" s="165"/>
      <c r="I207" s="165"/>
      <c r="J207" s="165"/>
      <c r="K207" s="165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  <c r="AC207" s="164"/>
      <c r="AD207" s="164"/>
      <c r="AE207" s="164"/>
      <c r="AF207" s="164"/>
      <c r="AG207" s="164"/>
      <c r="AH207" s="164"/>
      <c r="AI207" s="164"/>
      <c r="AJ207" s="164"/>
      <c r="AK207" s="164"/>
      <c r="AL207" s="164"/>
      <c r="AM207" s="164"/>
      <c r="AN207" s="164"/>
      <c r="AO207" s="164"/>
    </row>
    <row r="208" ht="10.5" customHeight="1">
      <c r="A208" s="164"/>
      <c r="B208" s="165"/>
      <c r="C208" s="165"/>
      <c r="D208" s="165"/>
      <c r="E208" s="165"/>
      <c r="F208" s="165"/>
      <c r="G208" s="165"/>
      <c r="H208" s="165"/>
      <c r="I208" s="165"/>
      <c r="J208" s="165"/>
      <c r="K208" s="165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  <c r="AA208" s="164"/>
      <c r="AB208" s="164"/>
      <c r="AC208" s="164"/>
      <c r="AD208" s="164"/>
      <c r="AE208" s="164"/>
      <c r="AF208" s="164"/>
      <c r="AG208" s="164"/>
      <c r="AH208" s="164"/>
      <c r="AI208" s="164"/>
      <c r="AJ208" s="164"/>
      <c r="AK208" s="164"/>
      <c r="AL208" s="164"/>
      <c r="AM208" s="164"/>
      <c r="AN208" s="164"/>
      <c r="AO208" s="164"/>
    </row>
    <row r="209" ht="10.5" customHeight="1">
      <c r="A209" s="164"/>
      <c r="B209" s="165"/>
      <c r="C209" s="165"/>
      <c r="D209" s="165"/>
      <c r="E209" s="165"/>
      <c r="F209" s="165"/>
      <c r="G209" s="165"/>
      <c r="H209" s="165"/>
      <c r="I209" s="165"/>
      <c r="J209" s="165"/>
      <c r="K209" s="165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  <c r="AK209" s="164"/>
      <c r="AL209" s="164"/>
      <c r="AM209" s="164"/>
      <c r="AN209" s="164"/>
      <c r="AO209" s="164"/>
    </row>
    <row r="210" ht="10.5" customHeight="1">
      <c r="A210" s="164"/>
      <c r="B210" s="165"/>
      <c r="C210" s="165"/>
      <c r="D210" s="165"/>
      <c r="E210" s="165"/>
      <c r="F210" s="165"/>
      <c r="G210" s="165"/>
      <c r="H210" s="165"/>
      <c r="I210" s="165"/>
      <c r="J210" s="165"/>
      <c r="K210" s="165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  <c r="AD210" s="164"/>
      <c r="AE210" s="164"/>
      <c r="AF210" s="164"/>
      <c r="AG210" s="164"/>
      <c r="AH210" s="164"/>
      <c r="AI210" s="164"/>
      <c r="AJ210" s="164"/>
      <c r="AK210" s="164"/>
      <c r="AL210" s="164"/>
      <c r="AM210" s="164"/>
      <c r="AN210" s="164"/>
      <c r="AO210" s="164"/>
    </row>
    <row r="211" ht="10.5" customHeight="1">
      <c r="A211" s="164"/>
      <c r="B211" s="165"/>
      <c r="C211" s="165"/>
      <c r="D211" s="165"/>
      <c r="E211" s="165"/>
      <c r="F211" s="165"/>
      <c r="G211" s="165"/>
      <c r="H211" s="165"/>
      <c r="I211" s="165"/>
      <c r="J211" s="165"/>
      <c r="K211" s="165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164"/>
      <c r="AC211" s="164"/>
      <c r="AD211" s="164"/>
      <c r="AE211" s="164"/>
      <c r="AF211" s="164"/>
      <c r="AG211" s="164"/>
      <c r="AH211" s="164"/>
      <c r="AI211" s="164"/>
      <c r="AJ211" s="164"/>
      <c r="AK211" s="164"/>
      <c r="AL211" s="164"/>
      <c r="AM211" s="164"/>
      <c r="AN211" s="164"/>
      <c r="AO211" s="164"/>
    </row>
    <row r="212" ht="10.5" customHeight="1">
      <c r="A212" s="164"/>
      <c r="B212" s="165"/>
      <c r="C212" s="165"/>
      <c r="D212" s="165"/>
      <c r="E212" s="165"/>
      <c r="F212" s="165"/>
      <c r="G212" s="165"/>
      <c r="H212" s="165"/>
      <c r="I212" s="165"/>
      <c r="J212" s="165"/>
      <c r="K212" s="165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164"/>
      <c r="AC212" s="164"/>
      <c r="AD212" s="164"/>
      <c r="AE212" s="164"/>
      <c r="AF212" s="164"/>
      <c r="AG212" s="164"/>
      <c r="AH212" s="164"/>
      <c r="AI212" s="164"/>
      <c r="AJ212" s="164"/>
      <c r="AK212" s="164"/>
      <c r="AL212" s="164"/>
      <c r="AM212" s="164"/>
      <c r="AN212" s="164"/>
      <c r="AO212" s="164"/>
    </row>
    <row r="213" ht="10.5" customHeight="1">
      <c r="A213" s="164"/>
      <c r="B213" s="165"/>
      <c r="C213" s="165"/>
      <c r="D213" s="165"/>
      <c r="E213" s="165"/>
      <c r="F213" s="165"/>
      <c r="G213" s="165"/>
      <c r="H213" s="165"/>
      <c r="I213" s="165"/>
      <c r="J213" s="165"/>
      <c r="K213" s="165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  <c r="AA213" s="164"/>
      <c r="AB213" s="164"/>
      <c r="AC213" s="164"/>
      <c r="AD213" s="164"/>
      <c r="AE213" s="164"/>
      <c r="AF213" s="164"/>
      <c r="AG213" s="164"/>
      <c r="AH213" s="164"/>
      <c r="AI213" s="164"/>
      <c r="AJ213" s="164"/>
      <c r="AK213" s="164"/>
      <c r="AL213" s="164"/>
      <c r="AM213" s="164"/>
      <c r="AN213" s="164"/>
      <c r="AO213" s="164"/>
    </row>
    <row r="214" ht="10.5" customHeight="1">
      <c r="A214" s="164"/>
      <c r="B214" s="165"/>
      <c r="C214" s="165"/>
      <c r="D214" s="165"/>
      <c r="E214" s="165"/>
      <c r="F214" s="165"/>
      <c r="G214" s="165"/>
      <c r="H214" s="165"/>
      <c r="I214" s="165"/>
      <c r="J214" s="165"/>
      <c r="K214" s="165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  <c r="AD214" s="164"/>
      <c r="AE214" s="164"/>
      <c r="AF214" s="164"/>
      <c r="AG214" s="164"/>
      <c r="AH214" s="164"/>
      <c r="AI214" s="164"/>
      <c r="AJ214" s="164"/>
      <c r="AK214" s="164"/>
      <c r="AL214" s="164"/>
      <c r="AM214" s="164"/>
      <c r="AN214" s="164"/>
      <c r="AO214" s="164"/>
    </row>
    <row r="215" ht="10.5" customHeight="1">
      <c r="A215" s="164"/>
      <c r="B215" s="165"/>
      <c r="C215" s="165"/>
      <c r="D215" s="165"/>
      <c r="E215" s="165"/>
      <c r="F215" s="165"/>
      <c r="G215" s="165"/>
      <c r="H215" s="165"/>
      <c r="I215" s="165"/>
      <c r="J215" s="165"/>
      <c r="K215" s="165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  <c r="AA215" s="164"/>
      <c r="AB215" s="164"/>
      <c r="AC215" s="164"/>
      <c r="AD215" s="164"/>
      <c r="AE215" s="164"/>
      <c r="AF215" s="164"/>
      <c r="AG215" s="164"/>
      <c r="AH215" s="164"/>
      <c r="AI215" s="164"/>
      <c r="AJ215" s="164"/>
      <c r="AK215" s="164"/>
      <c r="AL215" s="164"/>
      <c r="AM215" s="164"/>
      <c r="AN215" s="164"/>
      <c r="AO215" s="164"/>
    </row>
    <row r="216" ht="10.5" customHeight="1">
      <c r="A216" s="164"/>
      <c r="B216" s="165"/>
      <c r="C216" s="165"/>
      <c r="D216" s="165"/>
      <c r="E216" s="165"/>
      <c r="F216" s="165"/>
      <c r="G216" s="165"/>
      <c r="H216" s="165"/>
      <c r="I216" s="165"/>
      <c r="J216" s="165"/>
      <c r="K216" s="165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  <c r="AC216" s="164"/>
      <c r="AD216" s="164"/>
      <c r="AE216" s="164"/>
      <c r="AF216" s="164"/>
      <c r="AG216" s="164"/>
      <c r="AH216" s="164"/>
      <c r="AI216" s="164"/>
      <c r="AJ216" s="164"/>
      <c r="AK216" s="164"/>
      <c r="AL216" s="164"/>
      <c r="AM216" s="164"/>
      <c r="AN216" s="164"/>
      <c r="AO216" s="164"/>
    </row>
    <row r="217" ht="10.5" customHeight="1">
      <c r="A217" s="164"/>
      <c r="B217" s="165"/>
      <c r="C217" s="165"/>
      <c r="D217" s="165"/>
      <c r="E217" s="165"/>
      <c r="F217" s="165"/>
      <c r="G217" s="165"/>
      <c r="H217" s="165"/>
      <c r="I217" s="165"/>
      <c r="J217" s="165"/>
      <c r="K217" s="165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  <c r="AC217" s="164"/>
      <c r="AD217" s="164"/>
      <c r="AE217" s="164"/>
      <c r="AF217" s="164"/>
      <c r="AG217" s="164"/>
      <c r="AH217" s="164"/>
      <c r="AI217" s="164"/>
      <c r="AJ217" s="164"/>
      <c r="AK217" s="164"/>
      <c r="AL217" s="164"/>
      <c r="AM217" s="164"/>
      <c r="AN217" s="164"/>
      <c r="AO217" s="164"/>
    </row>
    <row r="218" ht="10.5" customHeight="1">
      <c r="A218" s="164"/>
      <c r="B218" s="165"/>
      <c r="C218" s="165"/>
      <c r="D218" s="165"/>
      <c r="E218" s="165"/>
      <c r="F218" s="165"/>
      <c r="G218" s="165"/>
      <c r="H218" s="165"/>
      <c r="I218" s="165"/>
      <c r="J218" s="165"/>
      <c r="K218" s="165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  <c r="AC218" s="164"/>
      <c r="AD218" s="164"/>
      <c r="AE218" s="164"/>
      <c r="AF218" s="164"/>
      <c r="AG218" s="164"/>
      <c r="AH218" s="164"/>
      <c r="AI218" s="164"/>
      <c r="AJ218" s="164"/>
      <c r="AK218" s="164"/>
      <c r="AL218" s="164"/>
      <c r="AM218" s="164"/>
      <c r="AN218" s="164"/>
      <c r="AO218" s="164"/>
    </row>
    <row r="219" ht="10.5" customHeight="1">
      <c r="A219" s="164"/>
      <c r="B219" s="165"/>
      <c r="C219" s="165"/>
      <c r="D219" s="165"/>
      <c r="E219" s="165"/>
      <c r="F219" s="165"/>
      <c r="G219" s="165"/>
      <c r="H219" s="165"/>
      <c r="I219" s="165"/>
      <c r="J219" s="165"/>
      <c r="K219" s="165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  <c r="AA219" s="164"/>
      <c r="AB219" s="164"/>
      <c r="AC219" s="164"/>
      <c r="AD219" s="164"/>
      <c r="AE219" s="164"/>
      <c r="AF219" s="164"/>
      <c r="AG219" s="164"/>
      <c r="AH219" s="164"/>
      <c r="AI219" s="164"/>
      <c r="AJ219" s="164"/>
      <c r="AK219" s="164"/>
      <c r="AL219" s="164"/>
      <c r="AM219" s="164"/>
      <c r="AN219" s="164"/>
      <c r="AO219" s="164"/>
    </row>
    <row r="220" ht="10.5" customHeight="1">
      <c r="A220" s="164"/>
      <c r="B220" s="165"/>
      <c r="C220" s="165"/>
      <c r="D220" s="165"/>
      <c r="E220" s="165"/>
      <c r="F220" s="165"/>
      <c r="G220" s="165"/>
      <c r="H220" s="165"/>
      <c r="I220" s="165"/>
      <c r="J220" s="165"/>
      <c r="K220" s="165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  <c r="AC220" s="164"/>
      <c r="AD220" s="164"/>
      <c r="AE220" s="164"/>
      <c r="AF220" s="164"/>
      <c r="AG220" s="164"/>
      <c r="AH220" s="164"/>
      <c r="AI220" s="164"/>
      <c r="AJ220" s="164"/>
      <c r="AK220" s="164"/>
      <c r="AL220" s="164"/>
      <c r="AM220" s="164"/>
      <c r="AN220" s="164"/>
      <c r="AO220" s="164"/>
    </row>
    <row r="221" ht="10.5" customHeight="1">
      <c r="A221" s="164"/>
      <c r="B221" s="165"/>
      <c r="C221" s="165"/>
      <c r="D221" s="165"/>
      <c r="E221" s="165"/>
      <c r="F221" s="165"/>
      <c r="G221" s="165"/>
      <c r="H221" s="165"/>
      <c r="I221" s="165"/>
      <c r="J221" s="165"/>
      <c r="K221" s="165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  <c r="AC221" s="164"/>
      <c r="AD221" s="164"/>
      <c r="AE221" s="164"/>
      <c r="AF221" s="164"/>
      <c r="AG221" s="164"/>
      <c r="AH221" s="164"/>
      <c r="AI221" s="164"/>
      <c r="AJ221" s="164"/>
      <c r="AK221" s="164"/>
      <c r="AL221" s="164"/>
      <c r="AM221" s="164"/>
      <c r="AN221" s="164"/>
      <c r="AO221" s="164"/>
    </row>
    <row r="222" ht="10.5" customHeight="1">
      <c r="A222" s="164"/>
      <c r="B222" s="165"/>
      <c r="C222" s="165"/>
      <c r="D222" s="165"/>
      <c r="E222" s="165"/>
      <c r="F222" s="165"/>
      <c r="G222" s="165"/>
      <c r="H222" s="165"/>
      <c r="I222" s="165"/>
      <c r="J222" s="165"/>
      <c r="K222" s="165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  <c r="AC222" s="164"/>
      <c r="AD222" s="164"/>
      <c r="AE222" s="164"/>
      <c r="AF222" s="164"/>
      <c r="AG222" s="164"/>
      <c r="AH222" s="164"/>
      <c r="AI222" s="164"/>
      <c r="AJ222" s="164"/>
      <c r="AK222" s="164"/>
      <c r="AL222" s="164"/>
      <c r="AM222" s="164"/>
      <c r="AN222" s="164"/>
      <c r="AO222" s="164"/>
    </row>
    <row r="223" ht="10.5" customHeight="1">
      <c r="A223" s="164"/>
      <c r="B223" s="165"/>
      <c r="C223" s="165"/>
      <c r="D223" s="165"/>
      <c r="E223" s="165"/>
      <c r="F223" s="165"/>
      <c r="G223" s="165"/>
      <c r="H223" s="165"/>
      <c r="I223" s="165"/>
      <c r="J223" s="165"/>
      <c r="K223" s="165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  <c r="AC223" s="164"/>
      <c r="AD223" s="164"/>
      <c r="AE223" s="164"/>
      <c r="AF223" s="164"/>
      <c r="AG223" s="164"/>
      <c r="AH223" s="164"/>
      <c r="AI223" s="164"/>
      <c r="AJ223" s="164"/>
      <c r="AK223" s="164"/>
      <c r="AL223" s="164"/>
      <c r="AM223" s="164"/>
      <c r="AN223" s="164"/>
      <c r="AO223" s="164"/>
    </row>
    <row r="224" ht="10.5" customHeight="1">
      <c r="A224" s="164"/>
      <c r="B224" s="165"/>
      <c r="C224" s="165"/>
      <c r="D224" s="165"/>
      <c r="E224" s="165"/>
      <c r="F224" s="165"/>
      <c r="G224" s="165"/>
      <c r="H224" s="165"/>
      <c r="I224" s="165"/>
      <c r="J224" s="165"/>
      <c r="K224" s="165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  <c r="AD224" s="164"/>
      <c r="AE224" s="164"/>
      <c r="AF224" s="164"/>
      <c r="AG224" s="164"/>
      <c r="AH224" s="164"/>
      <c r="AI224" s="164"/>
      <c r="AJ224" s="164"/>
      <c r="AK224" s="164"/>
      <c r="AL224" s="164"/>
      <c r="AM224" s="164"/>
      <c r="AN224" s="164"/>
      <c r="AO224" s="164"/>
    </row>
    <row r="225" ht="10.5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  <c r="AA225" s="164"/>
      <c r="AB225" s="164"/>
      <c r="AC225" s="164"/>
      <c r="AD225" s="164"/>
      <c r="AE225" s="164"/>
      <c r="AF225" s="164"/>
      <c r="AG225" s="164"/>
      <c r="AH225" s="164"/>
      <c r="AI225" s="164"/>
      <c r="AJ225" s="164"/>
      <c r="AK225" s="164"/>
      <c r="AL225" s="164"/>
      <c r="AM225" s="164"/>
      <c r="AN225" s="164"/>
      <c r="AO225" s="164"/>
    </row>
    <row r="226" ht="10.5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  <c r="AC226" s="164"/>
      <c r="AD226" s="164"/>
      <c r="AE226" s="164"/>
      <c r="AF226" s="164"/>
      <c r="AG226" s="164"/>
      <c r="AH226" s="164"/>
      <c r="AI226" s="164"/>
      <c r="AJ226" s="164"/>
      <c r="AK226" s="164"/>
      <c r="AL226" s="164"/>
      <c r="AM226" s="164"/>
      <c r="AN226" s="164"/>
      <c r="AO226" s="164"/>
    </row>
    <row r="227" ht="10.5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  <c r="AA227" s="164"/>
      <c r="AB227" s="164"/>
      <c r="AC227" s="164"/>
      <c r="AD227" s="164"/>
      <c r="AE227" s="164"/>
      <c r="AF227" s="164"/>
      <c r="AG227" s="164"/>
      <c r="AH227" s="164"/>
      <c r="AI227" s="164"/>
      <c r="AJ227" s="164"/>
      <c r="AK227" s="164"/>
      <c r="AL227" s="164"/>
      <c r="AM227" s="164"/>
      <c r="AN227" s="164"/>
      <c r="AO227" s="164"/>
    </row>
    <row r="228" ht="10.5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  <c r="AC228" s="164"/>
      <c r="AD228" s="164"/>
      <c r="AE228" s="164"/>
      <c r="AF228" s="164"/>
      <c r="AG228" s="164"/>
      <c r="AH228" s="164"/>
      <c r="AI228" s="164"/>
      <c r="AJ228" s="164"/>
      <c r="AK228" s="164"/>
      <c r="AL228" s="164"/>
      <c r="AM228" s="164"/>
      <c r="AN228" s="164"/>
      <c r="AO228" s="164"/>
    </row>
    <row r="229" ht="10.5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65"/>
      <c r="K229" s="165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  <c r="AC229" s="164"/>
      <c r="AD229" s="164"/>
      <c r="AE229" s="164"/>
      <c r="AF229" s="164"/>
      <c r="AG229" s="164"/>
      <c r="AH229" s="164"/>
      <c r="AI229" s="164"/>
      <c r="AJ229" s="164"/>
      <c r="AK229" s="164"/>
      <c r="AL229" s="164"/>
      <c r="AM229" s="164"/>
      <c r="AN229" s="164"/>
      <c r="AO229" s="164"/>
    </row>
    <row r="230" ht="10.5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65"/>
      <c r="K230" s="165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  <c r="AC230" s="164"/>
      <c r="AD230" s="164"/>
      <c r="AE230" s="164"/>
      <c r="AF230" s="164"/>
      <c r="AG230" s="164"/>
      <c r="AH230" s="164"/>
      <c r="AI230" s="164"/>
      <c r="AJ230" s="164"/>
      <c r="AK230" s="164"/>
      <c r="AL230" s="164"/>
      <c r="AM230" s="164"/>
      <c r="AN230" s="164"/>
      <c r="AO230" s="164"/>
    </row>
    <row r="231" ht="10.5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  <c r="AA231" s="164"/>
      <c r="AB231" s="164"/>
      <c r="AC231" s="164"/>
      <c r="AD231" s="164"/>
      <c r="AE231" s="164"/>
      <c r="AF231" s="164"/>
      <c r="AG231" s="164"/>
      <c r="AH231" s="164"/>
      <c r="AI231" s="164"/>
      <c r="AJ231" s="164"/>
      <c r="AK231" s="164"/>
      <c r="AL231" s="164"/>
      <c r="AM231" s="164"/>
      <c r="AN231" s="164"/>
      <c r="AO231" s="164"/>
    </row>
    <row r="232" ht="10.5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  <c r="AA232" s="164"/>
      <c r="AB232" s="164"/>
      <c r="AC232" s="164"/>
      <c r="AD232" s="164"/>
      <c r="AE232" s="164"/>
      <c r="AF232" s="164"/>
      <c r="AG232" s="164"/>
      <c r="AH232" s="164"/>
      <c r="AI232" s="164"/>
      <c r="AJ232" s="164"/>
      <c r="AK232" s="164"/>
      <c r="AL232" s="164"/>
      <c r="AM232" s="164"/>
      <c r="AN232" s="164"/>
      <c r="AO232" s="164"/>
    </row>
    <row r="233" ht="10.5" customHeight="1">
      <c r="A233" s="164"/>
      <c r="B233" s="165"/>
      <c r="C233" s="165"/>
      <c r="D233" s="165"/>
      <c r="E233" s="165"/>
      <c r="F233" s="165"/>
      <c r="G233" s="165"/>
      <c r="H233" s="165"/>
      <c r="I233" s="165"/>
      <c r="J233" s="165"/>
      <c r="K233" s="165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  <c r="AA233" s="164"/>
      <c r="AB233" s="164"/>
      <c r="AC233" s="164"/>
      <c r="AD233" s="164"/>
      <c r="AE233" s="164"/>
      <c r="AF233" s="164"/>
      <c r="AG233" s="164"/>
      <c r="AH233" s="164"/>
      <c r="AI233" s="164"/>
      <c r="AJ233" s="164"/>
      <c r="AK233" s="164"/>
      <c r="AL233" s="164"/>
      <c r="AM233" s="164"/>
      <c r="AN233" s="164"/>
      <c r="AO233" s="164"/>
    </row>
    <row r="234" ht="10.5" customHeight="1">
      <c r="A234" s="164"/>
      <c r="B234" s="165"/>
      <c r="C234" s="165"/>
      <c r="D234" s="165"/>
      <c r="E234" s="165"/>
      <c r="F234" s="165"/>
      <c r="G234" s="165"/>
      <c r="H234" s="165"/>
      <c r="I234" s="165"/>
      <c r="J234" s="165"/>
      <c r="K234" s="165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  <c r="AA234" s="164"/>
      <c r="AB234" s="164"/>
      <c r="AC234" s="164"/>
      <c r="AD234" s="164"/>
      <c r="AE234" s="164"/>
      <c r="AF234" s="164"/>
      <c r="AG234" s="164"/>
      <c r="AH234" s="164"/>
      <c r="AI234" s="164"/>
      <c r="AJ234" s="164"/>
      <c r="AK234" s="164"/>
      <c r="AL234" s="164"/>
      <c r="AM234" s="164"/>
      <c r="AN234" s="164"/>
      <c r="AO234" s="164"/>
    </row>
    <row r="235" ht="10.5" customHeight="1">
      <c r="A235" s="164"/>
      <c r="B235" s="165"/>
      <c r="C235" s="165"/>
      <c r="D235" s="165"/>
      <c r="E235" s="165"/>
      <c r="F235" s="165"/>
      <c r="G235" s="165"/>
      <c r="H235" s="165"/>
      <c r="I235" s="165"/>
      <c r="J235" s="165"/>
      <c r="K235" s="165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  <c r="AA235" s="164"/>
      <c r="AB235" s="164"/>
      <c r="AC235" s="164"/>
      <c r="AD235" s="164"/>
      <c r="AE235" s="164"/>
      <c r="AF235" s="164"/>
      <c r="AG235" s="164"/>
      <c r="AH235" s="164"/>
      <c r="AI235" s="164"/>
      <c r="AJ235" s="164"/>
      <c r="AK235" s="164"/>
      <c r="AL235" s="164"/>
      <c r="AM235" s="164"/>
      <c r="AN235" s="164"/>
      <c r="AO235" s="164"/>
    </row>
    <row r="236" ht="10.5" customHeight="1">
      <c r="A236" s="164"/>
      <c r="B236" s="165"/>
      <c r="C236" s="165"/>
      <c r="D236" s="165"/>
      <c r="E236" s="165"/>
      <c r="F236" s="165"/>
      <c r="G236" s="165"/>
      <c r="H236" s="165"/>
      <c r="I236" s="165"/>
      <c r="J236" s="165"/>
      <c r="K236" s="165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  <c r="AA236" s="164"/>
      <c r="AB236" s="164"/>
      <c r="AC236" s="164"/>
      <c r="AD236" s="164"/>
      <c r="AE236" s="164"/>
      <c r="AF236" s="164"/>
      <c r="AG236" s="164"/>
      <c r="AH236" s="164"/>
      <c r="AI236" s="164"/>
      <c r="AJ236" s="164"/>
      <c r="AK236" s="164"/>
      <c r="AL236" s="164"/>
      <c r="AM236" s="164"/>
      <c r="AN236" s="164"/>
      <c r="AO236" s="164"/>
    </row>
    <row r="237" ht="10.5" customHeight="1">
      <c r="A237" s="164"/>
      <c r="B237" s="165"/>
      <c r="C237" s="165"/>
      <c r="D237" s="165"/>
      <c r="E237" s="165"/>
      <c r="F237" s="165"/>
      <c r="G237" s="165"/>
      <c r="H237" s="165"/>
      <c r="I237" s="165"/>
      <c r="J237" s="165"/>
      <c r="K237" s="165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  <c r="AA237" s="164"/>
      <c r="AB237" s="164"/>
      <c r="AC237" s="164"/>
      <c r="AD237" s="164"/>
      <c r="AE237" s="164"/>
      <c r="AF237" s="164"/>
      <c r="AG237" s="164"/>
      <c r="AH237" s="164"/>
      <c r="AI237" s="164"/>
      <c r="AJ237" s="164"/>
      <c r="AK237" s="164"/>
      <c r="AL237" s="164"/>
      <c r="AM237" s="164"/>
      <c r="AN237" s="164"/>
      <c r="AO237" s="164"/>
    </row>
    <row r="238" ht="10.5" customHeight="1">
      <c r="A238" s="164"/>
      <c r="B238" s="165"/>
      <c r="C238" s="165"/>
      <c r="D238" s="165"/>
      <c r="E238" s="165"/>
      <c r="F238" s="165"/>
      <c r="G238" s="165"/>
      <c r="H238" s="165"/>
      <c r="I238" s="165"/>
      <c r="J238" s="165"/>
      <c r="K238" s="165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  <c r="AA238" s="164"/>
      <c r="AB238" s="164"/>
      <c r="AC238" s="164"/>
      <c r="AD238" s="164"/>
      <c r="AE238" s="164"/>
      <c r="AF238" s="164"/>
      <c r="AG238" s="164"/>
      <c r="AH238" s="164"/>
      <c r="AI238" s="164"/>
      <c r="AJ238" s="164"/>
      <c r="AK238" s="164"/>
      <c r="AL238" s="164"/>
      <c r="AM238" s="164"/>
      <c r="AN238" s="164"/>
      <c r="AO238" s="164"/>
    </row>
    <row r="239" ht="10.5" customHeight="1">
      <c r="A239" s="164"/>
      <c r="B239" s="165"/>
      <c r="C239" s="165"/>
      <c r="D239" s="165"/>
      <c r="E239" s="165"/>
      <c r="F239" s="165"/>
      <c r="G239" s="165"/>
      <c r="H239" s="165"/>
      <c r="I239" s="165"/>
      <c r="J239" s="165"/>
      <c r="K239" s="165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  <c r="AA239" s="164"/>
      <c r="AB239" s="164"/>
      <c r="AC239" s="164"/>
      <c r="AD239" s="164"/>
      <c r="AE239" s="164"/>
      <c r="AF239" s="164"/>
      <c r="AG239" s="164"/>
      <c r="AH239" s="164"/>
      <c r="AI239" s="164"/>
      <c r="AJ239" s="164"/>
      <c r="AK239" s="164"/>
      <c r="AL239" s="164"/>
      <c r="AM239" s="164"/>
      <c r="AN239" s="164"/>
      <c r="AO239" s="164"/>
    </row>
    <row r="240" ht="10.5" customHeight="1">
      <c r="A240" s="164"/>
      <c r="B240" s="165"/>
      <c r="C240" s="165"/>
      <c r="D240" s="165"/>
      <c r="E240" s="165"/>
      <c r="F240" s="165"/>
      <c r="G240" s="165"/>
      <c r="H240" s="165"/>
      <c r="I240" s="165"/>
      <c r="J240" s="165"/>
      <c r="K240" s="165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  <c r="AA240" s="164"/>
      <c r="AB240" s="164"/>
      <c r="AC240" s="164"/>
      <c r="AD240" s="164"/>
      <c r="AE240" s="164"/>
      <c r="AF240" s="164"/>
      <c r="AG240" s="164"/>
      <c r="AH240" s="164"/>
      <c r="AI240" s="164"/>
      <c r="AJ240" s="164"/>
      <c r="AK240" s="164"/>
      <c r="AL240" s="164"/>
      <c r="AM240" s="164"/>
      <c r="AN240" s="164"/>
      <c r="AO240" s="164"/>
    </row>
    <row r="241" ht="10.5" customHeight="1">
      <c r="A241" s="164"/>
      <c r="B241" s="165"/>
      <c r="C241" s="165"/>
      <c r="D241" s="165"/>
      <c r="E241" s="165"/>
      <c r="F241" s="165"/>
      <c r="G241" s="165"/>
      <c r="H241" s="165"/>
      <c r="I241" s="165"/>
      <c r="J241" s="165"/>
      <c r="K241" s="165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  <c r="AA241" s="164"/>
      <c r="AB241" s="164"/>
      <c r="AC241" s="164"/>
      <c r="AD241" s="164"/>
      <c r="AE241" s="164"/>
      <c r="AF241" s="164"/>
      <c r="AG241" s="164"/>
      <c r="AH241" s="164"/>
      <c r="AI241" s="164"/>
      <c r="AJ241" s="164"/>
      <c r="AK241" s="164"/>
      <c r="AL241" s="164"/>
      <c r="AM241" s="164"/>
      <c r="AN241" s="164"/>
      <c r="AO241" s="164"/>
    </row>
    <row r="242" ht="10.5" customHeight="1">
      <c r="A242" s="164"/>
      <c r="B242" s="165"/>
      <c r="C242" s="165"/>
      <c r="D242" s="165"/>
      <c r="E242" s="165"/>
      <c r="F242" s="165"/>
      <c r="G242" s="165"/>
      <c r="H242" s="165"/>
      <c r="I242" s="165"/>
      <c r="J242" s="165"/>
      <c r="K242" s="165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  <c r="AA242" s="164"/>
      <c r="AB242" s="164"/>
      <c r="AC242" s="164"/>
      <c r="AD242" s="164"/>
      <c r="AE242" s="164"/>
      <c r="AF242" s="164"/>
      <c r="AG242" s="164"/>
      <c r="AH242" s="164"/>
      <c r="AI242" s="164"/>
      <c r="AJ242" s="164"/>
      <c r="AK242" s="164"/>
      <c r="AL242" s="164"/>
      <c r="AM242" s="164"/>
      <c r="AN242" s="164"/>
      <c r="AO242" s="164"/>
    </row>
    <row r="243" ht="10.5" customHeight="1">
      <c r="A243" s="164"/>
      <c r="B243" s="165"/>
      <c r="C243" s="165"/>
      <c r="D243" s="165"/>
      <c r="E243" s="165"/>
      <c r="F243" s="165"/>
      <c r="G243" s="165"/>
      <c r="H243" s="165"/>
      <c r="I243" s="165"/>
      <c r="J243" s="165"/>
      <c r="K243" s="165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  <c r="AA243" s="164"/>
      <c r="AB243" s="164"/>
      <c r="AC243" s="164"/>
      <c r="AD243" s="164"/>
      <c r="AE243" s="164"/>
      <c r="AF243" s="164"/>
      <c r="AG243" s="164"/>
      <c r="AH243" s="164"/>
      <c r="AI243" s="164"/>
      <c r="AJ243" s="164"/>
      <c r="AK243" s="164"/>
      <c r="AL243" s="164"/>
      <c r="AM243" s="164"/>
      <c r="AN243" s="164"/>
      <c r="AO243" s="164"/>
    </row>
    <row r="244" ht="10.5" customHeight="1">
      <c r="A244" s="164"/>
      <c r="B244" s="165"/>
      <c r="C244" s="165"/>
      <c r="D244" s="165"/>
      <c r="E244" s="165"/>
      <c r="F244" s="165"/>
      <c r="G244" s="165"/>
      <c r="H244" s="165"/>
      <c r="I244" s="165"/>
      <c r="J244" s="165"/>
      <c r="K244" s="165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  <c r="AA244" s="164"/>
      <c r="AB244" s="164"/>
      <c r="AC244" s="164"/>
      <c r="AD244" s="164"/>
      <c r="AE244" s="164"/>
      <c r="AF244" s="164"/>
      <c r="AG244" s="164"/>
      <c r="AH244" s="164"/>
      <c r="AI244" s="164"/>
      <c r="AJ244" s="164"/>
      <c r="AK244" s="164"/>
      <c r="AL244" s="164"/>
      <c r="AM244" s="164"/>
      <c r="AN244" s="164"/>
      <c r="AO244" s="164"/>
    </row>
    <row r="245" ht="10.5" customHeight="1">
      <c r="A245" s="164"/>
      <c r="B245" s="165"/>
      <c r="C245" s="165"/>
      <c r="D245" s="165"/>
      <c r="E245" s="165"/>
      <c r="F245" s="165"/>
      <c r="G245" s="165"/>
      <c r="H245" s="165"/>
      <c r="I245" s="165"/>
      <c r="J245" s="165"/>
      <c r="K245" s="165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4"/>
      <c r="AH245" s="164"/>
      <c r="AI245" s="164"/>
      <c r="AJ245" s="164"/>
      <c r="AK245" s="164"/>
      <c r="AL245" s="164"/>
      <c r="AM245" s="164"/>
      <c r="AN245" s="164"/>
      <c r="AO245" s="164"/>
    </row>
    <row r="246" ht="10.5" customHeight="1">
      <c r="A246" s="164"/>
      <c r="B246" s="165"/>
      <c r="C246" s="165"/>
      <c r="D246" s="165"/>
      <c r="E246" s="165"/>
      <c r="F246" s="165"/>
      <c r="G246" s="165"/>
      <c r="H246" s="165"/>
      <c r="I246" s="165"/>
      <c r="J246" s="165"/>
      <c r="K246" s="165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  <c r="AA246" s="164"/>
      <c r="AB246" s="164"/>
      <c r="AC246" s="164"/>
      <c r="AD246" s="164"/>
      <c r="AE246" s="164"/>
      <c r="AF246" s="164"/>
      <c r="AG246" s="164"/>
      <c r="AH246" s="164"/>
      <c r="AI246" s="164"/>
      <c r="AJ246" s="164"/>
      <c r="AK246" s="164"/>
      <c r="AL246" s="164"/>
      <c r="AM246" s="164"/>
      <c r="AN246" s="164"/>
      <c r="AO246" s="164"/>
    </row>
    <row r="247" ht="10.5" customHeight="1">
      <c r="A247" s="164"/>
      <c r="B247" s="165"/>
      <c r="C247" s="165"/>
      <c r="D247" s="165"/>
      <c r="E247" s="165"/>
      <c r="F247" s="165"/>
      <c r="G247" s="165"/>
      <c r="H247" s="165"/>
      <c r="I247" s="165"/>
      <c r="J247" s="165"/>
      <c r="K247" s="165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  <c r="AA247" s="164"/>
      <c r="AB247" s="164"/>
      <c r="AC247" s="164"/>
      <c r="AD247" s="164"/>
      <c r="AE247" s="164"/>
      <c r="AF247" s="164"/>
      <c r="AG247" s="164"/>
      <c r="AH247" s="164"/>
      <c r="AI247" s="164"/>
      <c r="AJ247" s="164"/>
      <c r="AK247" s="164"/>
      <c r="AL247" s="164"/>
      <c r="AM247" s="164"/>
      <c r="AN247" s="164"/>
      <c r="AO247" s="164"/>
    </row>
    <row r="248" ht="10.5" customHeight="1">
      <c r="A248" s="164"/>
      <c r="B248" s="165"/>
      <c r="C248" s="165"/>
      <c r="D248" s="165"/>
      <c r="E248" s="165"/>
      <c r="F248" s="165"/>
      <c r="G248" s="165"/>
      <c r="H248" s="165"/>
      <c r="I248" s="165"/>
      <c r="J248" s="165"/>
      <c r="K248" s="165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4"/>
      <c r="AH248" s="164"/>
      <c r="AI248" s="164"/>
      <c r="AJ248" s="164"/>
      <c r="AK248" s="164"/>
      <c r="AL248" s="164"/>
      <c r="AM248" s="164"/>
      <c r="AN248" s="164"/>
      <c r="AO248" s="164"/>
    </row>
    <row r="249" ht="10.5" customHeight="1">
      <c r="A249" s="164"/>
      <c r="B249" s="165"/>
      <c r="C249" s="165"/>
      <c r="D249" s="165"/>
      <c r="E249" s="165"/>
      <c r="F249" s="165"/>
      <c r="G249" s="165"/>
      <c r="H249" s="165"/>
      <c r="I249" s="165"/>
      <c r="J249" s="165"/>
      <c r="K249" s="165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  <c r="AA249" s="164"/>
      <c r="AB249" s="164"/>
      <c r="AC249" s="164"/>
      <c r="AD249" s="164"/>
      <c r="AE249" s="164"/>
      <c r="AF249" s="164"/>
      <c r="AG249" s="164"/>
      <c r="AH249" s="164"/>
      <c r="AI249" s="164"/>
      <c r="AJ249" s="164"/>
      <c r="AK249" s="164"/>
      <c r="AL249" s="164"/>
      <c r="AM249" s="164"/>
      <c r="AN249" s="164"/>
      <c r="AO249" s="164"/>
    </row>
    <row r="250" ht="10.5" customHeight="1">
      <c r="A250" s="164"/>
      <c r="B250" s="165"/>
      <c r="C250" s="165"/>
      <c r="D250" s="165"/>
      <c r="E250" s="165"/>
      <c r="F250" s="165"/>
      <c r="G250" s="165"/>
      <c r="H250" s="165"/>
      <c r="I250" s="165"/>
      <c r="J250" s="165"/>
      <c r="K250" s="165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  <c r="AA250" s="164"/>
      <c r="AB250" s="164"/>
      <c r="AC250" s="164"/>
      <c r="AD250" s="164"/>
      <c r="AE250" s="164"/>
      <c r="AF250" s="164"/>
      <c r="AG250" s="164"/>
      <c r="AH250" s="164"/>
      <c r="AI250" s="164"/>
      <c r="AJ250" s="164"/>
      <c r="AK250" s="164"/>
      <c r="AL250" s="164"/>
      <c r="AM250" s="164"/>
      <c r="AN250" s="164"/>
      <c r="AO250" s="164"/>
    </row>
    <row r="251" ht="10.5" customHeight="1">
      <c r="A251" s="164"/>
      <c r="B251" s="165"/>
      <c r="C251" s="165"/>
      <c r="D251" s="165"/>
      <c r="E251" s="165"/>
      <c r="F251" s="165"/>
      <c r="G251" s="165"/>
      <c r="H251" s="165"/>
      <c r="I251" s="165"/>
      <c r="J251" s="165"/>
      <c r="K251" s="165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  <c r="AA251" s="164"/>
      <c r="AB251" s="164"/>
      <c r="AC251" s="164"/>
      <c r="AD251" s="164"/>
      <c r="AE251" s="164"/>
      <c r="AF251" s="164"/>
      <c r="AG251" s="164"/>
      <c r="AH251" s="164"/>
      <c r="AI251" s="164"/>
      <c r="AJ251" s="164"/>
      <c r="AK251" s="164"/>
      <c r="AL251" s="164"/>
      <c r="AM251" s="164"/>
      <c r="AN251" s="164"/>
      <c r="AO251" s="164"/>
    </row>
    <row r="252" ht="10.5" customHeight="1">
      <c r="A252" s="164"/>
      <c r="B252" s="165"/>
      <c r="C252" s="165"/>
      <c r="D252" s="165"/>
      <c r="E252" s="165"/>
      <c r="F252" s="165"/>
      <c r="G252" s="165"/>
      <c r="H252" s="165"/>
      <c r="I252" s="165"/>
      <c r="J252" s="165"/>
      <c r="K252" s="165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  <c r="AA252" s="164"/>
      <c r="AB252" s="164"/>
      <c r="AC252" s="164"/>
      <c r="AD252" s="164"/>
      <c r="AE252" s="164"/>
      <c r="AF252" s="164"/>
      <c r="AG252" s="164"/>
      <c r="AH252" s="164"/>
      <c r="AI252" s="164"/>
      <c r="AJ252" s="164"/>
      <c r="AK252" s="164"/>
      <c r="AL252" s="164"/>
      <c r="AM252" s="164"/>
      <c r="AN252" s="164"/>
      <c r="AO252" s="164"/>
    </row>
    <row r="253" ht="10.5" customHeight="1">
      <c r="A253" s="164"/>
      <c r="B253" s="165"/>
      <c r="C253" s="165"/>
      <c r="D253" s="165"/>
      <c r="E253" s="165"/>
      <c r="F253" s="165"/>
      <c r="G253" s="165"/>
      <c r="H253" s="165"/>
      <c r="I253" s="165"/>
      <c r="J253" s="165"/>
      <c r="K253" s="165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  <c r="AA253" s="164"/>
      <c r="AB253" s="164"/>
      <c r="AC253" s="164"/>
      <c r="AD253" s="164"/>
      <c r="AE253" s="164"/>
      <c r="AF253" s="164"/>
      <c r="AG253" s="164"/>
      <c r="AH253" s="164"/>
      <c r="AI253" s="164"/>
      <c r="AJ253" s="164"/>
      <c r="AK253" s="164"/>
      <c r="AL253" s="164"/>
      <c r="AM253" s="164"/>
      <c r="AN253" s="164"/>
      <c r="AO253" s="164"/>
    </row>
    <row r="254" ht="10.5" customHeight="1">
      <c r="A254" s="164"/>
      <c r="B254" s="165"/>
      <c r="C254" s="165"/>
      <c r="D254" s="165"/>
      <c r="E254" s="165"/>
      <c r="F254" s="165"/>
      <c r="G254" s="165"/>
      <c r="H254" s="165"/>
      <c r="I254" s="165"/>
      <c r="J254" s="165"/>
      <c r="K254" s="165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  <c r="AA254" s="164"/>
      <c r="AB254" s="164"/>
      <c r="AC254" s="164"/>
      <c r="AD254" s="164"/>
      <c r="AE254" s="164"/>
      <c r="AF254" s="164"/>
      <c r="AG254" s="164"/>
      <c r="AH254" s="164"/>
      <c r="AI254" s="164"/>
      <c r="AJ254" s="164"/>
      <c r="AK254" s="164"/>
      <c r="AL254" s="164"/>
      <c r="AM254" s="164"/>
      <c r="AN254" s="164"/>
      <c r="AO254" s="164"/>
    </row>
    <row r="255" ht="10.5" customHeight="1">
      <c r="A255" s="164"/>
      <c r="B255" s="165"/>
      <c r="C255" s="165"/>
      <c r="D255" s="165"/>
      <c r="E255" s="165"/>
      <c r="F255" s="165"/>
      <c r="G255" s="165"/>
      <c r="H255" s="165"/>
      <c r="I255" s="165"/>
      <c r="J255" s="165"/>
      <c r="K255" s="165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  <c r="AA255" s="164"/>
      <c r="AB255" s="164"/>
      <c r="AC255" s="164"/>
      <c r="AD255" s="164"/>
      <c r="AE255" s="164"/>
      <c r="AF255" s="164"/>
      <c r="AG255" s="164"/>
      <c r="AH255" s="164"/>
      <c r="AI255" s="164"/>
      <c r="AJ255" s="164"/>
      <c r="AK255" s="164"/>
      <c r="AL255" s="164"/>
      <c r="AM255" s="164"/>
      <c r="AN255" s="164"/>
      <c r="AO255" s="164"/>
    </row>
    <row r="256" ht="10.5" customHeight="1">
      <c r="A256" s="164"/>
      <c r="B256" s="165"/>
      <c r="C256" s="165"/>
      <c r="D256" s="165"/>
      <c r="E256" s="165"/>
      <c r="F256" s="165"/>
      <c r="G256" s="165"/>
      <c r="H256" s="165"/>
      <c r="I256" s="165"/>
      <c r="J256" s="165"/>
      <c r="K256" s="165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  <c r="AA256" s="164"/>
      <c r="AB256" s="164"/>
      <c r="AC256" s="164"/>
      <c r="AD256" s="164"/>
      <c r="AE256" s="164"/>
      <c r="AF256" s="164"/>
      <c r="AG256" s="164"/>
      <c r="AH256" s="164"/>
      <c r="AI256" s="164"/>
      <c r="AJ256" s="164"/>
      <c r="AK256" s="164"/>
      <c r="AL256" s="164"/>
      <c r="AM256" s="164"/>
      <c r="AN256" s="164"/>
      <c r="AO256" s="164"/>
    </row>
    <row r="257" ht="10.5" customHeight="1">
      <c r="A257" s="164"/>
      <c r="B257" s="165"/>
      <c r="C257" s="165"/>
      <c r="D257" s="165"/>
      <c r="E257" s="165"/>
      <c r="F257" s="165"/>
      <c r="G257" s="165"/>
      <c r="H257" s="165"/>
      <c r="I257" s="165"/>
      <c r="J257" s="165"/>
      <c r="K257" s="165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  <c r="AA257" s="164"/>
      <c r="AB257" s="164"/>
      <c r="AC257" s="164"/>
      <c r="AD257" s="164"/>
      <c r="AE257" s="164"/>
      <c r="AF257" s="164"/>
      <c r="AG257" s="164"/>
      <c r="AH257" s="164"/>
      <c r="AI257" s="164"/>
      <c r="AJ257" s="164"/>
      <c r="AK257" s="164"/>
      <c r="AL257" s="164"/>
      <c r="AM257" s="164"/>
      <c r="AN257" s="164"/>
      <c r="AO257" s="164"/>
    </row>
    <row r="258" ht="10.5" customHeight="1">
      <c r="A258" s="164"/>
      <c r="B258" s="165"/>
      <c r="C258" s="165"/>
      <c r="D258" s="165"/>
      <c r="E258" s="165"/>
      <c r="F258" s="165"/>
      <c r="G258" s="165"/>
      <c r="H258" s="165"/>
      <c r="I258" s="165"/>
      <c r="J258" s="165"/>
      <c r="K258" s="165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  <c r="AA258" s="164"/>
      <c r="AB258" s="164"/>
      <c r="AC258" s="164"/>
      <c r="AD258" s="164"/>
      <c r="AE258" s="164"/>
      <c r="AF258" s="164"/>
      <c r="AG258" s="164"/>
      <c r="AH258" s="164"/>
      <c r="AI258" s="164"/>
      <c r="AJ258" s="164"/>
      <c r="AK258" s="164"/>
      <c r="AL258" s="164"/>
      <c r="AM258" s="164"/>
      <c r="AN258" s="164"/>
      <c r="AO258" s="164"/>
    </row>
    <row r="259" ht="10.5" customHeight="1">
      <c r="A259" s="164"/>
      <c r="B259" s="165"/>
      <c r="C259" s="165"/>
      <c r="D259" s="165"/>
      <c r="E259" s="165"/>
      <c r="F259" s="165"/>
      <c r="G259" s="165"/>
      <c r="H259" s="165"/>
      <c r="I259" s="165"/>
      <c r="J259" s="165"/>
      <c r="K259" s="165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  <c r="AA259" s="164"/>
      <c r="AB259" s="164"/>
      <c r="AC259" s="164"/>
      <c r="AD259" s="164"/>
      <c r="AE259" s="164"/>
      <c r="AF259" s="164"/>
      <c r="AG259" s="164"/>
      <c r="AH259" s="164"/>
      <c r="AI259" s="164"/>
      <c r="AJ259" s="164"/>
      <c r="AK259" s="164"/>
      <c r="AL259" s="164"/>
      <c r="AM259" s="164"/>
      <c r="AN259" s="164"/>
      <c r="AO259" s="164"/>
    </row>
    <row r="260" ht="10.5" customHeight="1">
      <c r="A260" s="164"/>
      <c r="B260" s="165"/>
      <c r="C260" s="165"/>
      <c r="D260" s="165"/>
      <c r="E260" s="165"/>
      <c r="F260" s="165"/>
      <c r="G260" s="165"/>
      <c r="H260" s="165"/>
      <c r="I260" s="165"/>
      <c r="J260" s="165"/>
      <c r="K260" s="165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  <c r="AA260" s="164"/>
      <c r="AB260" s="164"/>
      <c r="AC260" s="164"/>
      <c r="AD260" s="164"/>
      <c r="AE260" s="164"/>
      <c r="AF260" s="164"/>
      <c r="AG260" s="164"/>
      <c r="AH260" s="164"/>
      <c r="AI260" s="164"/>
      <c r="AJ260" s="164"/>
      <c r="AK260" s="164"/>
      <c r="AL260" s="164"/>
      <c r="AM260" s="164"/>
      <c r="AN260" s="164"/>
      <c r="AO260" s="164"/>
    </row>
    <row r="261" ht="10.5" customHeight="1">
      <c r="A261" s="164"/>
      <c r="B261" s="165"/>
      <c r="C261" s="165"/>
      <c r="D261" s="165"/>
      <c r="E261" s="165"/>
      <c r="F261" s="165"/>
      <c r="G261" s="165"/>
      <c r="H261" s="165"/>
      <c r="I261" s="165"/>
      <c r="J261" s="165"/>
      <c r="K261" s="165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  <c r="AA261" s="164"/>
      <c r="AB261" s="164"/>
      <c r="AC261" s="164"/>
      <c r="AD261" s="164"/>
      <c r="AE261" s="164"/>
      <c r="AF261" s="164"/>
      <c r="AG261" s="164"/>
      <c r="AH261" s="164"/>
      <c r="AI261" s="164"/>
      <c r="AJ261" s="164"/>
      <c r="AK261" s="164"/>
      <c r="AL261" s="164"/>
      <c r="AM261" s="164"/>
      <c r="AN261" s="164"/>
      <c r="AO261" s="164"/>
    </row>
    <row r="262" ht="10.5" customHeight="1">
      <c r="A262" s="164"/>
      <c r="B262" s="165"/>
      <c r="C262" s="165"/>
      <c r="D262" s="165"/>
      <c r="E262" s="165"/>
      <c r="F262" s="165"/>
      <c r="G262" s="165"/>
      <c r="H262" s="165"/>
      <c r="I262" s="165"/>
      <c r="J262" s="165"/>
      <c r="K262" s="165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  <c r="AA262" s="164"/>
      <c r="AB262" s="164"/>
      <c r="AC262" s="164"/>
      <c r="AD262" s="164"/>
      <c r="AE262" s="164"/>
      <c r="AF262" s="164"/>
      <c r="AG262" s="164"/>
      <c r="AH262" s="164"/>
      <c r="AI262" s="164"/>
      <c r="AJ262" s="164"/>
      <c r="AK262" s="164"/>
      <c r="AL262" s="164"/>
      <c r="AM262" s="164"/>
      <c r="AN262" s="164"/>
      <c r="AO262" s="164"/>
    </row>
    <row r="263" ht="10.5" customHeight="1">
      <c r="A263" s="164"/>
      <c r="B263" s="165"/>
      <c r="C263" s="165"/>
      <c r="D263" s="165"/>
      <c r="E263" s="165"/>
      <c r="F263" s="165"/>
      <c r="G263" s="165"/>
      <c r="H263" s="165"/>
      <c r="I263" s="165"/>
      <c r="J263" s="165"/>
      <c r="K263" s="165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  <c r="AA263" s="164"/>
      <c r="AB263" s="164"/>
      <c r="AC263" s="164"/>
      <c r="AD263" s="164"/>
      <c r="AE263" s="164"/>
      <c r="AF263" s="164"/>
      <c r="AG263" s="164"/>
      <c r="AH263" s="164"/>
      <c r="AI263" s="164"/>
      <c r="AJ263" s="164"/>
      <c r="AK263" s="164"/>
      <c r="AL263" s="164"/>
      <c r="AM263" s="164"/>
      <c r="AN263" s="164"/>
      <c r="AO263" s="164"/>
    </row>
    <row r="264" ht="10.5" customHeight="1">
      <c r="A264" s="164"/>
      <c r="B264" s="165"/>
      <c r="C264" s="165"/>
      <c r="D264" s="165"/>
      <c r="E264" s="165"/>
      <c r="F264" s="165"/>
      <c r="G264" s="165"/>
      <c r="H264" s="165"/>
      <c r="I264" s="165"/>
      <c r="J264" s="165"/>
      <c r="K264" s="165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  <c r="AA264" s="164"/>
      <c r="AB264" s="164"/>
      <c r="AC264" s="164"/>
      <c r="AD264" s="164"/>
      <c r="AE264" s="164"/>
      <c r="AF264" s="164"/>
      <c r="AG264" s="164"/>
      <c r="AH264" s="164"/>
      <c r="AI264" s="164"/>
      <c r="AJ264" s="164"/>
      <c r="AK264" s="164"/>
      <c r="AL264" s="164"/>
      <c r="AM264" s="164"/>
      <c r="AN264" s="164"/>
      <c r="AO264" s="164"/>
    </row>
    <row r="265" ht="10.5" customHeight="1">
      <c r="A265" s="164"/>
      <c r="B265" s="165"/>
      <c r="C265" s="165"/>
      <c r="D265" s="165"/>
      <c r="E265" s="165"/>
      <c r="F265" s="165"/>
      <c r="G265" s="165"/>
      <c r="H265" s="165"/>
      <c r="I265" s="165"/>
      <c r="J265" s="165"/>
      <c r="K265" s="165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  <c r="AA265" s="164"/>
      <c r="AB265" s="164"/>
      <c r="AC265" s="164"/>
      <c r="AD265" s="164"/>
      <c r="AE265" s="164"/>
      <c r="AF265" s="164"/>
      <c r="AG265" s="164"/>
      <c r="AH265" s="164"/>
      <c r="AI265" s="164"/>
      <c r="AJ265" s="164"/>
      <c r="AK265" s="164"/>
      <c r="AL265" s="164"/>
      <c r="AM265" s="164"/>
      <c r="AN265" s="164"/>
      <c r="AO265" s="164"/>
    </row>
    <row r="266" ht="10.5" customHeight="1">
      <c r="A266" s="164"/>
      <c r="B266" s="165"/>
      <c r="C266" s="165"/>
      <c r="D266" s="165"/>
      <c r="E266" s="165"/>
      <c r="F266" s="165"/>
      <c r="G266" s="165"/>
      <c r="H266" s="165"/>
      <c r="I266" s="165"/>
      <c r="J266" s="165"/>
      <c r="K266" s="165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  <c r="AA266" s="164"/>
      <c r="AB266" s="164"/>
      <c r="AC266" s="164"/>
      <c r="AD266" s="164"/>
      <c r="AE266" s="164"/>
      <c r="AF266" s="164"/>
      <c r="AG266" s="164"/>
      <c r="AH266" s="164"/>
      <c r="AI266" s="164"/>
      <c r="AJ266" s="164"/>
      <c r="AK266" s="164"/>
      <c r="AL266" s="164"/>
      <c r="AM266" s="164"/>
      <c r="AN266" s="164"/>
      <c r="AO266" s="164"/>
    </row>
    <row r="267" ht="10.5" customHeight="1">
      <c r="A267" s="164"/>
      <c r="B267" s="165"/>
      <c r="C267" s="165"/>
      <c r="D267" s="165"/>
      <c r="E267" s="165"/>
      <c r="F267" s="165"/>
      <c r="G267" s="165"/>
      <c r="H267" s="165"/>
      <c r="I267" s="165"/>
      <c r="J267" s="165"/>
      <c r="K267" s="165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  <c r="AA267" s="164"/>
      <c r="AB267" s="164"/>
      <c r="AC267" s="164"/>
      <c r="AD267" s="164"/>
      <c r="AE267" s="164"/>
      <c r="AF267" s="164"/>
      <c r="AG267" s="164"/>
      <c r="AH267" s="164"/>
      <c r="AI267" s="164"/>
      <c r="AJ267" s="164"/>
      <c r="AK267" s="164"/>
      <c r="AL267" s="164"/>
      <c r="AM267" s="164"/>
      <c r="AN267" s="164"/>
      <c r="AO267" s="164"/>
    </row>
    <row r="268" ht="10.5" customHeight="1">
      <c r="A268" s="164"/>
      <c r="B268" s="165"/>
      <c r="C268" s="165"/>
      <c r="D268" s="165"/>
      <c r="E268" s="165"/>
      <c r="F268" s="165"/>
      <c r="G268" s="165"/>
      <c r="H268" s="165"/>
      <c r="I268" s="165"/>
      <c r="J268" s="165"/>
      <c r="K268" s="165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  <c r="AA268" s="164"/>
      <c r="AB268" s="164"/>
      <c r="AC268" s="164"/>
      <c r="AD268" s="164"/>
      <c r="AE268" s="164"/>
      <c r="AF268" s="164"/>
      <c r="AG268" s="164"/>
      <c r="AH268" s="164"/>
      <c r="AI268" s="164"/>
      <c r="AJ268" s="164"/>
      <c r="AK268" s="164"/>
      <c r="AL268" s="164"/>
      <c r="AM268" s="164"/>
      <c r="AN268" s="164"/>
      <c r="AO268" s="164"/>
    </row>
    <row r="269" ht="10.5" customHeight="1">
      <c r="A269" s="164"/>
      <c r="B269" s="165"/>
      <c r="C269" s="165"/>
      <c r="D269" s="165"/>
      <c r="E269" s="165"/>
      <c r="F269" s="165"/>
      <c r="G269" s="165"/>
      <c r="H269" s="165"/>
      <c r="I269" s="165"/>
      <c r="J269" s="165"/>
      <c r="K269" s="165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  <c r="AA269" s="164"/>
      <c r="AB269" s="164"/>
      <c r="AC269" s="164"/>
      <c r="AD269" s="164"/>
      <c r="AE269" s="164"/>
      <c r="AF269" s="164"/>
      <c r="AG269" s="164"/>
      <c r="AH269" s="164"/>
      <c r="AI269" s="164"/>
      <c r="AJ269" s="164"/>
      <c r="AK269" s="164"/>
      <c r="AL269" s="164"/>
      <c r="AM269" s="164"/>
      <c r="AN269" s="164"/>
      <c r="AO269" s="164"/>
    </row>
    <row r="270" ht="10.5" customHeight="1">
      <c r="A270" s="164"/>
      <c r="B270" s="165"/>
      <c r="C270" s="165"/>
      <c r="D270" s="165"/>
      <c r="E270" s="165"/>
      <c r="F270" s="165"/>
      <c r="G270" s="165"/>
      <c r="H270" s="165"/>
      <c r="I270" s="165"/>
      <c r="J270" s="165"/>
      <c r="K270" s="165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  <c r="AA270" s="164"/>
      <c r="AB270" s="164"/>
      <c r="AC270" s="164"/>
      <c r="AD270" s="164"/>
      <c r="AE270" s="164"/>
      <c r="AF270" s="164"/>
      <c r="AG270" s="164"/>
      <c r="AH270" s="164"/>
      <c r="AI270" s="164"/>
      <c r="AJ270" s="164"/>
      <c r="AK270" s="164"/>
      <c r="AL270" s="164"/>
      <c r="AM270" s="164"/>
      <c r="AN270" s="164"/>
      <c r="AO270" s="164"/>
    </row>
    <row r="271" ht="10.5" customHeight="1">
      <c r="A271" s="164"/>
      <c r="B271" s="165"/>
      <c r="C271" s="165"/>
      <c r="D271" s="165"/>
      <c r="E271" s="165"/>
      <c r="F271" s="165"/>
      <c r="G271" s="165"/>
      <c r="H271" s="165"/>
      <c r="I271" s="165"/>
      <c r="J271" s="165"/>
      <c r="K271" s="165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  <c r="AA271" s="164"/>
      <c r="AB271" s="164"/>
      <c r="AC271" s="164"/>
      <c r="AD271" s="164"/>
      <c r="AE271" s="164"/>
      <c r="AF271" s="164"/>
      <c r="AG271" s="164"/>
      <c r="AH271" s="164"/>
      <c r="AI271" s="164"/>
      <c r="AJ271" s="164"/>
      <c r="AK271" s="164"/>
      <c r="AL271" s="164"/>
      <c r="AM271" s="164"/>
      <c r="AN271" s="164"/>
      <c r="AO271" s="164"/>
    </row>
    <row r="272" ht="10.5" customHeight="1">
      <c r="A272" s="164"/>
      <c r="B272" s="165"/>
      <c r="C272" s="165"/>
      <c r="D272" s="165"/>
      <c r="E272" s="165"/>
      <c r="F272" s="165"/>
      <c r="G272" s="165"/>
      <c r="H272" s="165"/>
      <c r="I272" s="165"/>
      <c r="J272" s="165"/>
      <c r="K272" s="165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  <c r="AA272" s="164"/>
      <c r="AB272" s="164"/>
      <c r="AC272" s="164"/>
      <c r="AD272" s="164"/>
      <c r="AE272" s="164"/>
      <c r="AF272" s="164"/>
      <c r="AG272" s="164"/>
      <c r="AH272" s="164"/>
      <c r="AI272" s="164"/>
      <c r="AJ272" s="164"/>
      <c r="AK272" s="164"/>
      <c r="AL272" s="164"/>
      <c r="AM272" s="164"/>
      <c r="AN272" s="164"/>
      <c r="AO272" s="164"/>
    </row>
    <row r="273" ht="10.5" customHeight="1">
      <c r="A273" s="164"/>
      <c r="B273" s="165"/>
      <c r="C273" s="165"/>
      <c r="D273" s="165"/>
      <c r="E273" s="165"/>
      <c r="F273" s="165"/>
      <c r="G273" s="165"/>
      <c r="H273" s="165"/>
      <c r="I273" s="165"/>
      <c r="J273" s="165"/>
      <c r="K273" s="165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  <c r="AA273" s="164"/>
      <c r="AB273" s="164"/>
      <c r="AC273" s="164"/>
      <c r="AD273" s="164"/>
      <c r="AE273" s="164"/>
      <c r="AF273" s="164"/>
      <c r="AG273" s="164"/>
      <c r="AH273" s="164"/>
      <c r="AI273" s="164"/>
      <c r="AJ273" s="164"/>
      <c r="AK273" s="164"/>
      <c r="AL273" s="164"/>
      <c r="AM273" s="164"/>
      <c r="AN273" s="164"/>
      <c r="AO273" s="164"/>
    </row>
    <row r="274" ht="10.5" customHeight="1">
      <c r="A274" s="164"/>
      <c r="B274" s="165"/>
      <c r="C274" s="165"/>
      <c r="D274" s="165"/>
      <c r="E274" s="165"/>
      <c r="F274" s="165"/>
      <c r="G274" s="165"/>
      <c r="H274" s="165"/>
      <c r="I274" s="165"/>
      <c r="J274" s="165"/>
      <c r="K274" s="165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  <c r="AA274" s="164"/>
      <c r="AB274" s="164"/>
      <c r="AC274" s="164"/>
      <c r="AD274" s="164"/>
      <c r="AE274" s="164"/>
      <c r="AF274" s="164"/>
      <c r="AG274" s="164"/>
      <c r="AH274" s="164"/>
      <c r="AI274" s="164"/>
      <c r="AJ274" s="164"/>
      <c r="AK274" s="164"/>
      <c r="AL274" s="164"/>
      <c r="AM274" s="164"/>
      <c r="AN274" s="164"/>
      <c r="AO274" s="164"/>
    </row>
    <row r="275" ht="10.5" customHeight="1">
      <c r="A275" s="164"/>
      <c r="B275" s="165"/>
      <c r="C275" s="165"/>
      <c r="D275" s="165"/>
      <c r="E275" s="165"/>
      <c r="F275" s="165"/>
      <c r="G275" s="165"/>
      <c r="H275" s="165"/>
      <c r="I275" s="165"/>
      <c r="J275" s="165"/>
      <c r="K275" s="165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  <c r="AA275" s="164"/>
      <c r="AB275" s="164"/>
      <c r="AC275" s="164"/>
      <c r="AD275" s="164"/>
      <c r="AE275" s="164"/>
      <c r="AF275" s="164"/>
      <c r="AG275" s="164"/>
      <c r="AH275" s="164"/>
      <c r="AI275" s="164"/>
      <c r="AJ275" s="164"/>
      <c r="AK275" s="164"/>
      <c r="AL275" s="164"/>
      <c r="AM275" s="164"/>
      <c r="AN275" s="164"/>
      <c r="AO275" s="164"/>
    </row>
    <row r="276" ht="10.5" customHeight="1">
      <c r="A276" s="164"/>
      <c r="B276" s="165"/>
      <c r="C276" s="165"/>
      <c r="D276" s="165"/>
      <c r="E276" s="165"/>
      <c r="F276" s="165"/>
      <c r="G276" s="165"/>
      <c r="H276" s="165"/>
      <c r="I276" s="165"/>
      <c r="J276" s="165"/>
      <c r="K276" s="165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  <c r="AA276" s="164"/>
      <c r="AB276" s="164"/>
      <c r="AC276" s="164"/>
      <c r="AD276" s="164"/>
      <c r="AE276" s="164"/>
      <c r="AF276" s="164"/>
      <c r="AG276" s="164"/>
      <c r="AH276" s="164"/>
      <c r="AI276" s="164"/>
      <c r="AJ276" s="164"/>
      <c r="AK276" s="164"/>
      <c r="AL276" s="164"/>
      <c r="AM276" s="164"/>
      <c r="AN276" s="164"/>
      <c r="AO276" s="164"/>
    </row>
    <row r="277" ht="10.5" customHeight="1">
      <c r="A277" s="164"/>
      <c r="B277" s="165"/>
      <c r="C277" s="165"/>
      <c r="D277" s="165"/>
      <c r="E277" s="165"/>
      <c r="F277" s="165"/>
      <c r="G277" s="165"/>
      <c r="H277" s="165"/>
      <c r="I277" s="165"/>
      <c r="J277" s="165"/>
      <c r="K277" s="165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  <c r="AA277" s="164"/>
      <c r="AB277" s="164"/>
      <c r="AC277" s="164"/>
      <c r="AD277" s="164"/>
      <c r="AE277" s="164"/>
      <c r="AF277" s="164"/>
      <c r="AG277" s="164"/>
      <c r="AH277" s="164"/>
      <c r="AI277" s="164"/>
      <c r="AJ277" s="164"/>
      <c r="AK277" s="164"/>
      <c r="AL277" s="164"/>
      <c r="AM277" s="164"/>
      <c r="AN277" s="164"/>
      <c r="AO277" s="164"/>
    </row>
    <row r="278" ht="10.5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  <c r="AA278" s="164"/>
      <c r="AB278" s="164"/>
      <c r="AC278" s="164"/>
      <c r="AD278" s="164"/>
      <c r="AE278" s="164"/>
      <c r="AF278" s="164"/>
      <c r="AG278" s="164"/>
      <c r="AH278" s="164"/>
      <c r="AI278" s="164"/>
      <c r="AJ278" s="164"/>
      <c r="AK278" s="164"/>
      <c r="AL278" s="164"/>
      <c r="AM278" s="164"/>
      <c r="AN278" s="164"/>
      <c r="AO278" s="164"/>
    </row>
    <row r="279" ht="10.5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  <c r="AA279" s="164"/>
      <c r="AB279" s="164"/>
      <c r="AC279" s="164"/>
      <c r="AD279" s="164"/>
      <c r="AE279" s="164"/>
      <c r="AF279" s="164"/>
      <c r="AG279" s="164"/>
      <c r="AH279" s="164"/>
      <c r="AI279" s="164"/>
      <c r="AJ279" s="164"/>
      <c r="AK279" s="164"/>
      <c r="AL279" s="164"/>
      <c r="AM279" s="164"/>
      <c r="AN279" s="164"/>
      <c r="AO279" s="164"/>
    </row>
    <row r="280" ht="10.5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  <c r="AA280" s="164"/>
      <c r="AB280" s="164"/>
      <c r="AC280" s="164"/>
      <c r="AD280" s="164"/>
      <c r="AE280" s="164"/>
      <c r="AF280" s="164"/>
      <c r="AG280" s="164"/>
      <c r="AH280" s="164"/>
      <c r="AI280" s="164"/>
      <c r="AJ280" s="164"/>
      <c r="AK280" s="164"/>
      <c r="AL280" s="164"/>
      <c r="AM280" s="164"/>
      <c r="AN280" s="164"/>
      <c r="AO280" s="164"/>
    </row>
    <row r="281" ht="10.5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  <c r="AA281" s="164"/>
      <c r="AB281" s="164"/>
      <c r="AC281" s="164"/>
      <c r="AD281" s="164"/>
      <c r="AE281" s="164"/>
      <c r="AF281" s="164"/>
      <c r="AG281" s="164"/>
      <c r="AH281" s="164"/>
      <c r="AI281" s="164"/>
      <c r="AJ281" s="164"/>
      <c r="AK281" s="164"/>
      <c r="AL281" s="164"/>
      <c r="AM281" s="164"/>
      <c r="AN281" s="164"/>
      <c r="AO281" s="164"/>
    </row>
    <row r="282" ht="10.5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65"/>
      <c r="K282" s="165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64"/>
      <c r="AA282" s="164"/>
      <c r="AB282" s="164"/>
      <c r="AC282" s="164"/>
      <c r="AD282" s="164"/>
      <c r="AE282" s="164"/>
      <c r="AF282" s="164"/>
      <c r="AG282" s="164"/>
      <c r="AH282" s="164"/>
      <c r="AI282" s="164"/>
      <c r="AJ282" s="164"/>
      <c r="AK282" s="164"/>
      <c r="AL282" s="164"/>
      <c r="AM282" s="164"/>
      <c r="AN282" s="164"/>
      <c r="AO282" s="164"/>
    </row>
    <row r="283" ht="10.5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65"/>
      <c r="K283" s="165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  <c r="AA283" s="164"/>
      <c r="AB283" s="164"/>
      <c r="AC283" s="164"/>
      <c r="AD283" s="164"/>
      <c r="AE283" s="164"/>
      <c r="AF283" s="164"/>
      <c r="AG283" s="164"/>
      <c r="AH283" s="164"/>
      <c r="AI283" s="164"/>
      <c r="AJ283" s="164"/>
      <c r="AK283" s="164"/>
      <c r="AL283" s="164"/>
      <c r="AM283" s="164"/>
      <c r="AN283" s="164"/>
      <c r="AO283" s="164"/>
    </row>
    <row r="284" ht="10.5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64"/>
      <c r="AA284" s="164"/>
      <c r="AB284" s="164"/>
      <c r="AC284" s="164"/>
      <c r="AD284" s="164"/>
      <c r="AE284" s="164"/>
      <c r="AF284" s="164"/>
      <c r="AG284" s="164"/>
      <c r="AH284" s="164"/>
      <c r="AI284" s="164"/>
      <c r="AJ284" s="164"/>
      <c r="AK284" s="164"/>
      <c r="AL284" s="164"/>
      <c r="AM284" s="164"/>
      <c r="AN284" s="164"/>
      <c r="AO284" s="164"/>
    </row>
    <row r="285" ht="10.5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  <c r="AA285" s="164"/>
      <c r="AB285" s="164"/>
      <c r="AC285" s="164"/>
      <c r="AD285" s="164"/>
      <c r="AE285" s="164"/>
      <c r="AF285" s="164"/>
      <c r="AG285" s="164"/>
      <c r="AH285" s="164"/>
      <c r="AI285" s="164"/>
      <c r="AJ285" s="164"/>
      <c r="AK285" s="164"/>
      <c r="AL285" s="164"/>
      <c r="AM285" s="164"/>
      <c r="AN285" s="164"/>
      <c r="AO285" s="164"/>
    </row>
    <row r="286" ht="10.5" customHeight="1">
      <c r="A286" s="164"/>
      <c r="B286" s="165"/>
      <c r="C286" s="165"/>
      <c r="D286" s="165"/>
      <c r="E286" s="165"/>
      <c r="F286" s="165"/>
      <c r="G286" s="165"/>
      <c r="H286" s="165"/>
      <c r="I286" s="165"/>
      <c r="J286" s="165"/>
      <c r="K286" s="165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  <c r="AA286" s="164"/>
      <c r="AB286" s="164"/>
      <c r="AC286" s="164"/>
      <c r="AD286" s="164"/>
      <c r="AE286" s="164"/>
      <c r="AF286" s="164"/>
      <c r="AG286" s="164"/>
      <c r="AH286" s="164"/>
      <c r="AI286" s="164"/>
      <c r="AJ286" s="164"/>
      <c r="AK286" s="164"/>
      <c r="AL286" s="164"/>
      <c r="AM286" s="164"/>
      <c r="AN286" s="164"/>
      <c r="AO286" s="164"/>
    </row>
    <row r="287" ht="10.5" customHeight="1">
      <c r="A287" s="164"/>
      <c r="B287" s="165"/>
      <c r="C287" s="165"/>
      <c r="D287" s="165"/>
      <c r="E287" s="165"/>
      <c r="F287" s="165"/>
      <c r="G287" s="165"/>
      <c r="H287" s="165"/>
      <c r="I287" s="165"/>
      <c r="J287" s="165"/>
      <c r="K287" s="165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64"/>
      <c r="AA287" s="164"/>
      <c r="AB287" s="164"/>
      <c r="AC287" s="164"/>
      <c r="AD287" s="164"/>
      <c r="AE287" s="164"/>
      <c r="AF287" s="164"/>
      <c r="AG287" s="164"/>
      <c r="AH287" s="164"/>
      <c r="AI287" s="164"/>
      <c r="AJ287" s="164"/>
      <c r="AK287" s="164"/>
      <c r="AL287" s="164"/>
      <c r="AM287" s="164"/>
      <c r="AN287" s="164"/>
      <c r="AO287" s="164"/>
    </row>
    <row r="288" ht="10.5" customHeight="1">
      <c r="A288" s="164"/>
      <c r="B288" s="165"/>
      <c r="C288" s="165"/>
      <c r="D288" s="165"/>
      <c r="E288" s="165"/>
      <c r="F288" s="165"/>
      <c r="G288" s="165"/>
      <c r="H288" s="165"/>
      <c r="I288" s="165"/>
      <c r="J288" s="165"/>
      <c r="K288" s="165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64"/>
      <c r="AA288" s="164"/>
      <c r="AB288" s="164"/>
      <c r="AC288" s="164"/>
      <c r="AD288" s="164"/>
      <c r="AE288" s="164"/>
      <c r="AF288" s="164"/>
      <c r="AG288" s="164"/>
      <c r="AH288" s="164"/>
      <c r="AI288" s="164"/>
      <c r="AJ288" s="164"/>
      <c r="AK288" s="164"/>
      <c r="AL288" s="164"/>
      <c r="AM288" s="164"/>
      <c r="AN288" s="164"/>
      <c r="AO288" s="164"/>
    </row>
    <row r="289" ht="10.5" customHeight="1">
      <c r="A289" s="164"/>
      <c r="B289" s="165"/>
      <c r="C289" s="165"/>
      <c r="D289" s="165"/>
      <c r="E289" s="165"/>
      <c r="F289" s="165"/>
      <c r="G289" s="165"/>
      <c r="H289" s="165"/>
      <c r="I289" s="165"/>
      <c r="J289" s="165"/>
      <c r="K289" s="165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64"/>
      <c r="AA289" s="164"/>
      <c r="AB289" s="164"/>
      <c r="AC289" s="164"/>
      <c r="AD289" s="164"/>
      <c r="AE289" s="164"/>
      <c r="AF289" s="164"/>
      <c r="AG289" s="164"/>
      <c r="AH289" s="164"/>
      <c r="AI289" s="164"/>
      <c r="AJ289" s="164"/>
      <c r="AK289" s="164"/>
      <c r="AL289" s="164"/>
      <c r="AM289" s="164"/>
      <c r="AN289" s="164"/>
      <c r="AO289" s="164"/>
    </row>
    <row r="290" ht="10.5" customHeight="1">
      <c r="A290" s="164"/>
      <c r="B290" s="165"/>
      <c r="C290" s="165"/>
      <c r="D290" s="165"/>
      <c r="E290" s="165"/>
      <c r="F290" s="165"/>
      <c r="G290" s="165"/>
      <c r="H290" s="165"/>
      <c r="I290" s="165"/>
      <c r="J290" s="165"/>
      <c r="K290" s="165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  <c r="AA290" s="164"/>
      <c r="AB290" s="164"/>
      <c r="AC290" s="164"/>
      <c r="AD290" s="164"/>
      <c r="AE290" s="164"/>
      <c r="AF290" s="164"/>
      <c r="AG290" s="164"/>
      <c r="AH290" s="164"/>
      <c r="AI290" s="164"/>
      <c r="AJ290" s="164"/>
      <c r="AK290" s="164"/>
      <c r="AL290" s="164"/>
      <c r="AM290" s="164"/>
      <c r="AN290" s="164"/>
      <c r="AO290" s="164"/>
    </row>
    <row r="291" ht="10.5" customHeight="1">
      <c r="A291" s="164"/>
      <c r="B291" s="165"/>
      <c r="C291" s="165"/>
      <c r="D291" s="165"/>
      <c r="E291" s="165"/>
      <c r="F291" s="165"/>
      <c r="G291" s="165"/>
      <c r="H291" s="165"/>
      <c r="I291" s="165"/>
      <c r="J291" s="165"/>
      <c r="K291" s="165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  <c r="AA291" s="164"/>
      <c r="AB291" s="164"/>
      <c r="AC291" s="164"/>
      <c r="AD291" s="164"/>
      <c r="AE291" s="164"/>
      <c r="AF291" s="164"/>
      <c r="AG291" s="164"/>
      <c r="AH291" s="164"/>
      <c r="AI291" s="164"/>
      <c r="AJ291" s="164"/>
      <c r="AK291" s="164"/>
      <c r="AL291" s="164"/>
      <c r="AM291" s="164"/>
      <c r="AN291" s="164"/>
      <c r="AO291" s="164"/>
    </row>
    <row r="292" ht="10.5" customHeight="1">
      <c r="A292" s="164"/>
      <c r="B292" s="165"/>
      <c r="C292" s="165"/>
      <c r="D292" s="165"/>
      <c r="E292" s="165"/>
      <c r="F292" s="165"/>
      <c r="G292" s="165"/>
      <c r="H292" s="165"/>
      <c r="I292" s="165"/>
      <c r="J292" s="165"/>
      <c r="K292" s="165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64"/>
      <c r="AA292" s="164"/>
      <c r="AB292" s="164"/>
      <c r="AC292" s="164"/>
      <c r="AD292" s="164"/>
      <c r="AE292" s="164"/>
      <c r="AF292" s="164"/>
      <c r="AG292" s="164"/>
      <c r="AH292" s="164"/>
      <c r="AI292" s="164"/>
      <c r="AJ292" s="164"/>
      <c r="AK292" s="164"/>
      <c r="AL292" s="164"/>
      <c r="AM292" s="164"/>
      <c r="AN292" s="164"/>
      <c r="AO292" s="164"/>
    </row>
    <row r="293" ht="10.5" customHeight="1">
      <c r="A293" s="164"/>
      <c r="B293" s="165"/>
      <c r="C293" s="165"/>
      <c r="D293" s="165"/>
      <c r="E293" s="165"/>
      <c r="F293" s="165"/>
      <c r="G293" s="165"/>
      <c r="H293" s="165"/>
      <c r="I293" s="165"/>
      <c r="J293" s="165"/>
      <c r="K293" s="165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  <c r="AA293" s="164"/>
      <c r="AB293" s="164"/>
      <c r="AC293" s="164"/>
      <c r="AD293" s="164"/>
      <c r="AE293" s="164"/>
      <c r="AF293" s="164"/>
      <c r="AG293" s="164"/>
      <c r="AH293" s="164"/>
      <c r="AI293" s="164"/>
      <c r="AJ293" s="164"/>
      <c r="AK293" s="164"/>
      <c r="AL293" s="164"/>
      <c r="AM293" s="164"/>
      <c r="AN293" s="164"/>
      <c r="AO293" s="164"/>
    </row>
    <row r="294" ht="10.5" customHeight="1">
      <c r="A294" s="164"/>
      <c r="B294" s="165"/>
      <c r="C294" s="165"/>
      <c r="D294" s="165"/>
      <c r="E294" s="165"/>
      <c r="F294" s="165"/>
      <c r="G294" s="165"/>
      <c r="H294" s="165"/>
      <c r="I294" s="165"/>
      <c r="J294" s="165"/>
      <c r="K294" s="165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64"/>
      <c r="AA294" s="164"/>
      <c r="AB294" s="164"/>
      <c r="AC294" s="164"/>
      <c r="AD294" s="164"/>
      <c r="AE294" s="164"/>
      <c r="AF294" s="164"/>
      <c r="AG294" s="164"/>
      <c r="AH294" s="164"/>
      <c r="AI294" s="164"/>
      <c r="AJ294" s="164"/>
      <c r="AK294" s="164"/>
      <c r="AL294" s="164"/>
      <c r="AM294" s="164"/>
      <c r="AN294" s="164"/>
      <c r="AO294" s="164"/>
    </row>
    <row r="295" ht="10.5" customHeight="1">
      <c r="A295" s="164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64"/>
      <c r="AA295" s="164"/>
      <c r="AB295" s="164"/>
      <c r="AC295" s="164"/>
      <c r="AD295" s="164"/>
      <c r="AE295" s="164"/>
      <c r="AF295" s="164"/>
      <c r="AG295" s="164"/>
      <c r="AH295" s="164"/>
      <c r="AI295" s="164"/>
      <c r="AJ295" s="164"/>
      <c r="AK295" s="164"/>
      <c r="AL295" s="164"/>
      <c r="AM295" s="164"/>
      <c r="AN295" s="164"/>
      <c r="AO295" s="164"/>
    </row>
    <row r="296" ht="10.5" customHeight="1">
      <c r="A296" s="164"/>
      <c r="B296" s="165"/>
      <c r="C296" s="165"/>
      <c r="D296" s="165"/>
      <c r="E296" s="165"/>
      <c r="F296" s="165"/>
      <c r="G296" s="165"/>
      <c r="H296" s="165"/>
      <c r="I296" s="165"/>
      <c r="J296" s="165"/>
      <c r="K296" s="165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64"/>
      <c r="AA296" s="164"/>
      <c r="AB296" s="164"/>
      <c r="AC296" s="164"/>
      <c r="AD296" s="164"/>
      <c r="AE296" s="164"/>
      <c r="AF296" s="164"/>
      <c r="AG296" s="164"/>
      <c r="AH296" s="164"/>
      <c r="AI296" s="164"/>
      <c r="AJ296" s="164"/>
      <c r="AK296" s="164"/>
      <c r="AL296" s="164"/>
      <c r="AM296" s="164"/>
      <c r="AN296" s="164"/>
      <c r="AO296" s="164"/>
    </row>
    <row r="297" ht="10.5" customHeight="1">
      <c r="A297" s="164"/>
      <c r="B297" s="165"/>
      <c r="C297" s="165"/>
      <c r="D297" s="165"/>
      <c r="E297" s="165"/>
      <c r="F297" s="165"/>
      <c r="G297" s="165"/>
      <c r="H297" s="165"/>
      <c r="I297" s="165"/>
      <c r="J297" s="165"/>
      <c r="K297" s="165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64"/>
      <c r="AA297" s="164"/>
      <c r="AB297" s="164"/>
      <c r="AC297" s="164"/>
      <c r="AD297" s="164"/>
      <c r="AE297" s="164"/>
      <c r="AF297" s="164"/>
      <c r="AG297" s="164"/>
      <c r="AH297" s="164"/>
      <c r="AI297" s="164"/>
      <c r="AJ297" s="164"/>
      <c r="AK297" s="164"/>
      <c r="AL297" s="164"/>
      <c r="AM297" s="164"/>
      <c r="AN297" s="164"/>
      <c r="AO297" s="164"/>
    </row>
    <row r="298" ht="10.5" customHeight="1">
      <c r="A298" s="164"/>
      <c r="B298" s="165"/>
      <c r="C298" s="165"/>
      <c r="D298" s="165"/>
      <c r="E298" s="165"/>
      <c r="F298" s="165"/>
      <c r="G298" s="165"/>
      <c r="H298" s="165"/>
      <c r="I298" s="165"/>
      <c r="J298" s="165"/>
      <c r="K298" s="165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64"/>
      <c r="AA298" s="164"/>
      <c r="AB298" s="164"/>
      <c r="AC298" s="164"/>
      <c r="AD298" s="164"/>
      <c r="AE298" s="164"/>
      <c r="AF298" s="164"/>
      <c r="AG298" s="164"/>
      <c r="AH298" s="164"/>
      <c r="AI298" s="164"/>
      <c r="AJ298" s="164"/>
      <c r="AK298" s="164"/>
      <c r="AL298" s="164"/>
      <c r="AM298" s="164"/>
      <c r="AN298" s="164"/>
      <c r="AO298" s="164"/>
    </row>
    <row r="299" ht="10.5" customHeight="1">
      <c r="A299" s="164"/>
      <c r="B299" s="165"/>
      <c r="C299" s="165"/>
      <c r="D299" s="165"/>
      <c r="E299" s="165"/>
      <c r="F299" s="165"/>
      <c r="G299" s="165"/>
      <c r="H299" s="165"/>
      <c r="I299" s="165"/>
      <c r="J299" s="165"/>
      <c r="K299" s="165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64"/>
      <c r="AA299" s="164"/>
      <c r="AB299" s="164"/>
      <c r="AC299" s="164"/>
      <c r="AD299" s="164"/>
      <c r="AE299" s="164"/>
      <c r="AF299" s="164"/>
      <c r="AG299" s="164"/>
      <c r="AH299" s="164"/>
      <c r="AI299" s="164"/>
      <c r="AJ299" s="164"/>
      <c r="AK299" s="164"/>
      <c r="AL299" s="164"/>
      <c r="AM299" s="164"/>
      <c r="AN299" s="164"/>
      <c r="AO299" s="164"/>
    </row>
    <row r="300" ht="10.5" customHeight="1">
      <c r="A300" s="164"/>
      <c r="B300" s="165"/>
      <c r="C300" s="165"/>
      <c r="D300" s="165"/>
      <c r="E300" s="165"/>
      <c r="F300" s="165"/>
      <c r="G300" s="165"/>
      <c r="H300" s="165"/>
      <c r="I300" s="165"/>
      <c r="J300" s="165"/>
      <c r="K300" s="165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64"/>
      <c r="AA300" s="164"/>
      <c r="AB300" s="164"/>
      <c r="AC300" s="164"/>
      <c r="AD300" s="164"/>
      <c r="AE300" s="164"/>
      <c r="AF300" s="164"/>
      <c r="AG300" s="164"/>
      <c r="AH300" s="164"/>
      <c r="AI300" s="164"/>
      <c r="AJ300" s="164"/>
      <c r="AK300" s="164"/>
      <c r="AL300" s="164"/>
      <c r="AM300" s="164"/>
      <c r="AN300" s="164"/>
      <c r="AO300" s="164"/>
    </row>
    <row r="301" ht="10.5" customHeight="1">
      <c r="A301" s="164"/>
      <c r="B301" s="165"/>
      <c r="C301" s="165"/>
      <c r="D301" s="165"/>
      <c r="E301" s="165"/>
      <c r="F301" s="165"/>
      <c r="G301" s="165"/>
      <c r="H301" s="165"/>
      <c r="I301" s="165"/>
      <c r="J301" s="165"/>
      <c r="K301" s="165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64"/>
      <c r="AA301" s="164"/>
      <c r="AB301" s="164"/>
      <c r="AC301" s="164"/>
      <c r="AD301" s="164"/>
      <c r="AE301" s="164"/>
      <c r="AF301" s="164"/>
      <c r="AG301" s="164"/>
      <c r="AH301" s="164"/>
      <c r="AI301" s="164"/>
      <c r="AJ301" s="164"/>
      <c r="AK301" s="164"/>
      <c r="AL301" s="164"/>
      <c r="AM301" s="164"/>
      <c r="AN301" s="164"/>
      <c r="AO301" s="164"/>
    </row>
    <row r="302" ht="10.5" customHeight="1">
      <c r="A302" s="164"/>
      <c r="B302" s="165"/>
      <c r="C302" s="165"/>
      <c r="D302" s="165"/>
      <c r="E302" s="165"/>
      <c r="F302" s="165"/>
      <c r="G302" s="165"/>
      <c r="H302" s="165"/>
      <c r="I302" s="165"/>
      <c r="J302" s="165"/>
      <c r="K302" s="165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  <c r="AA302" s="164"/>
      <c r="AB302" s="164"/>
      <c r="AC302" s="164"/>
      <c r="AD302" s="164"/>
      <c r="AE302" s="164"/>
      <c r="AF302" s="164"/>
      <c r="AG302" s="164"/>
      <c r="AH302" s="164"/>
      <c r="AI302" s="164"/>
      <c r="AJ302" s="164"/>
      <c r="AK302" s="164"/>
      <c r="AL302" s="164"/>
      <c r="AM302" s="164"/>
      <c r="AN302" s="164"/>
      <c r="AO302" s="164"/>
    </row>
    <row r="303" ht="10.5" customHeight="1">
      <c r="A303" s="164"/>
      <c r="B303" s="165"/>
      <c r="C303" s="165"/>
      <c r="D303" s="165"/>
      <c r="E303" s="165"/>
      <c r="F303" s="165"/>
      <c r="G303" s="165"/>
      <c r="H303" s="165"/>
      <c r="I303" s="165"/>
      <c r="J303" s="165"/>
      <c r="K303" s="165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64"/>
      <c r="AA303" s="164"/>
      <c r="AB303" s="164"/>
      <c r="AC303" s="164"/>
      <c r="AD303" s="164"/>
      <c r="AE303" s="164"/>
      <c r="AF303" s="164"/>
      <c r="AG303" s="164"/>
      <c r="AH303" s="164"/>
      <c r="AI303" s="164"/>
      <c r="AJ303" s="164"/>
      <c r="AK303" s="164"/>
      <c r="AL303" s="164"/>
      <c r="AM303" s="164"/>
      <c r="AN303" s="164"/>
      <c r="AO303" s="164"/>
    </row>
    <row r="304" ht="10.5" customHeight="1">
      <c r="A304" s="164"/>
      <c r="B304" s="165"/>
      <c r="C304" s="165"/>
      <c r="D304" s="165"/>
      <c r="E304" s="165"/>
      <c r="F304" s="165"/>
      <c r="G304" s="165"/>
      <c r="H304" s="165"/>
      <c r="I304" s="165"/>
      <c r="J304" s="165"/>
      <c r="K304" s="165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64"/>
      <c r="AA304" s="164"/>
      <c r="AB304" s="164"/>
      <c r="AC304" s="164"/>
      <c r="AD304" s="164"/>
      <c r="AE304" s="164"/>
      <c r="AF304" s="164"/>
      <c r="AG304" s="164"/>
      <c r="AH304" s="164"/>
      <c r="AI304" s="164"/>
      <c r="AJ304" s="164"/>
      <c r="AK304" s="164"/>
      <c r="AL304" s="164"/>
      <c r="AM304" s="164"/>
      <c r="AN304" s="164"/>
      <c r="AO304" s="164"/>
    </row>
    <row r="305" ht="10.5" customHeight="1">
      <c r="A305" s="164"/>
      <c r="B305" s="165"/>
      <c r="C305" s="165"/>
      <c r="D305" s="165"/>
      <c r="E305" s="165"/>
      <c r="F305" s="165"/>
      <c r="G305" s="165"/>
      <c r="H305" s="165"/>
      <c r="I305" s="165"/>
      <c r="J305" s="165"/>
      <c r="K305" s="165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64"/>
      <c r="AA305" s="164"/>
      <c r="AB305" s="164"/>
      <c r="AC305" s="164"/>
      <c r="AD305" s="164"/>
      <c r="AE305" s="164"/>
      <c r="AF305" s="164"/>
      <c r="AG305" s="164"/>
      <c r="AH305" s="164"/>
      <c r="AI305" s="164"/>
      <c r="AJ305" s="164"/>
      <c r="AK305" s="164"/>
      <c r="AL305" s="164"/>
      <c r="AM305" s="164"/>
      <c r="AN305" s="164"/>
      <c r="AO305" s="164"/>
    </row>
    <row r="306" ht="10.5" customHeight="1">
      <c r="A306" s="164"/>
      <c r="B306" s="165"/>
      <c r="C306" s="165"/>
      <c r="D306" s="165"/>
      <c r="E306" s="165"/>
      <c r="F306" s="165"/>
      <c r="G306" s="165"/>
      <c r="H306" s="165"/>
      <c r="I306" s="165"/>
      <c r="J306" s="165"/>
      <c r="K306" s="165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  <c r="AA306" s="164"/>
      <c r="AB306" s="164"/>
      <c r="AC306" s="164"/>
      <c r="AD306" s="164"/>
      <c r="AE306" s="164"/>
      <c r="AF306" s="164"/>
      <c r="AG306" s="164"/>
      <c r="AH306" s="164"/>
      <c r="AI306" s="164"/>
      <c r="AJ306" s="164"/>
      <c r="AK306" s="164"/>
      <c r="AL306" s="164"/>
      <c r="AM306" s="164"/>
      <c r="AN306" s="164"/>
      <c r="AO306" s="164"/>
    </row>
    <row r="307" ht="10.5" customHeight="1">
      <c r="A307" s="164"/>
      <c r="B307" s="165"/>
      <c r="C307" s="165"/>
      <c r="D307" s="165"/>
      <c r="E307" s="165"/>
      <c r="F307" s="165"/>
      <c r="G307" s="165"/>
      <c r="H307" s="165"/>
      <c r="I307" s="165"/>
      <c r="J307" s="165"/>
      <c r="K307" s="165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64"/>
      <c r="AA307" s="164"/>
      <c r="AB307" s="164"/>
      <c r="AC307" s="164"/>
      <c r="AD307" s="164"/>
      <c r="AE307" s="164"/>
      <c r="AF307" s="164"/>
      <c r="AG307" s="164"/>
      <c r="AH307" s="164"/>
      <c r="AI307" s="164"/>
      <c r="AJ307" s="164"/>
      <c r="AK307" s="164"/>
      <c r="AL307" s="164"/>
      <c r="AM307" s="164"/>
      <c r="AN307" s="164"/>
      <c r="AO307" s="164"/>
    </row>
    <row r="308" ht="10.5" customHeight="1">
      <c r="A308" s="164"/>
      <c r="B308" s="165"/>
      <c r="C308" s="165"/>
      <c r="D308" s="165"/>
      <c r="E308" s="165"/>
      <c r="F308" s="165"/>
      <c r="G308" s="165"/>
      <c r="H308" s="165"/>
      <c r="I308" s="165"/>
      <c r="J308" s="165"/>
      <c r="K308" s="165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64"/>
      <c r="AA308" s="164"/>
      <c r="AB308" s="164"/>
      <c r="AC308" s="164"/>
      <c r="AD308" s="164"/>
      <c r="AE308" s="164"/>
      <c r="AF308" s="164"/>
      <c r="AG308" s="164"/>
      <c r="AH308" s="164"/>
      <c r="AI308" s="164"/>
      <c r="AJ308" s="164"/>
      <c r="AK308" s="164"/>
      <c r="AL308" s="164"/>
      <c r="AM308" s="164"/>
      <c r="AN308" s="164"/>
      <c r="AO308" s="164"/>
    </row>
    <row r="309" ht="10.5" customHeight="1">
      <c r="A309" s="164"/>
      <c r="B309" s="165"/>
      <c r="C309" s="165"/>
      <c r="D309" s="165"/>
      <c r="E309" s="165"/>
      <c r="F309" s="165"/>
      <c r="G309" s="165"/>
      <c r="H309" s="165"/>
      <c r="I309" s="165"/>
      <c r="J309" s="165"/>
      <c r="K309" s="165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64"/>
      <c r="AA309" s="164"/>
      <c r="AB309" s="164"/>
      <c r="AC309" s="164"/>
      <c r="AD309" s="164"/>
      <c r="AE309" s="164"/>
      <c r="AF309" s="164"/>
      <c r="AG309" s="164"/>
      <c r="AH309" s="164"/>
      <c r="AI309" s="164"/>
      <c r="AJ309" s="164"/>
      <c r="AK309" s="164"/>
      <c r="AL309" s="164"/>
      <c r="AM309" s="164"/>
      <c r="AN309" s="164"/>
      <c r="AO309" s="164"/>
    </row>
    <row r="310" ht="10.5" customHeight="1">
      <c r="A310" s="164"/>
      <c r="B310" s="165"/>
      <c r="C310" s="165"/>
      <c r="D310" s="165"/>
      <c r="E310" s="165"/>
      <c r="F310" s="165"/>
      <c r="G310" s="165"/>
      <c r="H310" s="165"/>
      <c r="I310" s="165"/>
      <c r="J310" s="165"/>
      <c r="K310" s="165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64"/>
      <c r="AA310" s="164"/>
      <c r="AB310" s="164"/>
      <c r="AC310" s="164"/>
      <c r="AD310" s="164"/>
      <c r="AE310" s="164"/>
      <c r="AF310" s="164"/>
      <c r="AG310" s="164"/>
      <c r="AH310" s="164"/>
      <c r="AI310" s="164"/>
      <c r="AJ310" s="164"/>
      <c r="AK310" s="164"/>
      <c r="AL310" s="164"/>
      <c r="AM310" s="164"/>
      <c r="AN310" s="164"/>
      <c r="AO310" s="164"/>
    </row>
    <row r="311" ht="10.5" customHeight="1">
      <c r="A311" s="164"/>
      <c r="B311" s="165"/>
      <c r="C311" s="165"/>
      <c r="D311" s="165"/>
      <c r="E311" s="165"/>
      <c r="F311" s="165"/>
      <c r="G311" s="165"/>
      <c r="H311" s="165"/>
      <c r="I311" s="165"/>
      <c r="J311" s="165"/>
      <c r="K311" s="165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64"/>
      <c r="AA311" s="164"/>
      <c r="AB311" s="164"/>
      <c r="AC311" s="164"/>
      <c r="AD311" s="164"/>
      <c r="AE311" s="164"/>
      <c r="AF311" s="164"/>
      <c r="AG311" s="164"/>
      <c r="AH311" s="164"/>
      <c r="AI311" s="164"/>
      <c r="AJ311" s="164"/>
      <c r="AK311" s="164"/>
      <c r="AL311" s="164"/>
      <c r="AM311" s="164"/>
      <c r="AN311" s="164"/>
      <c r="AO311" s="164"/>
    </row>
    <row r="312" ht="10.5" customHeight="1">
      <c r="A312" s="164"/>
      <c r="B312" s="165"/>
      <c r="C312" s="165"/>
      <c r="D312" s="165"/>
      <c r="E312" s="165"/>
      <c r="F312" s="165"/>
      <c r="G312" s="165"/>
      <c r="H312" s="165"/>
      <c r="I312" s="165"/>
      <c r="J312" s="165"/>
      <c r="K312" s="165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64"/>
      <c r="AA312" s="164"/>
      <c r="AB312" s="164"/>
      <c r="AC312" s="164"/>
      <c r="AD312" s="164"/>
      <c r="AE312" s="164"/>
      <c r="AF312" s="164"/>
      <c r="AG312" s="164"/>
      <c r="AH312" s="164"/>
      <c r="AI312" s="164"/>
      <c r="AJ312" s="164"/>
      <c r="AK312" s="164"/>
      <c r="AL312" s="164"/>
      <c r="AM312" s="164"/>
      <c r="AN312" s="164"/>
      <c r="AO312" s="164"/>
    </row>
    <row r="313" ht="10.5" customHeight="1">
      <c r="A313" s="164"/>
      <c r="B313" s="165"/>
      <c r="C313" s="165"/>
      <c r="D313" s="165"/>
      <c r="E313" s="165"/>
      <c r="F313" s="165"/>
      <c r="G313" s="165"/>
      <c r="H313" s="165"/>
      <c r="I313" s="165"/>
      <c r="J313" s="165"/>
      <c r="K313" s="165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64"/>
      <c r="AA313" s="164"/>
      <c r="AB313" s="164"/>
      <c r="AC313" s="164"/>
      <c r="AD313" s="164"/>
      <c r="AE313" s="164"/>
      <c r="AF313" s="164"/>
      <c r="AG313" s="164"/>
      <c r="AH313" s="164"/>
      <c r="AI313" s="164"/>
      <c r="AJ313" s="164"/>
      <c r="AK313" s="164"/>
      <c r="AL313" s="164"/>
      <c r="AM313" s="164"/>
      <c r="AN313" s="164"/>
      <c r="AO313" s="164"/>
    </row>
    <row r="314" ht="10.5" customHeight="1">
      <c r="A314" s="164"/>
      <c r="B314" s="165"/>
      <c r="C314" s="165"/>
      <c r="D314" s="165"/>
      <c r="E314" s="165"/>
      <c r="F314" s="165"/>
      <c r="G314" s="165"/>
      <c r="H314" s="165"/>
      <c r="I314" s="165"/>
      <c r="J314" s="165"/>
      <c r="K314" s="165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64"/>
      <c r="AA314" s="164"/>
      <c r="AB314" s="164"/>
      <c r="AC314" s="164"/>
      <c r="AD314" s="164"/>
      <c r="AE314" s="164"/>
      <c r="AF314" s="164"/>
      <c r="AG314" s="164"/>
      <c r="AH314" s="164"/>
      <c r="AI314" s="164"/>
      <c r="AJ314" s="164"/>
      <c r="AK314" s="164"/>
      <c r="AL314" s="164"/>
      <c r="AM314" s="164"/>
      <c r="AN314" s="164"/>
      <c r="AO314" s="164"/>
    </row>
    <row r="315" ht="10.5" customHeight="1">
      <c r="A315" s="164"/>
      <c r="B315" s="165"/>
      <c r="C315" s="165"/>
      <c r="D315" s="165"/>
      <c r="E315" s="165"/>
      <c r="F315" s="165"/>
      <c r="G315" s="165"/>
      <c r="H315" s="165"/>
      <c r="I315" s="165"/>
      <c r="J315" s="165"/>
      <c r="K315" s="165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64"/>
      <c r="AA315" s="164"/>
      <c r="AB315" s="164"/>
      <c r="AC315" s="164"/>
      <c r="AD315" s="164"/>
      <c r="AE315" s="164"/>
      <c r="AF315" s="164"/>
      <c r="AG315" s="164"/>
      <c r="AH315" s="164"/>
      <c r="AI315" s="164"/>
      <c r="AJ315" s="164"/>
      <c r="AK315" s="164"/>
      <c r="AL315" s="164"/>
      <c r="AM315" s="164"/>
      <c r="AN315" s="164"/>
      <c r="AO315" s="164"/>
    </row>
    <row r="316" ht="10.5" customHeight="1">
      <c r="A316" s="164"/>
      <c r="B316" s="165"/>
      <c r="C316" s="165"/>
      <c r="D316" s="165"/>
      <c r="E316" s="165"/>
      <c r="F316" s="165"/>
      <c r="G316" s="165"/>
      <c r="H316" s="165"/>
      <c r="I316" s="165"/>
      <c r="J316" s="165"/>
      <c r="K316" s="165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64"/>
      <c r="AA316" s="164"/>
      <c r="AB316" s="164"/>
      <c r="AC316" s="164"/>
      <c r="AD316" s="164"/>
      <c r="AE316" s="164"/>
      <c r="AF316" s="164"/>
      <c r="AG316" s="164"/>
      <c r="AH316" s="164"/>
      <c r="AI316" s="164"/>
      <c r="AJ316" s="164"/>
      <c r="AK316" s="164"/>
      <c r="AL316" s="164"/>
      <c r="AM316" s="164"/>
      <c r="AN316" s="164"/>
      <c r="AO316" s="164"/>
    </row>
    <row r="317" ht="10.5" customHeight="1">
      <c r="A317" s="164"/>
      <c r="B317" s="165"/>
      <c r="C317" s="165"/>
      <c r="D317" s="165"/>
      <c r="E317" s="165"/>
      <c r="F317" s="165"/>
      <c r="G317" s="165"/>
      <c r="H317" s="165"/>
      <c r="I317" s="165"/>
      <c r="J317" s="165"/>
      <c r="K317" s="165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64"/>
      <c r="AA317" s="164"/>
      <c r="AB317" s="164"/>
      <c r="AC317" s="164"/>
      <c r="AD317" s="164"/>
      <c r="AE317" s="164"/>
      <c r="AF317" s="164"/>
      <c r="AG317" s="164"/>
      <c r="AH317" s="164"/>
      <c r="AI317" s="164"/>
      <c r="AJ317" s="164"/>
      <c r="AK317" s="164"/>
      <c r="AL317" s="164"/>
      <c r="AM317" s="164"/>
      <c r="AN317" s="164"/>
      <c r="AO317" s="164"/>
    </row>
    <row r="318" ht="10.5" customHeight="1">
      <c r="A318" s="164"/>
      <c r="B318" s="165"/>
      <c r="C318" s="165"/>
      <c r="D318" s="165"/>
      <c r="E318" s="165"/>
      <c r="F318" s="165"/>
      <c r="G318" s="165"/>
      <c r="H318" s="165"/>
      <c r="I318" s="165"/>
      <c r="J318" s="165"/>
      <c r="K318" s="165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64"/>
      <c r="AA318" s="164"/>
      <c r="AB318" s="164"/>
      <c r="AC318" s="164"/>
      <c r="AD318" s="164"/>
      <c r="AE318" s="164"/>
      <c r="AF318" s="164"/>
      <c r="AG318" s="164"/>
      <c r="AH318" s="164"/>
      <c r="AI318" s="164"/>
      <c r="AJ318" s="164"/>
      <c r="AK318" s="164"/>
      <c r="AL318" s="164"/>
      <c r="AM318" s="164"/>
      <c r="AN318" s="164"/>
      <c r="AO318" s="164"/>
    </row>
    <row r="319" ht="10.5" customHeight="1">
      <c r="A319" s="164"/>
      <c r="B319" s="165"/>
      <c r="C319" s="165"/>
      <c r="D319" s="165"/>
      <c r="E319" s="165"/>
      <c r="F319" s="165"/>
      <c r="G319" s="165"/>
      <c r="H319" s="165"/>
      <c r="I319" s="165"/>
      <c r="J319" s="165"/>
      <c r="K319" s="165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64"/>
      <c r="AA319" s="164"/>
      <c r="AB319" s="164"/>
      <c r="AC319" s="164"/>
      <c r="AD319" s="164"/>
      <c r="AE319" s="164"/>
      <c r="AF319" s="164"/>
      <c r="AG319" s="164"/>
      <c r="AH319" s="164"/>
      <c r="AI319" s="164"/>
      <c r="AJ319" s="164"/>
      <c r="AK319" s="164"/>
      <c r="AL319" s="164"/>
      <c r="AM319" s="164"/>
      <c r="AN319" s="164"/>
      <c r="AO319" s="164"/>
    </row>
    <row r="320" ht="10.5" customHeight="1">
      <c r="A320" s="164"/>
      <c r="B320" s="165"/>
      <c r="C320" s="165"/>
      <c r="D320" s="165"/>
      <c r="E320" s="165"/>
      <c r="F320" s="165"/>
      <c r="G320" s="165"/>
      <c r="H320" s="165"/>
      <c r="I320" s="165"/>
      <c r="J320" s="165"/>
      <c r="K320" s="165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64"/>
      <c r="AA320" s="164"/>
      <c r="AB320" s="164"/>
      <c r="AC320" s="164"/>
      <c r="AD320" s="164"/>
      <c r="AE320" s="164"/>
      <c r="AF320" s="164"/>
      <c r="AG320" s="164"/>
      <c r="AH320" s="164"/>
      <c r="AI320" s="164"/>
      <c r="AJ320" s="164"/>
      <c r="AK320" s="164"/>
      <c r="AL320" s="164"/>
      <c r="AM320" s="164"/>
      <c r="AN320" s="164"/>
      <c r="AO320" s="164"/>
    </row>
    <row r="321" ht="10.5" customHeight="1">
      <c r="A321" s="164"/>
      <c r="B321" s="165"/>
      <c r="C321" s="165"/>
      <c r="D321" s="165"/>
      <c r="E321" s="165"/>
      <c r="F321" s="165"/>
      <c r="G321" s="165"/>
      <c r="H321" s="165"/>
      <c r="I321" s="165"/>
      <c r="J321" s="165"/>
      <c r="K321" s="165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64"/>
      <c r="AA321" s="164"/>
      <c r="AB321" s="164"/>
      <c r="AC321" s="164"/>
      <c r="AD321" s="164"/>
      <c r="AE321" s="164"/>
      <c r="AF321" s="164"/>
      <c r="AG321" s="164"/>
      <c r="AH321" s="164"/>
      <c r="AI321" s="164"/>
      <c r="AJ321" s="164"/>
      <c r="AK321" s="164"/>
      <c r="AL321" s="164"/>
      <c r="AM321" s="164"/>
      <c r="AN321" s="164"/>
      <c r="AO321" s="164"/>
    </row>
    <row r="322" ht="10.5" customHeight="1">
      <c r="A322" s="164"/>
      <c r="B322" s="165"/>
      <c r="C322" s="165"/>
      <c r="D322" s="165"/>
      <c r="E322" s="165"/>
      <c r="F322" s="165"/>
      <c r="G322" s="165"/>
      <c r="H322" s="165"/>
      <c r="I322" s="165"/>
      <c r="J322" s="165"/>
      <c r="K322" s="165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64"/>
      <c r="AA322" s="164"/>
      <c r="AB322" s="164"/>
      <c r="AC322" s="164"/>
      <c r="AD322" s="164"/>
      <c r="AE322" s="164"/>
      <c r="AF322" s="164"/>
      <c r="AG322" s="164"/>
      <c r="AH322" s="164"/>
      <c r="AI322" s="164"/>
      <c r="AJ322" s="164"/>
      <c r="AK322" s="164"/>
      <c r="AL322" s="164"/>
      <c r="AM322" s="164"/>
      <c r="AN322" s="164"/>
      <c r="AO322" s="164"/>
    </row>
    <row r="323" ht="10.5" customHeight="1">
      <c r="A323" s="164"/>
      <c r="B323" s="165"/>
      <c r="C323" s="165"/>
      <c r="D323" s="165"/>
      <c r="E323" s="165"/>
      <c r="F323" s="165"/>
      <c r="G323" s="165"/>
      <c r="H323" s="165"/>
      <c r="I323" s="165"/>
      <c r="J323" s="165"/>
      <c r="K323" s="165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64"/>
      <c r="AA323" s="164"/>
      <c r="AB323" s="164"/>
      <c r="AC323" s="164"/>
      <c r="AD323" s="164"/>
      <c r="AE323" s="164"/>
      <c r="AF323" s="164"/>
      <c r="AG323" s="164"/>
      <c r="AH323" s="164"/>
      <c r="AI323" s="164"/>
      <c r="AJ323" s="164"/>
      <c r="AK323" s="164"/>
      <c r="AL323" s="164"/>
      <c r="AM323" s="164"/>
      <c r="AN323" s="164"/>
      <c r="AO323" s="164"/>
    </row>
    <row r="324" ht="10.5" customHeight="1">
      <c r="A324" s="164"/>
      <c r="B324" s="165"/>
      <c r="C324" s="165"/>
      <c r="D324" s="165"/>
      <c r="E324" s="165"/>
      <c r="F324" s="165"/>
      <c r="G324" s="165"/>
      <c r="H324" s="165"/>
      <c r="I324" s="165"/>
      <c r="J324" s="165"/>
      <c r="K324" s="165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64"/>
      <c r="AA324" s="164"/>
      <c r="AB324" s="164"/>
      <c r="AC324" s="164"/>
      <c r="AD324" s="164"/>
      <c r="AE324" s="164"/>
      <c r="AF324" s="164"/>
      <c r="AG324" s="164"/>
      <c r="AH324" s="164"/>
      <c r="AI324" s="164"/>
      <c r="AJ324" s="164"/>
      <c r="AK324" s="164"/>
      <c r="AL324" s="164"/>
      <c r="AM324" s="164"/>
      <c r="AN324" s="164"/>
      <c r="AO324" s="164"/>
    </row>
    <row r="325" ht="10.5" customHeight="1">
      <c r="A325" s="164"/>
      <c r="B325" s="165"/>
      <c r="C325" s="165"/>
      <c r="D325" s="165"/>
      <c r="E325" s="165"/>
      <c r="F325" s="165"/>
      <c r="G325" s="165"/>
      <c r="H325" s="165"/>
      <c r="I325" s="165"/>
      <c r="J325" s="165"/>
      <c r="K325" s="165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64"/>
      <c r="AA325" s="164"/>
      <c r="AB325" s="164"/>
      <c r="AC325" s="164"/>
      <c r="AD325" s="164"/>
      <c r="AE325" s="164"/>
      <c r="AF325" s="164"/>
      <c r="AG325" s="164"/>
      <c r="AH325" s="164"/>
      <c r="AI325" s="164"/>
      <c r="AJ325" s="164"/>
      <c r="AK325" s="164"/>
      <c r="AL325" s="164"/>
      <c r="AM325" s="164"/>
      <c r="AN325" s="164"/>
      <c r="AO325" s="164"/>
    </row>
    <row r="326" ht="10.5" customHeight="1">
      <c r="A326" s="164"/>
      <c r="B326" s="165"/>
      <c r="C326" s="165"/>
      <c r="D326" s="165"/>
      <c r="E326" s="165"/>
      <c r="F326" s="165"/>
      <c r="G326" s="165"/>
      <c r="H326" s="165"/>
      <c r="I326" s="165"/>
      <c r="J326" s="165"/>
      <c r="K326" s="165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64"/>
      <c r="AA326" s="164"/>
      <c r="AB326" s="164"/>
      <c r="AC326" s="164"/>
      <c r="AD326" s="164"/>
      <c r="AE326" s="164"/>
      <c r="AF326" s="164"/>
      <c r="AG326" s="164"/>
      <c r="AH326" s="164"/>
      <c r="AI326" s="164"/>
      <c r="AJ326" s="164"/>
      <c r="AK326" s="164"/>
      <c r="AL326" s="164"/>
      <c r="AM326" s="164"/>
      <c r="AN326" s="164"/>
      <c r="AO326" s="164"/>
    </row>
    <row r="327" ht="10.5" customHeight="1">
      <c r="A327" s="164"/>
      <c r="B327" s="165"/>
      <c r="C327" s="165"/>
      <c r="D327" s="165"/>
      <c r="E327" s="165"/>
      <c r="F327" s="165"/>
      <c r="G327" s="165"/>
      <c r="H327" s="165"/>
      <c r="I327" s="165"/>
      <c r="J327" s="165"/>
      <c r="K327" s="165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64"/>
      <c r="AA327" s="164"/>
      <c r="AB327" s="164"/>
      <c r="AC327" s="164"/>
      <c r="AD327" s="164"/>
      <c r="AE327" s="164"/>
      <c r="AF327" s="164"/>
      <c r="AG327" s="164"/>
      <c r="AH327" s="164"/>
      <c r="AI327" s="164"/>
      <c r="AJ327" s="164"/>
      <c r="AK327" s="164"/>
      <c r="AL327" s="164"/>
      <c r="AM327" s="164"/>
      <c r="AN327" s="164"/>
      <c r="AO327" s="164"/>
    </row>
    <row r="328" ht="10.5" customHeight="1">
      <c r="A328" s="164"/>
      <c r="B328" s="165"/>
      <c r="C328" s="165"/>
      <c r="D328" s="165"/>
      <c r="E328" s="165"/>
      <c r="F328" s="165"/>
      <c r="G328" s="165"/>
      <c r="H328" s="165"/>
      <c r="I328" s="165"/>
      <c r="J328" s="165"/>
      <c r="K328" s="165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64"/>
      <c r="AA328" s="164"/>
      <c r="AB328" s="164"/>
      <c r="AC328" s="164"/>
      <c r="AD328" s="164"/>
      <c r="AE328" s="164"/>
      <c r="AF328" s="164"/>
      <c r="AG328" s="164"/>
      <c r="AH328" s="164"/>
      <c r="AI328" s="164"/>
      <c r="AJ328" s="164"/>
      <c r="AK328" s="164"/>
      <c r="AL328" s="164"/>
      <c r="AM328" s="164"/>
      <c r="AN328" s="164"/>
      <c r="AO328" s="164"/>
    </row>
    <row r="329" ht="10.5" customHeight="1">
      <c r="A329" s="164"/>
      <c r="B329" s="165"/>
      <c r="C329" s="165"/>
      <c r="D329" s="165"/>
      <c r="E329" s="165"/>
      <c r="F329" s="165"/>
      <c r="G329" s="165"/>
      <c r="H329" s="165"/>
      <c r="I329" s="165"/>
      <c r="J329" s="165"/>
      <c r="K329" s="165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64"/>
      <c r="AA329" s="164"/>
      <c r="AB329" s="164"/>
      <c r="AC329" s="164"/>
      <c r="AD329" s="164"/>
      <c r="AE329" s="164"/>
      <c r="AF329" s="164"/>
      <c r="AG329" s="164"/>
      <c r="AH329" s="164"/>
      <c r="AI329" s="164"/>
      <c r="AJ329" s="164"/>
      <c r="AK329" s="164"/>
      <c r="AL329" s="164"/>
      <c r="AM329" s="164"/>
      <c r="AN329" s="164"/>
      <c r="AO329" s="164"/>
    </row>
    <row r="330" ht="10.5" customHeight="1">
      <c r="A330" s="164"/>
      <c r="B330" s="165"/>
      <c r="C330" s="165"/>
      <c r="D330" s="165"/>
      <c r="E330" s="165"/>
      <c r="F330" s="165"/>
      <c r="G330" s="165"/>
      <c r="H330" s="165"/>
      <c r="I330" s="165"/>
      <c r="J330" s="165"/>
      <c r="K330" s="165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64"/>
      <c r="AA330" s="164"/>
      <c r="AB330" s="164"/>
      <c r="AC330" s="164"/>
      <c r="AD330" s="164"/>
      <c r="AE330" s="164"/>
      <c r="AF330" s="164"/>
      <c r="AG330" s="164"/>
      <c r="AH330" s="164"/>
      <c r="AI330" s="164"/>
      <c r="AJ330" s="164"/>
      <c r="AK330" s="164"/>
      <c r="AL330" s="164"/>
      <c r="AM330" s="164"/>
      <c r="AN330" s="164"/>
      <c r="AO330" s="164"/>
    </row>
    <row r="331" ht="10.5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64"/>
      <c r="AA331" s="164"/>
      <c r="AB331" s="164"/>
      <c r="AC331" s="164"/>
      <c r="AD331" s="164"/>
      <c r="AE331" s="164"/>
      <c r="AF331" s="164"/>
      <c r="AG331" s="164"/>
      <c r="AH331" s="164"/>
      <c r="AI331" s="164"/>
      <c r="AJ331" s="164"/>
      <c r="AK331" s="164"/>
      <c r="AL331" s="164"/>
      <c r="AM331" s="164"/>
      <c r="AN331" s="164"/>
      <c r="AO331" s="164"/>
    </row>
    <row r="332" ht="10.5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64"/>
      <c r="AA332" s="164"/>
      <c r="AB332" s="164"/>
      <c r="AC332" s="164"/>
      <c r="AD332" s="164"/>
      <c r="AE332" s="164"/>
      <c r="AF332" s="164"/>
      <c r="AG332" s="164"/>
      <c r="AH332" s="164"/>
      <c r="AI332" s="164"/>
      <c r="AJ332" s="164"/>
      <c r="AK332" s="164"/>
      <c r="AL332" s="164"/>
      <c r="AM332" s="164"/>
      <c r="AN332" s="164"/>
      <c r="AO332" s="164"/>
    </row>
    <row r="333" ht="10.5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64"/>
      <c r="AA333" s="164"/>
      <c r="AB333" s="164"/>
      <c r="AC333" s="164"/>
      <c r="AD333" s="164"/>
      <c r="AE333" s="164"/>
      <c r="AF333" s="164"/>
      <c r="AG333" s="164"/>
      <c r="AH333" s="164"/>
      <c r="AI333" s="164"/>
      <c r="AJ333" s="164"/>
      <c r="AK333" s="164"/>
      <c r="AL333" s="164"/>
      <c r="AM333" s="164"/>
      <c r="AN333" s="164"/>
      <c r="AO333" s="164"/>
    </row>
    <row r="334" ht="10.5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64"/>
      <c r="AA334" s="164"/>
      <c r="AB334" s="164"/>
      <c r="AC334" s="164"/>
      <c r="AD334" s="164"/>
      <c r="AE334" s="164"/>
      <c r="AF334" s="164"/>
      <c r="AG334" s="164"/>
      <c r="AH334" s="164"/>
      <c r="AI334" s="164"/>
      <c r="AJ334" s="164"/>
      <c r="AK334" s="164"/>
      <c r="AL334" s="164"/>
      <c r="AM334" s="164"/>
      <c r="AN334" s="164"/>
      <c r="AO334" s="164"/>
    </row>
    <row r="335" ht="10.5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65"/>
      <c r="K335" s="165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64"/>
      <c r="AA335" s="164"/>
      <c r="AB335" s="164"/>
      <c r="AC335" s="164"/>
      <c r="AD335" s="164"/>
      <c r="AE335" s="164"/>
      <c r="AF335" s="164"/>
      <c r="AG335" s="164"/>
      <c r="AH335" s="164"/>
      <c r="AI335" s="164"/>
      <c r="AJ335" s="164"/>
      <c r="AK335" s="164"/>
      <c r="AL335" s="164"/>
      <c r="AM335" s="164"/>
      <c r="AN335" s="164"/>
      <c r="AO335" s="164"/>
    </row>
    <row r="336" ht="10.5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65"/>
      <c r="K336" s="165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64"/>
      <c r="AA336" s="164"/>
      <c r="AB336" s="164"/>
      <c r="AC336" s="164"/>
      <c r="AD336" s="164"/>
      <c r="AE336" s="164"/>
      <c r="AF336" s="164"/>
      <c r="AG336" s="164"/>
      <c r="AH336" s="164"/>
      <c r="AI336" s="164"/>
      <c r="AJ336" s="164"/>
      <c r="AK336" s="164"/>
      <c r="AL336" s="164"/>
      <c r="AM336" s="164"/>
      <c r="AN336" s="164"/>
      <c r="AO336" s="164"/>
    </row>
    <row r="337" ht="10.5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64"/>
      <c r="AA337" s="164"/>
      <c r="AB337" s="164"/>
      <c r="AC337" s="164"/>
      <c r="AD337" s="164"/>
      <c r="AE337" s="164"/>
      <c r="AF337" s="164"/>
      <c r="AG337" s="164"/>
      <c r="AH337" s="164"/>
      <c r="AI337" s="164"/>
      <c r="AJ337" s="164"/>
      <c r="AK337" s="164"/>
      <c r="AL337" s="164"/>
      <c r="AM337" s="164"/>
      <c r="AN337" s="164"/>
      <c r="AO337" s="164"/>
    </row>
    <row r="338" ht="10.5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64"/>
      <c r="AA338" s="164"/>
      <c r="AB338" s="164"/>
      <c r="AC338" s="164"/>
      <c r="AD338" s="164"/>
      <c r="AE338" s="164"/>
      <c r="AF338" s="164"/>
      <c r="AG338" s="164"/>
      <c r="AH338" s="164"/>
      <c r="AI338" s="164"/>
      <c r="AJ338" s="164"/>
      <c r="AK338" s="164"/>
      <c r="AL338" s="164"/>
      <c r="AM338" s="164"/>
      <c r="AN338" s="164"/>
      <c r="AO338" s="164"/>
    </row>
    <row r="339" ht="10.5" customHeight="1">
      <c r="A339" s="164"/>
      <c r="B339" s="165"/>
      <c r="C339" s="165"/>
      <c r="D339" s="165"/>
      <c r="E339" s="165"/>
      <c r="F339" s="165"/>
      <c r="G339" s="165"/>
      <c r="H339" s="165"/>
      <c r="I339" s="165"/>
      <c r="J339" s="165"/>
      <c r="K339" s="165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64"/>
      <c r="AA339" s="164"/>
      <c r="AB339" s="164"/>
      <c r="AC339" s="164"/>
      <c r="AD339" s="164"/>
      <c r="AE339" s="164"/>
      <c r="AF339" s="164"/>
      <c r="AG339" s="164"/>
      <c r="AH339" s="164"/>
      <c r="AI339" s="164"/>
      <c r="AJ339" s="164"/>
      <c r="AK339" s="164"/>
      <c r="AL339" s="164"/>
      <c r="AM339" s="164"/>
      <c r="AN339" s="164"/>
      <c r="AO339" s="164"/>
    </row>
    <row r="340" ht="10.5" customHeight="1">
      <c r="A340" s="164"/>
      <c r="B340" s="165"/>
      <c r="C340" s="165"/>
      <c r="D340" s="165"/>
      <c r="E340" s="165"/>
      <c r="F340" s="165"/>
      <c r="G340" s="165"/>
      <c r="H340" s="165"/>
      <c r="I340" s="165"/>
      <c r="J340" s="165"/>
      <c r="K340" s="165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64"/>
      <c r="AA340" s="164"/>
      <c r="AB340" s="164"/>
      <c r="AC340" s="164"/>
      <c r="AD340" s="164"/>
      <c r="AE340" s="164"/>
      <c r="AF340" s="164"/>
      <c r="AG340" s="164"/>
      <c r="AH340" s="164"/>
      <c r="AI340" s="164"/>
      <c r="AJ340" s="164"/>
      <c r="AK340" s="164"/>
      <c r="AL340" s="164"/>
      <c r="AM340" s="164"/>
      <c r="AN340" s="164"/>
      <c r="AO340" s="164"/>
    </row>
    <row r="341" ht="10.5" customHeight="1">
      <c r="A341" s="164"/>
      <c r="B341" s="165"/>
      <c r="C341" s="165"/>
      <c r="D341" s="165"/>
      <c r="E341" s="165"/>
      <c r="F341" s="165"/>
      <c r="G341" s="165"/>
      <c r="H341" s="165"/>
      <c r="I341" s="165"/>
      <c r="J341" s="165"/>
      <c r="K341" s="165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64"/>
      <c r="AA341" s="164"/>
      <c r="AB341" s="164"/>
      <c r="AC341" s="164"/>
      <c r="AD341" s="164"/>
      <c r="AE341" s="164"/>
      <c r="AF341" s="164"/>
      <c r="AG341" s="164"/>
      <c r="AH341" s="164"/>
      <c r="AI341" s="164"/>
      <c r="AJ341" s="164"/>
      <c r="AK341" s="164"/>
      <c r="AL341" s="164"/>
      <c r="AM341" s="164"/>
      <c r="AN341" s="164"/>
      <c r="AO341" s="164"/>
    </row>
    <row r="342" ht="10.5" customHeight="1">
      <c r="A342" s="164"/>
      <c r="B342" s="165"/>
      <c r="C342" s="165"/>
      <c r="D342" s="165"/>
      <c r="E342" s="165"/>
      <c r="F342" s="165"/>
      <c r="G342" s="165"/>
      <c r="H342" s="165"/>
      <c r="I342" s="165"/>
      <c r="J342" s="165"/>
      <c r="K342" s="165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64"/>
      <c r="AA342" s="164"/>
      <c r="AB342" s="164"/>
      <c r="AC342" s="164"/>
      <c r="AD342" s="164"/>
      <c r="AE342" s="164"/>
      <c r="AF342" s="164"/>
      <c r="AG342" s="164"/>
      <c r="AH342" s="164"/>
      <c r="AI342" s="164"/>
      <c r="AJ342" s="164"/>
      <c r="AK342" s="164"/>
      <c r="AL342" s="164"/>
      <c r="AM342" s="164"/>
      <c r="AN342" s="164"/>
      <c r="AO342" s="164"/>
    </row>
    <row r="343" ht="10.5" customHeight="1">
      <c r="A343" s="164"/>
      <c r="B343" s="165"/>
      <c r="C343" s="165"/>
      <c r="D343" s="165"/>
      <c r="E343" s="165"/>
      <c r="F343" s="165"/>
      <c r="G343" s="165"/>
      <c r="H343" s="165"/>
      <c r="I343" s="165"/>
      <c r="J343" s="165"/>
      <c r="K343" s="165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64"/>
      <c r="AA343" s="164"/>
      <c r="AB343" s="164"/>
      <c r="AC343" s="164"/>
      <c r="AD343" s="164"/>
      <c r="AE343" s="164"/>
      <c r="AF343" s="164"/>
      <c r="AG343" s="164"/>
      <c r="AH343" s="164"/>
      <c r="AI343" s="164"/>
      <c r="AJ343" s="164"/>
      <c r="AK343" s="164"/>
      <c r="AL343" s="164"/>
      <c r="AM343" s="164"/>
      <c r="AN343" s="164"/>
      <c r="AO343" s="164"/>
    </row>
    <row r="344" ht="10.5" customHeight="1">
      <c r="A344" s="164"/>
      <c r="B344" s="165"/>
      <c r="C344" s="165"/>
      <c r="D344" s="165"/>
      <c r="E344" s="165"/>
      <c r="F344" s="165"/>
      <c r="G344" s="165"/>
      <c r="H344" s="165"/>
      <c r="I344" s="165"/>
      <c r="J344" s="165"/>
      <c r="K344" s="165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64"/>
      <c r="AA344" s="164"/>
      <c r="AB344" s="164"/>
      <c r="AC344" s="164"/>
      <c r="AD344" s="164"/>
      <c r="AE344" s="164"/>
      <c r="AF344" s="164"/>
      <c r="AG344" s="164"/>
      <c r="AH344" s="164"/>
      <c r="AI344" s="164"/>
      <c r="AJ344" s="164"/>
      <c r="AK344" s="164"/>
      <c r="AL344" s="164"/>
      <c r="AM344" s="164"/>
      <c r="AN344" s="164"/>
      <c r="AO344" s="164"/>
    </row>
    <row r="345" ht="10.5" customHeight="1">
      <c r="A345" s="164"/>
      <c r="B345" s="165"/>
      <c r="C345" s="165"/>
      <c r="D345" s="165"/>
      <c r="E345" s="165"/>
      <c r="F345" s="165"/>
      <c r="G345" s="165"/>
      <c r="H345" s="165"/>
      <c r="I345" s="165"/>
      <c r="J345" s="165"/>
      <c r="K345" s="165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64"/>
      <c r="AA345" s="164"/>
      <c r="AB345" s="164"/>
      <c r="AC345" s="164"/>
      <c r="AD345" s="164"/>
      <c r="AE345" s="164"/>
      <c r="AF345" s="164"/>
      <c r="AG345" s="164"/>
      <c r="AH345" s="164"/>
      <c r="AI345" s="164"/>
      <c r="AJ345" s="164"/>
      <c r="AK345" s="164"/>
      <c r="AL345" s="164"/>
      <c r="AM345" s="164"/>
      <c r="AN345" s="164"/>
      <c r="AO345" s="164"/>
    </row>
    <row r="346" ht="10.5" customHeight="1">
      <c r="A346" s="164"/>
      <c r="B346" s="165"/>
      <c r="C346" s="165"/>
      <c r="D346" s="165"/>
      <c r="E346" s="165"/>
      <c r="F346" s="165"/>
      <c r="G346" s="165"/>
      <c r="H346" s="165"/>
      <c r="I346" s="165"/>
      <c r="J346" s="165"/>
      <c r="K346" s="165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64"/>
      <c r="AA346" s="164"/>
      <c r="AB346" s="164"/>
      <c r="AC346" s="164"/>
      <c r="AD346" s="164"/>
      <c r="AE346" s="164"/>
      <c r="AF346" s="164"/>
      <c r="AG346" s="164"/>
      <c r="AH346" s="164"/>
      <c r="AI346" s="164"/>
      <c r="AJ346" s="164"/>
      <c r="AK346" s="164"/>
      <c r="AL346" s="164"/>
      <c r="AM346" s="164"/>
      <c r="AN346" s="164"/>
      <c r="AO346" s="164"/>
    </row>
    <row r="347" ht="10.5" customHeight="1">
      <c r="A347" s="164"/>
      <c r="B347" s="165"/>
      <c r="C347" s="165"/>
      <c r="D347" s="165"/>
      <c r="E347" s="165"/>
      <c r="F347" s="165"/>
      <c r="G347" s="165"/>
      <c r="H347" s="165"/>
      <c r="I347" s="165"/>
      <c r="J347" s="165"/>
      <c r="K347" s="165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64"/>
      <c r="AA347" s="164"/>
      <c r="AB347" s="164"/>
      <c r="AC347" s="164"/>
      <c r="AD347" s="164"/>
      <c r="AE347" s="164"/>
      <c r="AF347" s="164"/>
      <c r="AG347" s="164"/>
      <c r="AH347" s="164"/>
      <c r="AI347" s="164"/>
      <c r="AJ347" s="164"/>
      <c r="AK347" s="164"/>
      <c r="AL347" s="164"/>
      <c r="AM347" s="164"/>
      <c r="AN347" s="164"/>
      <c r="AO347" s="164"/>
    </row>
    <row r="348" ht="10.5" customHeight="1">
      <c r="A348" s="164"/>
      <c r="B348" s="165"/>
      <c r="C348" s="165"/>
      <c r="D348" s="165"/>
      <c r="E348" s="165"/>
      <c r="F348" s="165"/>
      <c r="G348" s="165"/>
      <c r="H348" s="165"/>
      <c r="I348" s="165"/>
      <c r="J348" s="165"/>
      <c r="K348" s="165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64"/>
      <c r="AA348" s="164"/>
      <c r="AB348" s="164"/>
      <c r="AC348" s="164"/>
      <c r="AD348" s="164"/>
      <c r="AE348" s="164"/>
      <c r="AF348" s="164"/>
      <c r="AG348" s="164"/>
      <c r="AH348" s="164"/>
      <c r="AI348" s="164"/>
      <c r="AJ348" s="164"/>
      <c r="AK348" s="164"/>
      <c r="AL348" s="164"/>
      <c r="AM348" s="164"/>
      <c r="AN348" s="164"/>
      <c r="AO348" s="164"/>
    </row>
    <row r="349" ht="10.5" customHeight="1">
      <c r="A349" s="164"/>
      <c r="B349" s="165"/>
      <c r="C349" s="165"/>
      <c r="D349" s="165"/>
      <c r="E349" s="165"/>
      <c r="F349" s="165"/>
      <c r="G349" s="165"/>
      <c r="H349" s="165"/>
      <c r="I349" s="165"/>
      <c r="J349" s="165"/>
      <c r="K349" s="165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64"/>
      <c r="AA349" s="164"/>
      <c r="AB349" s="164"/>
      <c r="AC349" s="164"/>
      <c r="AD349" s="164"/>
      <c r="AE349" s="164"/>
      <c r="AF349" s="164"/>
      <c r="AG349" s="164"/>
      <c r="AH349" s="164"/>
      <c r="AI349" s="164"/>
      <c r="AJ349" s="164"/>
      <c r="AK349" s="164"/>
      <c r="AL349" s="164"/>
      <c r="AM349" s="164"/>
      <c r="AN349" s="164"/>
      <c r="AO349" s="164"/>
    </row>
    <row r="350" ht="10.5" customHeight="1">
      <c r="A350" s="164"/>
      <c r="B350" s="165"/>
      <c r="C350" s="165"/>
      <c r="D350" s="165"/>
      <c r="E350" s="165"/>
      <c r="F350" s="165"/>
      <c r="G350" s="165"/>
      <c r="H350" s="165"/>
      <c r="I350" s="165"/>
      <c r="J350" s="165"/>
      <c r="K350" s="165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64"/>
      <c r="AA350" s="164"/>
      <c r="AB350" s="164"/>
      <c r="AC350" s="164"/>
      <c r="AD350" s="164"/>
      <c r="AE350" s="164"/>
      <c r="AF350" s="164"/>
      <c r="AG350" s="164"/>
      <c r="AH350" s="164"/>
      <c r="AI350" s="164"/>
      <c r="AJ350" s="164"/>
      <c r="AK350" s="164"/>
      <c r="AL350" s="164"/>
      <c r="AM350" s="164"/>
      <c r="AN350" s="164"/>
      <c r="AO350" s="164"/>
    </row>
    <row r="351" ht="10.5" customHeight="1">
      <c r="A351" s="164"/>
      <c r="B351" s="165"/>
      <c r="C351" s="165"/>
      <c r="D351" s="165"/>
      <c r="E351" s="165"/>
      <c r="F351" s="165"/>
      <c r="G351" s="165"/>
      <c r="H351" s="165"/>
      <c r="I351" s="165"/>
      <c r="J351" s="165"/>
      <c r="K351" s="165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64"/>
      <c r="AA351" s="164"/>
      <c r="AB351" s="164"/>
      <c r="AC351" s="164"/>
      <c r="AD351" s="164"/>
      <c r="AE351" s="164"/>
      <c r="AF351" s="164"/>
      <c r="AG351" s="164"/>
      <c r="AH351" s="164"/>
      <c r="AI351" s="164"/>
      <c r="AJ351" s="164"/>
      <c r="AK351" s="164"/>
      <c r="AL351" s="164"/>
      <c r="AM351" s="164"/>
      <c r="AN351" s="164"/>
      <c r="AO351" s="164"/>
    </row>
    <row r="352" ht="10.5" customHeight="1">
      <c r="A352" s="164"/>
      <c r="B352" s="165"/>
      <c r="C352" s="165"/>
      <c r="D352" s="165"/>
      <c r="E352" s="165"/>
      <c r="F352" s="165"/>
      <c r="G352" s="165"/>
      <c r="H352" s="165"/>
      <c r="I352" s="165"/>
      <c r="J352" s="165"/>
      <c r="K352" s="165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64"/>
      <c r="AA352" s="164"/>
      <c r="AB352" s="164"/>
      <c r="AC352" s="164"/>
      <c r="AD352" s="164"/>
      <c r="AE352" s="164"/>
      <c r="AF352" s="164"/>
      <c r="AG352" s="164"/>
      <c r="AH352" s="164"/>
      <c r="AI352" s="164"/>
      <c r="AJ352" s="164"/>
      <c r="AK352" s="164"/>
      <c r="AL352" s="164"/>
      <c r="AM352" s="164"/>
      <c r="AN352" s="164"/>
      <c r="AO352" s="164"/>
    </row>
    <row r="353" ht="10.5" customHeight="1">
      <c r="A353" s="164"/>
      <c r="B353" s="165"/>
      <c r="C353" s="165"/>
      <c r="D353" s="165"/>
      <c r="E353" s="165"/>
      <c r="F353" s="165"/>
      <c r="G353" s="165"/>
      <c r="H353" s="165"/>
      <c r="I353" s="165"/>
      <c r="J353" s="165"/>
      <c r="K353" s="165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64"/>
      <c r="AA353" s="164"/>
      <c r="AB353" s="164"/>
      <c r="AC353" s="164"/>
      <c r="AD353" s="164"/>
      <c r="AE353" s="164"/>
      <c r="AF353" s="164"/>
      <c r="AG353" s="164"/>
      <c r="AH353" s="164"/>
      <c r="AI353" s="164"/>
      <c r="AJ353" s="164"/>
      <c r="AK353" s="164"/>
      <c r="AL353" s="164"/>
      <c r="AM353" s="164"/>
      <c r="AN353" s="164"/>
      <c r="AO353" s="164"/>
    </row>
    <row r="354" ht="10.5" customHeight="1">
      <c r="A354" s="164"/>
      <c r="B354" s="165"/>
      <c r="C354" s="165"/>
      <c r="D354" s="165"/>
      <c r="E354" s="165"/>
      <c r="F354" s="165"/>
      <c r="G354" s="165"/>
      <c r="H354" s="165"/>
      <c r="I354" s="165"/>
      <c r="J354" s="165"/>
      <c r="K354" s="165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64"/>
      <c r="AA354" s="164"/>
      <c r="AB354" s="164"/>
      <c r="AC354" s="164"/>
      <c r="AD354" s="164"/>
      <c r="AE354" s="164"/>
      <c r="AF354" s="164"/>
      <c r="AG354" s="164"/>
      <c r="AH354" s="164"/>
      <c r="AI354" s="164"/>
      <c r="AJ354" s="164"/>
      <c r="AK354" s="164"/>
      <c r="AL354" s="164"/>
      <c r="AM354" s="164"/>
      <c r="AN354" s="164"/>
      <c r="AO354" s="164"/>
    </row>
    <row r="355" ht="10.5" customHeight="1">
      <c r="A355" s="164"/>
      <c r="B355" s="165"/>
      <c r="C355" s="165"/>
      <c r="D355" s="165"/>
      <c r="E355" s="165"/>
      <c r="F355" s="165"/>
      <c r="G355" s="165"/>
      <c r="H355" s="165"/>
      <c r="I355" s="165"/>
      <c r="J355" s="165"/>
      <c r="K355" s="165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64"/>
      <c r="AA355" s="164"/>
      <c r="AB355" s="164"/>
      <c r="AC355" s="164"/>
      <c r="AD355" s="164"/>
      <c r="AE355" s="164"/>
      <c r="AF355" s="164"/>
      <c r="AG355" s="164"/>
      <c r="AH355" s="164"/>
      <c r="AI355" s="164"/>
      <c r="AJ355" s="164"/>
      <c r="AK355" s="164"/>
      <c r="AL355" s="164"/>
      <c r="AM355" s="164"/>
      <c r="AN355" s="164"/>
      <c r="AO355" s="164"/>
    </row>
    <row r="356" ht="10.5" customHeight="1">
      <c r="A356" s="164"/>
      <c r="B356" s="165"/>
      <c r="C356" s="165"/>
      <c r="D356" s="165"/>
      <c r="E356" s="165"/>
      <c r="F356" s="165"/>
      <c r="G356" s="165"/>
      <c r="H356" s="165"/>
      <c r="I356" s="165"/>
      <c r="J356" s="165"/>
      <c r="K356" s="165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64"/>
      <c r="AA356" s="164"/>
      <c r="AB356" s="164"/>
      <c r="AC356" s="164"/>
      <c r="AD356" s="164"/>
      <c r="AE356" s="164"/>
      <c r="AF356" s="164"/>
      <c r="AG356" s="164"/>
      <c r="AH356" s="164"/>
      <c r="AI356" s="164"/>
      <c r="AJ356" s="164"/>
      <c r="AK356" s="164"/>
      <c r="AL356" s="164"/>
      <c r="AM356" s="164"/>
      <c r="AN356" s="164"/>
      <c r="AO356" s="164"/>
    </row>
    <row r="357" ht="10.5" customHeight="1">
      <c r="A357" s="164"/>
      <c r="B357" s="165"/>
      <c r="C357" s="165"/>
      <c r="D357" s="165"/>
      <c r="E357" s="165"/>
      <c r="F357" s="165"/>
      <c r="G357" s="165"/>
      <c r="H357" s="165"/>
      <c r="I357" s="165"/>
      <c r="J357" s="165"/>
      <c r="K357" s="165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64"/>
      <c r="AA357" s="164"/>
      <c r="AB357" s="164"/>
      <c r="AC357" s="164"/>
      <c r="AD357" s="164"/>
      <c r="AE357" s="164"/>
      <c r="AF357" s="164"/>
      <c r="AG357" s="164"/>
      <c r="AH357" s="164"/>
      <c r="AI357" s="164"/>
      <c r="AJ357" s="164"/>
      <c r="AK357" s="164"/>
      <c r="AL357" s="164"/>
      <c r="AM357" s="164"/>
      <c r="AN357" s="164"/>
      <c r="AO357" s="164"/>
    </row>
    <row r="358" ht="10.5" customHeight="1">
      <c r="A358" s="164"/>
      <c r="B358" s="165"/>
      <c r="C358" s="165"/>
      <c r="D358" s="165"/>
      <c r="E358" s="165"/>
      <c r="F358" s="165"/>
      <c r="G358" s="165"/>
      <c r="H358" s="165"/>
      <c r="I358" s="165"/>
      <c r="J358" s="165"/>
      <c r="K358" s="165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64"/>
      <c r="AA358" s="164"/>
      <c r="AB358" s="164"/>
      <c r="AC358" s="164"/>
      <c r="AD358" s="164"/>
      <c r="AE358" s="164"/>
      <c r="AF358" s="164"/>
      <c r="AG358" s="164"/>
      <c r="AH358" s="164"/>
      <c r="AI358" s="164"/>
      <c r="AJ358" s="164"/>
      <c r="AK358" s="164"/>
      <c r="AL358" s="164"/>
      <c r="AM358" s="164"/>
      <c r="AN358" s="164"/>
      <c r="AO358" s="164"/>
    </row>
    <row r="359" ht="10.5" customHeight="1">
      <c r="A359" s="164"/>
      <c r="B359" s="165"/>
      <c r="C359" s="165"/>
      <c r="D359" s="165"/>
      <c r="E359" s="165"/>
      <c r="F359" s="165"/>
      <c r="G359" s="165"/>
      <c r="H359" s="165"/>
      <c r="I359" s="165"/>
      <c r="J359" s="165"/>
      <c r="K359" s="165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64"/>
      <c r="AA359" s="164"/>
      <c r="AB359" s="164"/>
      <c r="AC359" s="164"/>
      <c r="AD359" s="164"/>
      <c r="AE359" s="164"/>
      <c r="AF359" s="164"/>
      <c r="AG359" s="164"/>
      <c r="AH359" s="164"/>
      <c r="AI359" s="164"/>
      <c r="AJ359" s="164"/>
      <c r="AK359" s="164"/>
      <c r="AL359" s="164"/>
      <c r="AM359" s="164"/>
      <c r="AN359" s="164"/>
      <c r="AO359" s="164"/>
    </row>
    <row r="360" ht="10.5" customHeight="1">
      <c r="A360" s="164"/>
      <c r="B360" s="165"/>
      <c r="C360" s="165"/>
      <c r="D360" s="165"/>
      <c r="E360" s="165"/>
      <c r="F360" s="165"/>
      <c r="G360" s="165"/>
      <c r="H360" s="165"/>
      <c r="I360" s="165"/>
      <c r="J360" s="165"/>
      <c r="K360" s="165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64"/>
      <c r="AA360" s="164"/>
      <c r="AB360" s="164"/>
      <c r="AC360" s="164"/>
      <c r="AD360" s="164"/>
      <c r="AE360" s="164"/>
      <c r="AF360" s="164"/>
      <c r="AG360" s="164"/>
      <c r="AH360" s="164"/>
      <c r="AI360" s="164"/>
      <c r="AJ360" s="164"/>
      <c r="AK360" s="164"/>
      <c r="AL360" s="164"/>
      <c r="AM360" s="164"/>
      <c r="AN360" s="164"/>
      <c r="AO360" s="164"/>
    </row>
    <row r="361" ht="10.5" customHeight="1">
      <c r="A361" s="164"/>
      <c r="B361" s="165"/>
      <c r="C361" s="165"/>
      <c r="D361" s="165"/>
      <c r="E361" s="165"/>
      <c r="F361" s="165"/>
      <c r="G361" s="165"/>
      <c r="H361" s="165"/>
      <c r="I361" s="165"/>
      <c r="J361" s="165"/>
      <c r="K361" s="165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64"/>
      <c r="AA361" s="164"/>
      <c r="AB361" s="164"/>
      <c r="AC361" s="164"/>
      <c r="AD361" s="164"/>
      <c r="AE361" s="164"/>
      <c r="AF361" s="164"/>
      <c r="AG361" s="164"/>
      <c r="AH361" s="164"/>
      <c r="AI361" s="164"/>
      <c r="AJ361" s="164"/>
      <c r="AK361" s="164"/>
      <c r="AL361" s="164"/>
      <c r="AM361" s="164"/>
      <c r="AN361" s="164"/>
      <c r="AO361" s="164"/>
    </row>
    <row r="362" ht="10.5" customHeight="1">
      <c r="A362" s="164"/>
      <c r="B362" s="165"/>
      <c r="C362" s="165"/>
      <c r="D362" s="165"/>
      <c r="E362" s="165"/>
      <c r="F362" s="165"/>
      <c r="G362" s="165"/>
      <c r="H362" s="165"/>
      <c r="I362" s="165"/>
      <c r="J362" s="165"/>
      <c r="K362" s="165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64"/>
      <c r="AA362" s="164"/>
      <c r="AB362" s="164"/>
      <c r="AC362" s="164"/>
      <c r="AD362" s="164"/>
      <c r="AE362" s="164"/>
      <c r="AF362" s="164"/>
      <c r="AG362" s="164"/>
      <c r="AH362" s="164"/>
      <c r="AI362" s="164"/>
      <c r="AJ362" s="164"/>
      <c r="AK362" s="164"/>
      <c r="AL362" s="164"/>
      <c r="AM362" s="164"/>
      <c r="AN362" s="164"/>
      <c r="AO362" s="164"/>
    </row>
    <row r="363" ht="10.5" customHeight="1">
      <c r="A363" s="164"/>
      <c r="B363" s="165"/>
      <c r="C363" s="165"/>
      <c r="D363" s="165"/>
      <c r="E363" s="165"/>
      <c r="F363" s="165"/>
      <c r="G363" s="165"/>
      <c r="H363" s="165"/>
      <c r="I363" s="165"/>
      <c r="J363" s="165"/>
      <c r="K363" s="165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64"/>
      <c r="AA363" s="164"/>
      <c r="AB363" s="164"/>
      <c r="AC363" s="164"/>
      <c r="AD363" s="164"/>
      <c r="AE363" s="164"/>
      <c r="AF363" s="164"/>
      <c r="AG363" s="164"/>
      <c r="AH363" s="164"/>
      <c r="AI363" s="164"/>
      <c r="AJ363" s="164"/>
      <c r="AK363" s="164"/>
      <c r="AL363" s="164"/>
      <c r="AM363" s="164"/>
      <c r="AN363" s="164"/>
      <c r="AO363" s="164"/>
    </row>
    <row r="364" ht="10.5" customHeight="1">
      <c r="A364" s="164"/>
      <c r="B364" s="165"/>
      <c r="C364" s="165"/>
      <c r="D364" s="165"/>
      <c r="E364" s="165"/>
      <c r="F364" s="165"/>
      <c r="G364" s="165"/>
      <c r="H364" s="165"/>
      <c r="I364" s="165"/>
      <c r="J364" s="165"/>
      <c r="K364" s="165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64"/>
      <c r="AA364" s="164"/>
      <c r="AB364" s="164"/>
      <c r="AC364" s="164"/>
      <c r="AD364" s="164"/>
      <c r="AE364" s="164"/>
      <c r="AF364" s="164"/>
      <c r="AG364" s="164"/>
      <c r="AH364" s="164"/>
      <c r="AI364" s="164"/>
      <c r="AJ364" s="164"/>
      <c r="AK364" s="164"/>
      <c r="AL364" s="164"/>
      <c r="AM364" s="164"/>
      <c r="AN364" s="164"/>
      <c r="AO364" s="164"/>
    </row>
    <row r="365" ht="10.5" customHeight="1">
      <c r="A365" s="164"/>
      <c r="B365" s="165"/>
      <c r="C365" s="165"/>
      <c r="D365" s="165"/>
      <c r="E365" s="165"/>
      <c r="F365" s="165"/>
      <c r="G365" s="165"/>
      <c r="H365" s="165"/>
      <c r="I365" s="165"/>
      <c r="J365" s="165"/>
      <c r="K365" s="165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64"/>
      <c r="AA365" s="164"/>
      <c r="AB365" s="164"/>
      <c r="AC365" s="164"/>
      <c r="AD365" s="164"/>
      <c r="AE365" s="164"/>
      <c r="AF365" s="164"/>
      <c r="AG365" s="164"/>
      <c r="AH365" s="164"/>
      <c r="AI365" s="164"/>
      <c r="AJ365" s="164"/>
      <c r="AK365" s="164"/>
      <c r="AL365" s="164"/>
      <c r="AM365" s="164"/>
      <c r="AN365" s="164"/>
      <c r="AO365" s="164"/>
    </row>
    <row r="366" ht="10.5" customHeight="1">
      <c r="A366" s="164"/>
      <c r="B366" s="165"/>
      <c r="C366" s="165"/>
      <c r="D366" s="165"/>
      <c r="E366" s="165"/>
      <c r="F366" s="165"/>
      <c r="G366" s="165"/>
      <c r="H366" s="165"/>
      <c r="I366" s="165"/>
      <c r="J366" s="165"/>
      <c r="K366" s="165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64"/>
      <c r="AA366" s="164"/>
      <c r="AB366" s="164"/>
      <c r="AC366" s="164"/>
      <c r="AD366" s="164"/>
      <c r="AE366" s="164"/>
      <c r="AF366" s="164"/>
      <c r="AG366" s="164"/>
      <c r="AH366" s="164"/>
      <c r="AI366" s="164"/>
      <c r="AJ366" s="164"/>
      <c r="AK366" s="164"/>
      <c r="AL366" s="164"/>
      <c r="AM366" s="164"/>
      <c r="AN366" s="164"/>
      <c r="AO366" s="164"/>
    </row>
    <row r="367" ht="10.5" customHeight="1">
      <c r="A367" s="164"/>
      <c r="B367" s="165"/>
      <c r="C367" s="165"/>
      <c r="D367" s="165"/>
      <c r="E367" s="165"/>
      <c r="F367" s="165"/>
      <c r="G367" s="165"/>
      <c r="H367" s="165"/>
      <c r="I367" s="165"/>
      <c r="J367" s="165"/>
      <c r="K367" s="165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64"/>
      <c r="AA367" s="164"/>
      <c r="AB367" s="164"/>
      <c r="AC367" s="164"/>
      <c r="AD367" s="164"/>
      <c r="AE367" s="164"/>
      <c r="AF367" s="164"/>
      <c r="AG367" s="164"/>
      <c r="AH367" s="164"/>
      <c r="AI367" s="164"/>
      <c r="AJ367" s="164"/>
      <c r="AK367" s="164"/>
      <c r="AL367" s="164"/>
      <c r="AM367" s="164"/>
      <c r="AN367" s="164"/>
      <c r="AO367" s="164"/>
    </row>
    <row r="368" ht="10.5" customHeight="1">
      <c r="A368" s="164"/>
      <c r="B368" s="165"/>
      <c r="C368" s="165"/>
      <c r="D368" s="165"/>
      <c r="E368" s="165"/>
      <c r="F368" s="165"/>
      <c r="G368" s="165"/>
      <c r="H368" s="165"/>
      <c r="I368" s="165"/>
      <c r="J368" s="165"/>
      <c r="K368" s="165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64"/>
      <c r="AA368" s="164"/>
      <c r="AB368" s="164"/>
      <c r="AC368" s="164"/>
      <c r="AD368" s="164"/>
      <c r="AE368" s="164"/>
      <c r="AF368" s="164"/>
      <c r="AG368" s="164"/>
      <c r="AH368" s="164"/>
      <c r="AI368" s="164"/>
      <c r="AJ368" s="164"/>
      <c r="AK368" s="164"/>
      <c r="AL368" s="164"/>
      <c r="AM368" s="164"/>
      <c r="AN368" s="164"/>
      <c r="AO368" s="164"/>
    </row>
    <row r="369" ht="10.5" customHeight="1">
      <c r="A369" s="164"/>
      <c r="B369" s="165"/>
      <c r="C369" s="165"/>
      <c r="D369" s="165"/>
      <c r="E369" s="165"/>
      <c r="F369" s="165"/>
      <c r="G369" s="165"/>
      <c r="H369" s="165"/>
      <c r="I369" s="165"/>
      <c r="J369" s="165"/>
      <c r="K369" s="165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64"/>
      <c r="AA369" s="164"/>
      <c r="AB369" s="164"/>
      <c r="AC369" s="164"/>
      <c r="AD369" s="164"/>
      <c r="AE369" s="164"/>
      <c r="AF369" s="164"/>
      <c r="AG369" s="164"/>
      <c r="AH369" s="164"/>
      <c r="AI369" s="164"/>
      <c r="AJ369" s="164"/>
      <c r="AK369" s="164"/>
      <c r="AL369" s="164"/>
      <c r="AM369" s="164"/>
      <c r="AN369" s="164"/>
      <c r="AO369" s="164"/>
    </row>
    <row r="370" ht="10.5" customHeight="1">
      <c r="A370" s="164"/>
      <c r="B370" s="165"/>
      <c r="C370" s="165"/>
      <c r="D370" s="165"/>
      <c r="E370" s="165"/>
      <c r="F370" s="165"/>
      <c r="G370" s="165"/>
      <c r="H370" s="165"/>
      <c r="I370" s="165"/>
      <c r="J370" s="165"/>
      <c r="K370" s="165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64"/>
      <c r="AA370" s="164"/>
      <c r="AB370" s="164"/>
      <c r="AC370" s="164"/>
      <c r="AD370" s="164"/>
      <c r="AE370" s="164"/>
      <c r="AF370" s="164"/>
      <c r="AG370" s="164"/>
      <c r="AH370" s="164"/>
      <c r="AI370" s="164"/>
      <c r="AJ370" s="164"/>
      <c r="AK370" s="164"/>
      <c r="AL370" s="164"/>
      <c r="AM370" s="164"/>
      <c r="AN370" s="164"/>
      <c r="AO370" s="164"/>
    </row>
    <row r="371" ht="10.5" customHeight="1">
      <c r="A371" s="164"/>
      <c r="B371" s="165"/>
      <c r="C371" s="165"/>
      <c r="D371" s="165"/>
      <c r="E371" s="165"/>
      <c r="F371" s="165"/>
      <c r="G371" s="165"/>
      <c r="H371" s="165"/>
      <c r="I371" s="165"/>
      <c r="J371" s="165"/>
      <c r="K371" s="165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64"/>
      <c r="AA371" s="164"/>
      <c r="AB371" s="164"/>
      <c r="AC371" s="164"/>
      <c r="AD371" s="164"/>
      <c r="AE371" s="164"/>
      <c r="AF371" s="164"/>
      <c r="AG371" s="164"/>
      <c r="AH371" s="164"/>
      <c r="AI371" s="164"/>
      <c r="AJ371" s="164"/>
      <c r="AK371" s="164"/>
      <c r="AL371" s="164"/>
      <c r="AM371" s="164"/>
      <c r="AN371" s="164"/>
      <c r="AO371" s="164"/>
    </row>
    <row r="372" ht="10.5" customHeight="1">
      <c r="A372" s="164"/>
      <c r="B372" s="165"/>
      <c r="C372" s="165"/>
      <c r="D372" s="165"/>
      <c r="E372" s="165"/>
      <c r="F372" s="165"/>
      <c r="G372" s="165"/>
      <c r="H372" s="165"/>
      <c r="I372" s="165"/>
      <c r="J372" s="165"/>
      <c r="K372" s="165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64"/>
      <c r="AA372" s="164"/>
      <c r="AB372" s="164"/>
      <c r="AC372" s="164"/>
      <c r="AD372" s="164"/>
      <c r="AE372" s="164"/>
      <c r="AF372" s="164"/>
      <c r="AG372" s="164"/>
      <c r="AH372" s="164"/>
      <c r="AI372" s="164"/>
      <c r="AJ372" s="164"/>
      <c r="AK372" s="164"/>
      <c r="AL372" s="164"/>
      <c r="AM372" s="164"/>
      <c r="AN372" s="164"/>
      <c r="AO372" s="164"/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G5:J5"/>
    <mergeCell ref="L5:O5"/>
    <mergeCell ref="Q5:T5"/>
    <mergeCell ref="V5:Y5"/>
    <mergeCell ref="AA5:AD5"/>
    <mergeCell ref="AF5:AI5"/>
    <mergeCell ref="AK5:AN5"/>
    <mergeCell ref="AF90:AI90"/>
    <mergeCell ref="AK90:AN90"/>
    <mergeCell ref="B5:E5"/>
    <mergeCell ref="B90:E90"/>
    <mergeCell ref="G90:J90"/>
    <mergeCell ref="L90:O90"/>
    <mergeCell ref="Q90:T90"/>
    <mergeCell ref="V90:Y90"/>
    <mergeCell ref="AA90:AD9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2025-11-21T17:08:31Z</dcterms:created>
  <dc:creator>Thao Do</dc:creator>
</cp:coreProperties>
</file>