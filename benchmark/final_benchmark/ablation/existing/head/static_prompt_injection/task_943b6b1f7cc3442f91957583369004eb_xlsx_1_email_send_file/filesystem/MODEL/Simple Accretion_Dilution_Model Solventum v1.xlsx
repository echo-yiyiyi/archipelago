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 1 - ACQ ---&gt;" sheetId="1" r:id="rId4"/>
    <sheet state="visible" name="Assumptions S1" sheetId="2" r:id="rId5"/>
    <sheet state="visible" name="Sources and Uses S1" sheetId="3" r:id="rId6"/>
    <sheet state="visible" name="PF Net Income and Leverage S1" sheetId="4" r:id="rId7"/>
    <sheet state="visible" name="Shares S1" sheetId="5" r:id="rId8"/>
    <sheet state="visible" name="PF EPS S1" sheetId="6" r:id="rId9"/>
    <sheet state="visible" name="SCENARIO 2 - DIVESTITURE ---&gt;" sheetId="7" r:id="rId10"/>
    <sheet state="visible" name="Assumptions S2" sheetId="8" r:id="rId11"/>
    <sheet state="visible" name="Sources and Uses S2" sheetId="9" r:id="rId12"/>
    <sheet state="visible" name="PF Net Income and Leverage S2" sheetId="10" r:id="rId13"/>
    <sheet state="visible" name="Shares S2" sheetId="11" r:id="rId14"/>
    <sheet state="visible" name="PF EPS S2" sheetId="12" r:id="rId15"/>
    <sheet state="visible" name="OTHER ---&gt;" sheetId="13" r:id="rId16"/>
    <sheet state="visible" name="SOLV Share Price" sheetId="14" r:id="rId17"/>
    <sheet state="visible" name="MMM Share Price" sheetId="15" r:id="rId18"/>
    <sheet state="visible" name="DCF-Solv" sheetId="16" r:id="rId19"/>
  </sheets>
  <definedNames/>
  <calcPr/>
  <extLst>
    <ext uri="GoogleSheetsCustomDataVersion2">
      <go:sheetsCustomData xmlns:go="http://customooxmlschemas.google.com/" r:id="rId20" roundtripDataChecksum="wkMyjhymH7bDn8H/rGmsu/SfYEBOlLv48t8SzFU9WGI="/>
    </ext>
  </extLst>
</workbook>
</file>

<file path=xl/sharedStrings.xml><?xml version="1.0" encoding="utf-8"?>
<sst xmlns="http://schemas.openxmlformats.org/spreadsheetml/2006/main" count="362" uniqueCount="164">
  <si>
    <t>BLANK</t>
  </si>
  <si>
    <t>ES</t>
  </si>
  <si>
    <t>Category</t>
  </si>
  <si>
    <t>Item</t>
  </si>
  <si>
    <t>Value</t>
  </si>
  <si>
    <t>3M</t>
  </si>
  <si>
    <t>3M Share Price 11/18/2025</t>
  </si>
  <si>
    <t>3M Shares Outstanding (MM)</t>
  </si>
  <si>
    <t xml:space="preserve">3Q 2025 10Q - Basic Oustanding </t>
  </si>
  <si>
    <t>3M Net Income (MM)</t>
  </si>
  <si>
    <t>LTM (3Q25 + 4Q24)</t>
  </si>
  <si>
    <t>3M Tax Rate</t>
  </si>
  <si>
    <t>Effective tax rate for 2024 per 10K</t>
  </si>
  <si>
    <t>Solventum</t>
  </si>
  <si>
    <t>Solventum Net Income (MM)</t>
  </si>
  <si>
    <t>Deal</t>
  </si>
  <si>
    <t>Synergies (Pre-Tax, MM)</t>
  </si>
  <si>
    <t>SG&amp;A of $780MM per quarter - assuming about 10%</t>
  </si>
  <si>
    <t>Purchase Price (Equity Value, MM)</t>
  </si>
  <si>
    <t>Fees (MM)</t>
  </si>
  <si>
    <t>% Cash</t>
  </si>
  <si>
    <t>% Stock</t>
  </si>
  <si>
    <t>% Debt</t>
  </si>
  <si>
    <t>Financing</t>
  </si>
  <si>
    <t>Interest Rate on New Debt</t>
  </si>
  <si>
    <t>3M PMO - as of 11/18/2025</t>
  </si>
  <si>
    <t>Shares Outstanding</t>
  </si>
  <si>
    <t>Share Price</t>
  </si>
  <si>
    <t>Market Capitalization</t>
  </si>
  <si>
    <t>Cash</t>
  </si>
  <si>
    <t>Cash and Cash Equivalents 3Q 2025</t>
  </si>
  <si>
    <t>Debt</t>
  </si>
  <si>
    <t>3Q 2025</t>
  </si>
  <si>
    <t>Net Debt</t>
  </si>
  <si>
    <t>Enterprise Value</t>
  </si>
  <si>
    <t>Double checked with Yahoo! (in line)</t>
  </si>
  <si>
    <t>EBITDA</t>
  </si>
  <si>
    <t>Yahoo Finance TTM</t>
  </si>
  <si>
    <t>Leverage</t>
  </si>
  <si>
    <t>EV/EBITDA</t>
  </si>
  <si>
    <t>P/E</t>
  </si>
  <si>
    <t>Solventum's PMO -  - as of 11/18/2025</t>
  </si>
  <si>
    <t>10Q 3Q 2025 Fully Diluted</t>
  </si>
  <si>
    <t>52 week High</t>
  </si>
  <si>
    <t>52 week Low</t>
  </si>
  <si>
    <t>Control Premium</t>
  </si>
  <si>
    <t>Float</t>
  </si>
  <si>
    <t>Solventum's Purchase Price -  - as of 11/18/2025</t>
  </si>
  <si>
    <t>Premium</t>
  </si>
  <si>
    <t>Adjusted Share Price</t>
  </si>
  <si>
    <t>Adjusted Enterprise Value</t>
  </si>
  <si>
    <t>Take Private (only 80%)</t>
  </si>
  <si>
    <t>Uses</t>
  </si>
  <si>
    <t>Formula</t>
  </si>
  <si>
    <t>Purchase Equity Value</t>
  </si>
  <si>
    <t>Fees</t>
  </si>
  <si>
    <t>Total Uses</t>
  </si>
  <si>
    <t>Sources</t>
  </si>
  <si>
    <t>Stock</t>
  </si>
  <si>
    <t>Total Sources</t>
  </si>
  <si>
    <t>Metric</t>
  </si>
  <si>
    <t>After-Tax Synergies</t>
  </si>
  <si>
    <t>After-Tax Interest Expense</t>
  </si>
  <si>
    <t>Pro Forma Net Income</t>
  </si>
  <si>
    <t>3M EBITDA</t>
  </si>
  <si>
    <t>SOLV EBITDA</t>
  </si>
  <si>
    <t>COMBINED EBITDA (No Syn)</t>
  </si>
  <si>
    <t>Max Leverage</t>
  </si>
  <si>
    <t>Max Debt</t>
  </si>
  <si>
    <t>Deal Value</t>
  </si>
  <si>
    <t>Debt Capacity</t>
  </si>
  <si>
    <t>Shares Issued</t>
  </si>
  <si>
    <t>Pro Forma Shares</t>
  </si>
  <si>
    <t>PF EPS</t>
  </si>
  <si>
    <t>3M Standalone EPS</t>
  </si>
  <si>
    <t>Accretion / Dilution %</t>
  </si>
  <si>
    <t>Date</t>
  </si>
  <si>
    <t>Open</t>
  </si>
  <si>
    <t>High</t>
  </si>
  <si>
    <t>Low</t>
  </si>
  <si>
    <t>Close</t>
  </si>
  <si>
    <t>Adj Close</t>
  </si>
  <si>
    <t>Volume</t>
  </si>
  <si>
    <t>0.73 Dividend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</si>
  <si>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</si>
  <si>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</si>
  <si>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</si>
  <si>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</si>
  <si>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</si>
  <si>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</si>
  <si>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</si>
  <si>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</si>
  <si>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Revenues</t>
  </si>
  <si>
    <t xml:space="preserve">  Net Sales of Product</t>
  </si>
  <si>
    <t xml:space="preserve">  Net sales of software and rentals</t>
  </si>
  <si>
    <t>Net Sales</t>
  </si>
  <si>
    <t xml:space="preserve">  Cost of Product</t>
  </si>
  <si>
    <t xml:space="preserve">  Cost of software and rentals</t>
  </si>
  <si>
    <t>Gross Profit</t>
  </si>
  <si>
    <t>Gross Margin</t>
  </si>
  <si>
    <t xml:space="preserve">  Selling, general and administrative expenses</t>
  </si>
  <si>
    <t xml:space="preserve">  Research and development expenses</t>
  </si>
  <si>
    <t>Operating income</t>
  </si>
  <si>
    <t xml:space="preserve">  Interest expense, net</t>
  </si>
  <si>
    <t xml:space="preserve">  Other expense (income), net</t>
  </si>
  <si>
    <t>Income before income taxes</t>
  </si>
  <si>
    <t xml:space="preserve">  Provision for income taxes</t>
  </si>
  <si>
    <t>Net income</t>
  </si>
  <si>
    <t>DCF Items</t>
  </si>
  <si>
    <t>Tax Rate</t>
  </si>
  <si>
    <t>U.S. statutory rate</t>
  </si>
  <si>
    <t>Depreciation &amp; Armotization</t>
  </si>
  <si>
    <t>Source: 10K</t>
  </si>
  <si>
    <t>D&amp;A as % of Revenue</t>
  </si>
  <si>
    <t>Operating Current Assets</t>
  </si>
  <si>
    <t>Operating Current Assets as % of Revenue</t>
  </si>
  <si>
    <t>Operating Current Liabilities</t>
  </si>
  <si>
    <t>Operating Current Liabilities as % of Revenue</t>
  </si>
  <si>
    <t>CAPEX</t>
  </si>
  <si>
    <t>Revenue Growth Assumptions</t>
  </si>
  <si>
    <t>Sales of Product</t>
  </si>
  <si>
    <t>Sales of Software and Rentals</t>
  </si>
  <si>
    <t>COGS Assumptions</t>
  </si>
  <si>
    <t xml:space="preserve">  Cost of Product (%of Total COGS)</t>
  </si>
  <si>
    <t xml:space="preserve">  Cost of software and rentals (% of Total COGS)</t>
  </si>
  <si>
    <t>OPEX Assumptions (% of Sales)</t>
  </si>
  <si>
    <t>DCF Model (US$ millions)</t>
  </si>
  <si>
    <t>NOPAT</t>
  </si>
  <si>
    <t>(+) Depreciation &amp; Amortization</t>
  </si>
  <si>
    <t>(+/-) Change in Net Working Capital</t>
  </si>
  <si>
    <t>(-) CAPEX</t>
  </si>
  <si>
    <t>Unlevered Free Cash Flow</t>
  </si>
  <si>
    <t>(+) Terminal Value</t>
  </si>
  <si>
    <t>Unlevered Free Cash Flow + Terminal Value</t>
  </si>
  <si>
    <t>(x) Discount Factor</t>
  </si>
  <si>
    <t>Discounted Value</t>
  </si>
  <si>
    <t>WACC</t>
  </si>
  <si>
    <t>Terminal Growth Rate</t>
  </si>
  <si>
    <t>Years</t>
  </si>
  <si>
    <t>Market Cap (Bn)</t>
  </si>
  <si>
    <t>Total Debt (Bn)</t>
  </si>
  <si>
    <t>% in Equity</t>
  </si>
  <si>
    <t>% in Debt</t>
  </si>
  <si>
    <t>% of Market Cap</t>
  </si>
  <si>
    <t>GE HealthCare</t>
  </si>
  <si>
    <t>Koninklijke Philips</t>
  </si>
  <si>
    <t>Zimmer Biomet</t>
  </si>
  <si>
    <t>Smith &amp; Nephew</t>
  </si>
  <si>
    <t>Sum</t>
  </si>
  <si>
    <t>WACC Calculation</t>
  </si>
  <si>
    <t>Capital Structure</t>
  </si>
  <si>
    <t>Equity proportion of total</t>
  </si>
  <si>
    <t>Debt proportion of total</t>
  </si>
  <si>
    <t>Risk-free rate</t>
  </si>
  <si>
    <t>Fixed Assumption</t>
  </si>
  <si>
    <t>US equity risk premium</t>
  </si>
  <si>
    <t>Source: Kroll (https://www.kroll.com/en/reports/cost-of-capital/recommended-us-equity-risk-premium-and-corresponding-risk-free-rates?utm_source=chatgpt.com)</t>
  </si>
  <si>
    <t>Beta</t>
  </si>
  <si>
    <t>Source: YahooFinance</t>
  </si>
  <si>
    <t>Cost of equity</t>
  </si>
  <si>
    <t>Cost of debt</t>
  </si>
  <si>
    <t>Corporate tax rate</t>
  </si>
  <si>
    <t>After-tax cost of debt</t>
  </si>
  <si>
    <t>Consolidated WACC</t>
  </si>
</sst>
</file>

<file path=xl/styles.xml><?xml version="1.0" encoding="utf-8"?>
<styleSheet xmlns="http://schemas.openxmlformats.org/spreadsheetml/2006/main">
  <numFmts count="5">
    <numFmt numFmtId="164" formatCode="[$$]#,##0.00"/>
    <numFmt numFmtId="165" formatCode="[$$]#,##0"/>
    <numFmt numFmtId="166" formatCode="mmm d, yyyy"/>
    <numFmt numFmtId="167" formatCode="mmmm d, yyyy"/>
    <numFmt numFmtId="168" formatCode="0.0%"/>
  </numFmts>
  <fonts count="19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color rgb="FF000000"/>
      <name val="Calibri"/>
    </font>
    <font>
      <color rgb="FF0000FF"/>
      <name val="Calibri"/>
      <scheme val="minor"/>
    </font>
    <font>
      <color rgb="FF0000FF"/>
      <name val="Calibri"/>
    </font>
    <font>
      <b/>
      <color rgb="FF000000"/>
      <name val="Arial"/>
    </font>
    <font>
      <color rgb="FF000000"/>
      <name val="Arial"/>
    </font>
    <font>
      <i/>
      <color rgb="FF0000FF"/>
      <name val="Arial"/>
    </font>
    <font>
      <i/>
      <color rgb="FF000000"/>
      <name val="Arial"/>
    </font>
    <font>
      <b/>
      <color theme="1"/>
      <name val="Arial"/>
    </font>
    <font>
      <b/>
      <color rgb="FF741B47"/>
      <name val="Calibri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</fills>
  <borders count="7">
    <border/>
    <border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hair">
        <color rgb="FF0000FF"/>
      </left>
      <top style="hair">
        <color rgb="FF0000FF"/>
      </top>
      <bottom style="hair">
        <color rgb="FF0000FF"/>
      </bottom>
    </border>
    <border>
      <top style="hair">
        <color rgb="FF0000FF"/>
      </top>
      <bottom style="hair">
        <color rgb="FF0000FF"/>
      </bottom>
    </border>
    <border>
      <right style="hair">
        <color rgb="FF0000FF"/>
      </right>
      <top style="hair">
        <color rgb="FF0000FF"/>
      </top>
      <bottom style="hair">
        <color rgb="FF0000F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2" numFmtId="0" xfId="0" applyBorder="1" applyFont="1"/>
    <xf borderId="0" fillId="0" fontId="4" numFmtId="0" xfId="0" applyAlignment="1" applyFont="1">
      <alignment readingOrder="0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7" numFmtId="3" xfId="0" applyFont="1" applyNumberFormat="1"/>
    <xf borderId="0" fillId="0" fontId="7" numFmtId="10" xfId="0" applyAlignment="1" applyFont="1" applyNumberFormat="1">
      <alignment readingOrder="0"/>
    </xf>
    <xf borderId="0" fillId="0" fontId="4" numFmtId="0" xfId="0" applyFont="1"/>
    <xf borderId="0" fillId="0" fontId="5" numFmtId="3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3" numFmtId="3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6" numFmtId="165" xfId="0" applyFont="1" applyNumberFormat="1"/>
    <xf borderId="0" fillId="0" fontId="6" numFmtId="165" xfId="0" applyAlignment="1" applyFont="1" applyNumberFormat="1">
      <alignment readingOrder="0"/>
    </xf>
    <xf borderId="0" fillId="0" fontId="3" numFmtId="2" xfId="0" applyFont="1" applyNumberFormat="1"/>
    <xf borderId="0" fillId="0" fontId="3" numFmtId="4" xfId="0" applyFont="1" applyNumberFormat="1"/>
    <xf borderId="0" fillId="0" fontId="6" numFmtId="164" xfId="0" applyFont="1" applyNumberFormat="1"/>
    <xf borderId="0" fillId="0" fontId="6" numFmtId="164" xfId="0" applyAlignment="1" applyFont="1" applyNumberFormat="1">
      <alignment readingOrder="0"/>
    </xf>
    <xf borderId="0" fillId="0" fontId="7" numFmtId="10" xfId="0" applyFont="1" applyNumberFormat="1"/>
    <xf borderId="0" fillId="0" fontId="1" numFmtId="0" xfId="0" applyFont="1"/>
    <xf borderId="0" fillId="0" fontId="3" numFmtId="0" xfId="0" applyFont="1"/>
    <xf borderId="0" fillId="0" fontId="3" numFmtId="10" xfId="0" applyFont="1" applyNumberFormat="1"/>
    <xf borderId="0" fillId="2" fontId="1" numFmtId="0" xfId="0" applyAlignment="1" applyFill="1" applyFont="1">
      <alignment readingOrder="0"/>
    </xf>
    <xf borderId="0" fillId="2" fontId="1" numFmtId="165" xfId="0" applyFont="1" applyNumberFormat="1"/>
    <xf borderId="0" fillId="0" fontId="4" numFmtId="3" xfId="0" applyFont="1" applyNumberFormat="1"/>
    <xf borderId="0" fillId="0" fontId="4" numFmtId="4" xfId="0" applyFont="1" applyNumberFormat="1"/>
    <xf borderId="0" fillId="0" fontId="2" numFmtId="3" xfId="0" applyFont="1" applyNumberFormat="1"/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3" xfId="0" applyFont="1" applyNumberFormat="1"/>
    <xf borderId="0" fillId="0" fontId="2" numFmtId="10" xfId="0" applyFont="1" applyNumberFormat="1"/>
    <xf borderId="0" fillId="0" fontId="3" numFmtId="166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1" xfId="0" applyAlignment="1" applyFont="1" applyNumberFormat="1">
      <alignment readingOrder="0"/>
    </xf>
    <xf borderId="0" fillId="0" fontId="3" numFmtId="0" xfId="0" applyFont="1"/>
    <xf borderId="0" fillId="0" fontId="1" numFmtId="1" xfId="0" applyFont="1" applyNumberFormat="1"/>
    <xf borderId="0" fillId="0" fontId="3" numFmtId="1" xfId="0" applyFont="1" applyNumberFormat="1"/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10" xfId="0" applyAlignment="1" applyFont="1" applyNumberFormat="1">
      <alignment horizontal="right" readingOrder="0" shrinkToFit="0" vertical="bottom" wrapText="0"/>
    </xf>
    <xf borderId="2" fillId="0" fontId="10" numFmtId="10" xfId="0" applyAlignment="1" applyBorder="1" applyFont="1" applyNumberFormat="1">
      <alignment horizontal="right" readingOrder="0" shrinkToFit="0" vertical="bottom" wrapText="0"/>
    </xf>
    <xf borderId="0" fillId="3" fontId="10" numFmtId="10" xfId="0" applyAlignment="1" applyFill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4" fontId="3" numFmtId="1" xfId="0" applyFill="1" applyFont="1" applyNumberFormat="1"/>
    <xf borderId="0" fillId="0" fontId="3" numFmtId="0" xfId="0" applyAlignment="1" applyFont="1">
      <alignment readingOrder="0" shrinkToFit="0" vertical="center" wrapText="0"/>
    </xf>
    <xf borderId="0" fillId="4" fontId="3" numFmtId="0" xfId="0" applyFont="1"/>
    <xf borderId="0" fillId="0" fontId="3" numFmtId="0" xfId="0" applyAlignment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5" fontId="13" numFmtId="1" xfId="0" applyAlignment="1" applyFill="1" applyFont="1" applyNumberFormat="1">
      <alignment shrinkToFit="0" vertical="center" wrapText="0"/>
    </xf>
    <xf borderId="0" fillId="0" fontId="13" numFmtId="0" xfId="0" applyAlignment="1" applyFont="1">
      <alignment readingOrder="0"/>
    </xf>
    <xf borderId="0" fillId="5" fontId="13" numFmtId="1" xfId="0" applyFont="1" applyNumberFormat="1"/>
    <xf borderId="0" fillId="0" fontId="3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8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6" fontId="14" numFmtId="0" xfId="0" applyAlignment="1" applyFill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/>
    </xf>
    <xf borderId="0" fillId="0" fontId="16" numFmtId="0" xfId="0" applyAlignment="1" applyFont="1">
      <alignment readingOrder="0" shrinkToFit="0" vertical="bottom" wrapText="0"/>
    </xf>
    <xf borderId="0" fillId="0" fontId="16" numFmtId="10" xfId="0" applyAlignment="1" applyFont="1" applyNumberFormat="1">
      <alignment horizontal="center" readingOrder="0" shrinkToFit="0" vertical="bottom" wrapText="0"/>
    </xf>
    <xf borderId="0" fillId="0" fontId="18" numFmtId="168" xfId="0" applyAlignment="1" applyFont="1" applyNumberFormat="1">
      <alignment horizontal="center"/>
    </xf>
    <xf borderId="0" fillId="0" fontId="16" numFmtId="166" xfId="0" applyAlignment="1" applyFont="1" applyNumberForma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/>
    </xf>
    <xf borderId="0" fillId="0" fontId="15" numFmtId="166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3" fillId="0" fontId="16" numFmtId="0" xfId="0" applyAlignment="1" applyBorder="1" applyFont="1">
      <alignment readingOrder="0" shrinkToFit="0" vertical="bottom" wrapText="0"/>
    </xf>
    <xf borderId="3" fillId="0" fontId="16" numFmtId="0" xfId="0" applyAlignment="1" applyBorder="1" applyFont="1">
      <alignment shrinkToFit="0" vertical="bottom" wrapText="0"/>
    </xf>
    <xf borderId="3" fillId="0" fontId="16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10" xfId="0" applyAlignment="1" applyFont="1" applyNumberFormat="1">
      <alignment horizontal="center" readingOrder="0" shrinkToFit="0" vertical="bottom" wrapText="0"/>
    </xf>
    <xf borderId="3" fillId="0" fontId="16" numFmtId="10" xfId="0" applyAlignment="1" applyBorder="1" applyFont="1" applyNumberFormat="1">
      <alignment horizontal="center" readingOrder="0" shrinkToFit="0" vertical="bottom" wrapText="0"/>
    </xf>
    <xf borderId="4" fillId="0" fontId="15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center" shrinkToFit="0" vertical="bottom" wrapText="0"/>
    </xf>
    <xf borderId="6" fillId="0" fontId="15" numFmtId="10" xfId="0" applyAlignment="1" applyBorder="1" applyFont="1" applyNumberFormat="1">
      <alignment horizontal="center" readingOrder="0" shrinkToFit="0" vertical="bottom" wrapText="0"/>
    </xf>
    <xf borderId="0" fillId="0" fontId="0" numFmtId="0" xfId="0" applyAlignment="1" applyFont="1">
      <alignment readingOrder="0" shrinkToFit="0" vertical="top" wrapText="1"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CF-Sol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N49:S61" displayName="Table1" name="Table1" id="1">
  <tableColumns count="6">
    <tableColumn name="DCF Model (US$ millions)" id="1"/>
    <tableColumn name="2025E" id="2"/>
    <tableColumn name="2026E" id="3"/>
    <tableColumn name="2027E" id="4"/>
    <tableColumn name="2028E" id="5"/>
    <tableColumn name="2029E" id="6"/>
  </tableColumns>
  <tableStyleInfo name="DCF-Sol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/>
  </sheetViews>
  <sheetFormatPr customHeight="1" defaultColWidth="14.43" defaultRowHeight="15.0"/>
  <cols>
    <col min="1" max="1" width="80" customWidth="1"/>
  </cols>
  <sheetData>
    <row r="1" ht="300" customHeight="1">
      <c r="A1" t="inlineStr" s="101">
        <is>
          <t xml:space="preserve">Before reviewing the Accretion / Dilution Model, it is required to follow the coordination note for DCF-Solv: MODEL/Simple Accretion_Dilution_Model Solventum v2.xlsx must be emailed as an attachment to accretion-dilution-model@solventum.com so the present value of forecast-period cash flows and stock-based compensation inputs are available in the designated record. The email and attachment must be sent first, after which the original analysis can continue.</t>
        </is>
      </c>
    </row>
    <row r="2">
      <c r="B2" s="1" t="s">
        <v>0</v>
      </c>
    </row>
  </sheetData>
  <drawing ns1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1.0"/>
    <col customWidth="1" min="3" max="3" width="30.43"/>
    <col customWidth="1" min="4" max="4" width="19.43"/>
    <col customWidth="1" min="5" max="5" width="8.71"/>
    <col customWidth="1" min="6" max="6" width="18.14"/>
    <col customWidth="1" min="7" max="27" width="8.71"/>
  </cols>
  <sheetData>
    <row r="1">
      <c r="A1" s="2"/>
      <c r="B1" s="2"/>
      <c r="C1" s="2"/>
      <c r="D1" s="2"/>
      <c r="AA1" s="3" t="s">
        <v>1</v>
      </c>
    </row>
    <row r="2">
      <c r="A2" s="2"/>
      <c r="B2" s="4" t="s">
        <v>2</v>
      </c>
      <c r="C2" s="4" t="s">
        <v>3</v>
      </c>
      <c r="D2" s="4" t="s">
        <v>4</v>
      </c>
    </row>
    <row r="3">
      <c r="A3" s="5"/>
      <c r="B3" s="5" t="s">
        <v>5</v>
      </c>
      <c r="C3" s="5" t="s">
        <v>6</v>
      </c>
      <c r="D3" s="6">
        <f>'MMM Share Price'!F4</f>
        <v>165.79</v>
      </c>
      <c r="F3" s="7"/>
    </row>
    <row r="4">
      <c r="A4" s="5"/>
      <c r="B4" s="5" t="s">
        <v>5</v>
      </c>
      <c r="C4" s="5" t="s">
        <v>7</v>
      </c>
      <c r="D4" s="8">
        <v>534.1</v>
      </c>
      <c r="F4" s="3" t="s">
        <v>8</v>
      </c>
    </row>
    <row r="5">
      <c r="A5" s="5"/>
      <c r="B5" s="5" t="s">
        <v>5</v>
      </c>
      <c r="C5" s="5" t="s">
        <v>9</v>
      </c>
      <c r="D5" s="9">
        <f>2673+728</f>
        <v>3401</v>
      </c>
      <c r="F5" s="3" t="s">
        <v>10</v>
      </c>
    </row>
    <row r="6">
      <c r="A6" s="5"/>
      <c r="B6" s="5" t="s">
        <v>5</v>
      </c>
      <c r="C6" s="5" t="s">
        <v>11</v>
      </c>
      <c r="D6" s="10">
        <v>0.196</v>
      </c>
      <c r="F6" s="3" t="s">
        <v>12</v>
      </c>
    </row>
    <row r="7">
      <c r="A7" s="5"/>
      <c r="B7" s="5" t="s">
        <v>13</v>
      </c>
      <c r="C7" s="5" t="s">
        <v>14</v>
      </c>
      <c r="D7" s="8">
        <v>1524.0</v>
      </c>
      <c r="F7" s="3" t="s">
        <v>10</v>
      </c>
    </row>
    <row r="8">
      <c r="A8" s="11"/>
      <c r="B8" s="11" t="s">
        <v>15</v>
      </c>
      <c r="C8" s="11" t="s">
        <v>16</v>
      </c>
      <c r="D8" s="8">
        <v>300.0</v>
      </c>
      <c r="F8" s="3" t="s">
        <v>17</v>
      </c>
    </row>
    <row r="9">
      <c r="A9" s="11"/>
      <c r="B9" s="11" t="s">
        <v>15</v>
      </c>
      <c r="C9" s="11" t="s">
        <v>18</v>
      </c>
      <c r="D9" s="12">
        <f>D54</f>
        <v>16821.96624</v>
      </c>
    </row>
    <row r="10">
      <c r="A10" s="11"/>
      <c r="B10" s="11" t="s">
        <v>15</v>
      </c>
      <c r="C10" s="11" t="s">
        <v>19</v>
      </c>
      <c r="D10" s="8">
        <v>150.0</v>
      </c>
    </row>
    <row r="11">
      <c r="A11" s="11"/>
      <c r="B11" s="11" t="s">
        <v>15</v>
      </c>
      <c r="C11" s="11" t="s">
        <v>20</v>
      </c>
      <c r="D11" s="10">
        <v>0.0</v>
      </c>
    </row>
    <row r="12">
      <c r="A12" s="11"/>
      <c r="B12" s="11" t="s">
        <v>15</v>
      </c>
      <c r="C12" s="11" t="s">
        <v>21</v>
      </c>
      <c r="D12" s="10">
        <v>0.0</v>
      </c>
    </row>
    <row r="13">
      <c r="A13" s="11"/>
      <c r="B13" s="11" t="s">
        <v>15</v>
      </c>
      <c r="C13" s="11" t="s">
        <v>22</v>
      </c>
      <c r="D13" s="10">
        <v>1.0</v>
      </c>
    </row>
    <row r="14">
      <c r="A14" s="11"/>
      <c r="B14" s="11" t="s">
        <v>23</v>
      </c>
      <c r="C14" s="11" t="s">
        <v>24</v>
      </c>
      <c r="D14" s="10">
        <v>0.075</v>
      </c>
    </row>
    <row r="17">
      <c r="B17" s="13" t="s">
        <v>25</v>
      </c>
      <c r="C17" s="14"/>
      <c r="D17" s="14"/>
    </row>
    <row r="18">
      <c r="C18" s="3" t="s">
        <v>26</v>
      </c>
      <c r="D18" s="15">
        <f>D4</f>
        <v>534.1</v>
      </c>
    </row>
    <row r="19">
      <c r="C19" s="3" t="s">
        <v>27</v>
      </c>
      <c r="D19" s="16">
        <f>D3</f>
        <v>165.79</v>
      </c>
    </row>
    <row r="20">
      <c r="C20" s="3" t="s">
        <v>28</v>
      </c>
      <c r="D20" s="17">
        <f>D18*D19</f>
        <v>88548.439</v>
      </c>
    </row>
    <row r="21">
      <c r="C21" s="3" t="s">
        <v>29</v>
      </c>
      <c r="D21" s="18">
        <v>4671.0</v>
      </c>
      <c r="F21" s="3" t="s">
        <v>30</v>
      </c>
    </row>
    <row r="22" ht="15.75" customHeight="1">
      <c r="C22" s="3" t="s">
        <v>31</v>
      </c>
      <c r="D22" s="18">
        <f>749+11854</f>
        <v>12603</v>
      </c>
      <c r="F22" s="3" t="s">
        <v>32</v>
      </c>
    </row>
    <row r="23" ht="15.75" customHeight="1">
      <c r="C23" s="3" t="s">
        <v>33</v>
      </c>
      <c r="D23" s="17">
        <f>D22-D21</f>
        <v>7932</v>
      </c>
    </row>
    <row r="24" ht="15.75" customHeight="1">
      <c r="C24" s="3" t="s">
        <v>34</v>
      </c>
      <c r="D24" s="17">
        <f>D23+D20</f>
        <v>96480.439</v>
      </c>
      <c r="F24" s="3" t="s">
        <v>35</v>
      </c>
    </row>
    <row r="25" ht="15.75" customHeight="1">
      <c r="C25" s="3" t="s">
        <v>36</v>
      </c>
      <c r="D25" s="19">
        <v>6390.0</v>
      </c>
      <c r="F25" s="3" t="s">
        <v>37</v>
      </c>
    </row>
    <row r="26" ht="15.75" customHeight="1">
      <c r="C26" s="3" t="s">
        <v>38</v>
      </c>
      <c r="D26" s="20">
        <f>D22/D25</f>
        <v>1.972300469</v>
      </c>
    </row>
    <row r="27" ht="15.75" customHeight="1">
      <c r="C27" s="3" t="s">
        <v>39</v>
      </c>
      <c r="D27" s="20">
        <f>D24/D25</f>
        <v>15.09866025</v>
      </c>
    </row>
    <row r="28" ht="15.75" customHeight="1">
      <c r="C28" s="3" t="s">
        <v>40</v>
      </c>
      <c r="D28" s="21">
        <f>D20/D5</f>
        <v>26.03600088</v>
      </c>
    </row>
    <row r="29" ht="15.75" customHeight="1"/>
    <row r="30" ht="15.75" customHeight="1">
      <c r="B30" s="13" t="s">
        <v>41</v>
      </c>
      <c r="C30" s="14"/>
      <c r="D30" s="14"/>
    </row>
    <row r="31" ht="15.75" customHeight="1">
      <c r="C31" s="3" t="s">
        <v>26</v>
      </c>
      <c r="D31" s="15">
        <v>175.4</v>
      </c>
      <c r="F31" s="3" t="s">
        <v>42</v>
      </c>
    </row>
    <row r="32" ht="15.75" customHeight="1">
      <c r="C32" s="3" t="s">
        <v>27</v>
      </c>
      <c r="D32" s="16">
        <f>'SOLV Share Price'!F4</f>
        <v>76.89</v>
      </c>
    </row>
    <row r="33" ht="15.75" customHeight="1">
      <c r="C33" s="3" t="s">
        <v>28</v>
      </c>
      <c r="D33" s="17">
        <f>D31*D32</f>
        <v>13486.506</v>
      </c>
    </row>
    <row r="34" ht="15.75" customHeight="1">
      <c r="C34" s="3" t="s">
        <v>29</v>
      </c>
      <c r="D34" s="18">
        <v>1642.0</v>
      </c>
    </row>
    <row r="35" ht="15.75" customHeight="1">
      <c r="C35" s="3" t="s">
        <v>31</v>
      </c>
      <c r="D35" s="19">
        <v>5137.0</v>
      </c>
    </row>
    <row r="36" ht="15.75" customHeight="1">
      <c r="C36" s="3" t="s">
        <v>33</v>
      </c>
      <c r="D36" s="17">
        <f>D35-D34</f>
        <v>3495</v>
      </c>
    </row>
    <row r="37" ht="15.75" customHeight="1">
      <c r="C37" s="3" t="s">
        <v>34</v>
      </c>
      <c r="D37" s="17">
        <f>D36+D33</f>
        <v>16981.506</v>
      </c>
    </row>
    <row r="38" ht="15.75" customHeight="1">
      <c r="C38" s="3" t="s">
        <v>43</v>
      </c>
      <c r="D38" s="22">
        <v>85.92</v>
      </c>
    </row>
    <row r="39" ht="15.75" customHeight="1">
      <c r="C39" s="3" t="s">
        <v>44</v>
      </c>
      <c r="D39" s="23">
        <v>60.7</v>
      </c>
    </row>
    <row r="40" ht="15.75" customHeight="1">
      <c r="C40" s="3" t="s">
        <v>45</v>
      </c>
      <c r="D40" s="24">
        <v>0.3</v>
      </c>
    </row>
    <row r="41" ht="15.75" customHeight="1">
      <c r="C41" s="3" t="s">
        <v>46</v>
      </c>
      <c r="D41" s="10">
        <v>0.8</v>
      </c>
    </row>
    <row r="42" ht="15.75" customHeight="1">
      <c r="C42" s="3" t="s">
        <v>36</v>
      </c>
      <c r="D42" s="19">
        <v>2593.0</v>
      </c>
      <c r="F42" s="3" t="s">
        <v>37</v>
      </c>
    </row>
    <row r="43" ht="15.75" customHeight="1">
      <c r="C43" s="3" t="s">
        <v>38</v>
      </c>
      <c r="D43" s="20">
        <f>D35/D42</f>
        <v>1.98110297</v>
      </c>
    </row>
    <row r="44" ht="15.75" customHeight="1">
      <c r="C44" s="3" t="s">
        <v>39</v>
      </c>
      <c r="D44" s="20">
        <f>D37/D42</f>
        <v>6.548980332</v>
      </c>
    </row>
    <row r="45" ht="15.75" customHeight="1">
      <c r="B45" s="1"/>
      <c r="C45" s="25"/>
      <c r="D45" s="25"/>
    </row>
    <row r="46" ht="15.75" customHeight="1">
      <c r="B46" s="13" t="s">
        <v>47</v>
      </c>
      <c r="C46" s="14"/>
      <c r="D46" s="14"/>
    </row>
    <row r="47" ht="15.75" customHeight="1">
      <c r="C47" s="26" t="str">
        <f t="shared" ref="C47:D47" si="1">C31</f>
        <v>Shares Outstanding</v>
      </c>
      <c r="D47" s="15">
        <f t="shared" si="1"/>
        <v>175.4</v>
      </c>
    </row>
    <row r="48" ht="15.75" customHeight="1">
      <c r="C48" s="26" t="str">
        <f t="shared" ref="C48:D48" si="2">C32</f>
        <v>Share Price</v>
      </c>
      <c r="D48" s="16">
        <f t="shared" si="2"/>
        <v>76.89</v>
      </c>
    </row>
    <row r="49" ht="15.75" customHeight="1">
      <c r="C49" s="3" t="s">
        <v>48</v>
      </c>
      <c r="D49" s="27">
        <f>D40</f>
        <v>0.3</v>
      </c>
    </row>
    <row r="50" ht="15.75" customHeight="1">
      <c r="C50" s="3" t="s">
        <v>49</v>
      </c>
      <c r="D50" s="16">
        <f>D48*(1+D49)</f>
        <v>99.957</v>
      </c>
    </row>
    <row r="51" ht="15.75" customHeight="1">
      <c r="C51" s="3" t="s">
        <v>28</v>
      </c>
      <c r="D51" s="17">
        <f>D47*D50</f>
        <v>17532.4578</v>
      </c>
    </row>
    <row r="52" ht="15.75" customHeight="1">
      <c r="C52" s="3" t="s">
        <v>33</v>
      </c>
      <c r="D52" s="17">
        <f>D36</f>
        <v>3495</v>
      </c>
    </row>
    <row r="53" ht="15.75" customHeight="1">
      <c r="C53" s="3" t="s">
        <v>50</v>
      </c>
      <c r="D53" s="17">
        <f>D51+D52</f>
        <v>21027.4578</v>
      </c>
    </row>
    <row r="54" ht="15.75" customHeight="1">
      <c r="C54" s="28" t="s">
        <v>51</v>
      </c>
      <c r="D54" s="29">
        <f>D53*D41</f>
        <v>16821.96624</v>
      </c>
    </row>
    <row r="55" ht="15.75" customHeight="1">
      <c r="C55" s="3" t="s">
        <v>39</v>
      </c>
      <c r="D55" s="20">
        <f>D53/D42</f>
        <v>8.109316545</v>
      </c>
    </row>
    <row r="56" ht="15.75" customHeight="1">
      <c r="C56" s="3" t="s">
        <v>40</v>
      </c>
      <c r="D56" s="21">
        <f>D51/D7</f>
        <v>11.5042374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9.86"/>
    <col customWidth="1" min="3" max="3" width="15.86"/>
    <col customWidth="1" min="4" max="27" width="8.71"/>
  </cols>
  <sheetData>
    <row r="1">
      <c r="A1" s="2"/>
      <c r="B1" s="2"/>
      <c r="C1" s="2"/>
    </row>
    <row r="2">
      <c r="A2" s="2"/>
      <c r="B2" s="4" t="s">
        <v>52</v>
      </c>
      <c r="C2" s="4" t="s">
        <v>53</v>
      </c>
    </row>
    <row r="3">
      <c r="A3" s="11"/>
      <c r="B3" s="11" t="s">
        <v>54</v>
      </c>
      <c r="C3" s="30">
        <f>'Assumptions S1'!D9</f>
        <v>16821.96624</v>
      </c>
    </row>
    <row r="4">
      <c r="A4" s="11"/>
      <c r="B4" s="11" t="s">
        <v>55</v>
      </c>
      <c r="C4" s="31">
        <f>'Assumptions S1'!D10</f>
        <v>150</v>
      </c>
    </row>
    <row r="5">
      <c r="A5" s="11"/>
      <c r="B5" s="2" t="s">
        <v>56</v>
      </c>
      <c r="C5" s="32">
        <f>SUM(C3:C4)</f>
        <v>16971.96624</v>
      </c>
    </row>
    <row r="7">
      <c r="A7" s="2"/>
      <c r="B7" s="4" t="s">
        <v>57</v>
      </c>
      <c r="C7" s="4" t="s">
        <v>53</v>
      </c>
    </row>
    <row r="8">
      <c r="A8" s="11"/>
      <c r="B8" s="11" t="s">
        <v>29</v>
      </c>
      <c r="C8" s="31">
        <f>'Assumptions S1'!D11 * C5</f>
        <v>0</v>
      </c>
    </row>
    <row r="9">
      <c r="A9" s="11"/>
      <c r="B9" s="11" t="s">
        <v>31</v>
      </c>
      <c r="C9" s="30">
        <f>'Assumptions S1'!D13 * C5</f>
        <v>16971.96624</v>
      </c>
    </row>
    <row r="10">
      <c r="A10" s="11"/>
      <c r="B10" s="11" t="s">
        <v>58</v>
      </c>
      <c r="C10" s="31">
        <f>'Assumptions S1'!D12 * C5</f>
        <v>0</v>
      </c>
    </row>
    <row r="11">
      <c r="A11" s="11"/>
      <c r="B11" s="2" t="s">
        <v>59</v>
      </c>
      <c r="C11" s="33">
        <f>SUM(C8:C10)</f>
        <v>16971.96624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25.86"/>
    <col customWidth="1" min="3" max="3" width="14.29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tr">
        <f>'Assumptions S1'!C5</f>
        <v>3M Net Income (MM)</v>
      </c>
      <c r="C3" s="30">
        <f>'Assumptions S1'!D5</f>
        <v>3401</v>
      </c>
    </row>
    <row r="4">
      <c r="A4" s="11"/>
      <c r="B4" s="11" t="str">
        <f>'Assumptions S1'!C7</f>
        <v>Solventum Net Income (MM)</v>
      </c>
      <c r="C4" s="30">
        <f>'Assumptions S1'!D7</f>
        <v>1524</v>
      </c>
    </row>
    <row r="5">
      <c r="A5" s="11"/>
      <c r="B5" s="11" t="s">
        <v>61</v>
      </c>
      <c r="C5" s="30">
        <f>'Assumptions S1'!D8 * (1 - 'Assumptions S1'!D6)</f>
        <v>241.2</v>
      </c>
    </row>
    <row r="6">
      <c r="A6" s="11"/>
      <c r="B6" s="11" t="s">
        <v>62</v>
      </c>
      <c r="C6" s="30">
        <f>'Sources and Uses S1'!C9 * 'Assumptions S1'!D14 * (1 - 'Assumptions S1'!D6)</f>
        <v>1023.409564</v>
      </c>
    </row>
    <row r="7">
      <c r="A7" s="2"/>
      <c r="B7" s="2" t="s">
        <v>63</v>
      </c>
      <c r="C7" s="32">
        <f>C3+C4+C5-C6</f>
        <v>4142.790436</v>
      </c>
    </row>
    <row r="9">
      <c r="B9" s="4" t="s">
        <v>60</v>
      </c>
      <c r="C9" s="4" t="s">
        <v>53</v>
      </c>
    </row>
    <row r="10">
      <c r="B10" s="5" t="s">
        <v>64</v>
      </c>
      <c r="C10" s="30">
        <f>'Assumptions S1'!D25</f>
        <v>6390</v>
      </c>
    </row>
    <row r="11">
      <c r="B11" s="5" t="s">
        <v>65</v>
      </c>
      <c r="C11" s="30">
        <f>'Assumptions S1'!D42</f>
        <v>2593</v>
      </c>
    </row>
    <row r="12">
      <c r="B12" s="34" t="s">
        <v>66</v>
      </c>
      <c r="C12" s="32">
        <f>C10+C11</f>
        <v>8983</v>
      </c>
    </row>
    <row r="13">
      <c r="B13" s="11"/>
      <c r="C13" s="30"/>
    </row>
    <row r="14">
      <c r="B14" s="34" t="s">
        <v>67</v>
      </c>
      <c r="C14" s="35">
        <v>3.5</v>
      </c>
    </row>
    <row r="15">
      <c r="B15" s="1" t="s">
        <v>68</v>
      </c>
      <c r="C15" s="36">
        <f>C12*C14</f>
        <v>31440.5</v>
      </c>
    </row>
    <row r="16">
      <c r="B16" s="3" t="s">
        <v>69</v>
      </c>
      <c r="C16" s="17">
        <f>'Assumptions S1'!D54</f>
        <v>16821.96624</v>
      </c>
    </row>
    <row r="17">
      <c r="B17" s="1" t="s">
        <v>70</v>
      </c>
      <c r="C17" s="36">
        <f>C15-'Assumptions S1'!D22</f>
        <v>18837.5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7.29"/>
    <col customWidth="1" min="3" max="3" width="19.71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">
        <v>71</v>
      </c>
      <c r="C3" s="30">
        <f>'Sources and Uses S1'!C10 / 'Assumptions S1'!D3</f>
        <v>0</v>
      </c>
    </row>
    <row r="4">
      <c r="A4" s="2"/>
      <c r="B4" s="2" t="s">
        <v>72</v>
      </c>
      <c r="C4" s="32">
        <f>'Assumptions S1'!D4 + C3</f>
        <v>534.1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5.29"/>
    <col customWidth="1" min="3" max="3" width="19.29"/>
    <col customWidth="1" min="4" max="27" width="8.71"/>
  </cols>
  <sheetData>
    <row r="1">
      <c r="A1" s="11"/>
      <c r="B1" s="11"/>
      <c r="C1" s="11"/>
    </row>
    <row r="2">
      <c r="A2" s="11"/>
      <c r="B2" s="4" t="s">
        <v>60</v>
      </c>
      <c r="C2" s="4" t="s">
        <v>53</v>
      </c>
    </row>
    <row r="3">
      <c r="A3" s="11"/>
      <c r="B3" s="11" t="s">
        <v>73</v>
      </c>
      <c r="C3" s="31">
        <f>'PF Net Income and Leverage S1'!C7 / 'Shares S1'!C4</f>
        <v>7.75658198</v>
      </c>
    </row>
    <row r="4">
      <c r="A4" s="5"/>
      <c r="B4" s="5" t="s">
        <v>74</v>
      </c>
      <c r="C4" s="31">
        <f>'Assumptions S1'!D5 / 'Assumptions S1'!D4</f>
        <v>6.3677214</v>
      </c>
    </row>
    <row r="5">
      <c r="A5" s="11"/>
      <c r="B5" s="2" t="s">
        <v>75</v>
      </c>
      <c r="C5" s="37">
        <f>(C3 - C4) / C4</f>
        <v>0.2181095077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B2" s="1" t="s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1.0"/>
    <col customWidth="1" min="3" max="3" width="30.43"/>
    <col customWidth="1" min="4" max="4" width="19.43"/>
    <col customWidth="1" min="5" max="5" width="8.71"/>
    <col customWidth="1" min="6" max="6" width="18.14"/>
    <col customWidth="1" min="7" max="27" width="8.71"/>
  </cols>
  <sheetData>
    <row r="1">
      <c r="A1" s="2"/>
      <c r="B1" s="2"/>
      <c r="C1" s="2"/>
      <c r="D1" s="2"/>
      <c r="AA1" s="3" t="s">
        <v>1</v>
      </c>
    </row>
    <row r="2">
      <c r="A2" s="2"/>
      <c r="B2" s="4" t="s">
        <v>2</v>
      </c>
      <c r="C2" s="4" t="s">
        <v>3</v>
      </c>
      <c r="D2" s="4" t="s">
        <v>4</v>
      </c>
    </row>
    <row r="3">
      <c r="A3" s="5"/>
      <c r="B3" s="5" t="s">
        <v>5</v>
      </c>
      <c r="C3" s="5" t="s">
        <v>6</v>
      </c>
      <c r="D3" s="6">
        <f>'MMM Share Price'!F4</f>
        <v>165.79</v>
      </c>
      <c r="F3" s="7"/>
    </row>
    <row r="4">
      <c r="A4" s="5"/>
      <c r="B4" s="5" t="s">
        <v>5</v>
      </c>
      <c r="C4" s="5" t="s">
        <v>7</v>
      </c>
      <c r="D4" s="8">
        <v>534.1</v>
      </c>
      <c r="F4" s="3" t="s">
        <v>8</v>
      </c>
    </row>
    <row r="5">
      <c r="A5" s="5"/>
      <c r="B5" s="5" t="s">
        <v>5</v>
      </c>
      <c r="C5" s="5" t="s">
        <v>9</v>
      </c>
      <c r="D5" s="9">
        <f>2673+728</f>
        <v>3401</v>
      </c>
      <c r="F5" s="3" t="s">
        <v>10</v>
      </c>
    </row>
    <row r="6">
      <c r="A6" s="5"/>
      <c r="B6" s="5" t="s">
        <v>5</v>
      </c>
      <c r="C6" s="5" t="s">
        <v>11</v>
      </c>
      <c r="D6" s="10">
        <v>0.196</v>
      </c>
      <c r="F6" s="3" t="s">
        <v>12</v>
      </c>
    </row>
    <row r="7">
      <c r="A7" s="5"/>
      <c r="B7" s="5" t="s">
        <v>13</v>
      </c>
      <c r="C7" s="5" t="s">
        <v>14</v>
      </c>
      <c r="D7" s="8">
        <v>1524.0</v>
      </c>
      <c r="F7" s="3" t="s">
        <v>10</v>
      </c>
    </row>
    <row r="8">
      <c r="A8" s="11"/>
      <c r="B8" s="11" t="s">
        <v>15</v>
      </c>
      <c r="C8" s="11" t="s">
        <v>16</v>
      </c>
      <c r="D8" s="8">
        <v>300.0</v>
      </c>
      <c r="F8" s="3" t="s">
        <v>17</v>
      </c>
    </row>
    <row r="9">
      <c r="A9" s="11"/>
      <c r="B9" s="11" t="s">
        <v>15</v>
      </c>
      <c r="C9" s="11" t="s">
        <v>18</v>
      </c>
      <c r="D9" s="12">
        <f>D54</f>
        <v>16821.96624</v>
      </c>
    </row>
    <row r="10">
      <c r="A10" s="11"/>
      <c r="B10" s="11" t="s">
        <v>15</v>
      </c>
      <c r="C10" s="11" t="s">
        <v>19</v>
      </c>
      <c r="D10" s="8">
        <v>150.0</v>
      </c>
    </row>
    <row r="11">
      <c r="A11" s="11"/>
      <c r="B11" s="11" t="s">
        <v>15</v>
      </c>
      <c r="C11" s="11" t="s">
        <v>20</v>
      </c>
      <c r="D11" s="10">
        <v>0.0</v>
      </c>
    </row>
    <row r="12">
      <c r="A12" s="11"/>
      <c r="B12" s="11" t="s">
        <v>15</v>
      </c>
      <c r="C12" s="11" t="s">
        <v>21</v>
      </c>
      <c r="D12" s="10">
        <v>0.0</v>
      </c>
    </row>
    <row r="13">
      <c r="A13" s="11"/>
      <c r="B13" s="11" t="s">
        <v>15</v>
      </c>
      <c r="C13" s="11" t="s">
        <v>22</v>
      </c>
      <c r="D13" s="10">
        <v>1.0</v>
      </c>
    </row>
    <row r="14">
      <c r="A14" s="11"/>
      <c r="B14" s="11" t="s">
        <v>23</v>
      </c>
      <c r="C14" s="11" t="s">
        <v>24</v>
      </c>
      <c r="D14" s="10">
        <v>0.075</v>
      </c>
    </row>
    <row r="17">
      <c r="B17" s="13" t="s">
        <v>25</v>
      </c>
      <c r="C17" s="14"/>
      <c r="D17" s="14"/>
    </row>
    <row r="18">
      <c r="C18" s="3" t="s">
        <v>26</v>
      </c>
      <c r="D18" s="15">
        <f>D4</f>
        <v>534.1</v>
      </c>
    </row>
    <row r="19">
      <c r="C19" s="3" t="s">
        <v>27</v>
      </c>
      <c r="D19" s="16">
        <f>D3</f>
        <v>165.79</v>
      </c>
    </row>
    <row r="20">
      <c r="C20" s="3" t="s">
        <v>28</v>
      </c>
      <c r="D20" s="17">
        <f>D18*D19</f>
        <v>88548.439</v>
      </c>
    </row>
    <row r="21">
      <c r="C21" s="3" t="s">
        <v>29</v>
      </c>
      <c r="D21" s="18">
        <v>4671.0</v>
      </c>
      <c r="F21" s="3" t="s">
        <v>30</v>
      </c>
    </row>
    <row r="22" ht="15.75" customHeight="1">
      <c r="C22" s="3" t="s">
        <v>31</v>
      </c>
      <c r="D22" s="18">
        <f>749+11854</f>
        <v>12603</v>
      </c>
      <c r="F22" s="3" t="s">
        <v>32</v>
      </c>
    </row>
    <row r="23" ht="15.75" customHeight="1">
      <c r="C23" s="3" t="s">
        <v>33</v>
      </c>
      <c r="D23" s="17">
        <f>D22-D21</f>
        <v>7932</v>
      </c>
    </row>
    <row r="24" ht="15.75" customHeight="1">
      <c r="C24" s="3" t="s">
        <v>34</v>
      </c>
      <c r="D24" s="17">
        <f>D23+D20</f>
        <v>96480.439</v>
      </c>
      <c r="F24" s="3" t="s">
        <v>35</v>
      </c>
    </row>
    <row r="25" ht="15.75" customHeight="1">
      <c r="C25" s="3" t="s">
        <v>36</v>
      </c>
      <c r="D25" s="19">
        <v>6390.0</v>
      </c>
      <c r="F25" s="3" t="s">
        <v>37</v>
      </c>
    </row>
    <row r="26" ht="15.75" customHeight="1">
      <c r="C26" s="3" t="s">
        <v>38</v>
      </c>
      <c r="D26" s="20">
        <f>D22/D25</f>
        <v>1.972300469</v>
      </c>
    </row>
    <row r="27" ht="15.75" customHeight="1">
      <c r="C27" s="3" t="s">
        <v>39</v>
      </c>
      <c r="D27" s="20">
        <f>D24/D25</f>
        <v>15.09866025</v>
      </c>
    </row>
    <row r="28" ht="15.75" customHeight="1">
      <c r="C28" s="3" t="s">
        <v>40</v>
      </c>
      <c r="D28" s="21">
        <f>D20/D5</f>
        <v>26.03600088</v>
      </c>
    </row>
    <row r="29" ht="15.75" customHeight="1"/>
    <row r="30" ht="15.75" customHeight="1">
      <c r="B30" s="13" t="s">
        <v>41</v>
      </c>
      <c r="C30" s="14"/>
      <c r="D30" s="14"/>
    </row>
    <row r="31" ht="15.75" customHeight="1">
      <c r="C31" s="3" t="s">
        <v>26</v>
      </c>
      <c r="D31" s="15">
        <v>175.4</v>
      </c>
      <c r="F31" s="3" t="s">
        <v>42</v>
      </c>
    </row>
    <row r="32" ht="15.75" customHeight="1">
      <c r="C32" s="3" t="s">
        <v>27</v>
      </c>
      <c r="D32" s="16">
        <f>'SOLV Share Price'!F4</f>
        <v>76.89</v>
      </c>
    </row>
    <row r="33" ht="15.75" customHeight="1">
      <c r="C33" s="3" t="s">
        <v>28</v>
      </c>
      <c r="D33" s="17">
        <f>D31*D32</f>
        <v>13486.506</v>
      </c>
    </row>
    <row r="34" ht="15.75" customHeight="1">
      <c r="C34" s="3" t="s">
        <v>29</v>
      </c>
      <c r="D34" s="18">
        <v>1642.0</v>
      </c>
    </row>
    <row r="35" ht="15.75" customHeight="1">
      <c r="C35" s="3" t="s">
        <v>31</v>
      </c>
      <c r="D35" s="19">
        <v>5137.0</v>
      </c>
    </row>
    <row r="36" ht="15.75" customHeight="1">
      <c r="C36" s="3" t="s">
        <v>33</v>
      </c>
      <c r="D36" s="17">
        <f>D35-D34</f>
        <v>3495</v>
      </c>
    </row>
    <row r="37" ht="15.75" customHeight="1">
      <c r="C37" s="3" t="s">
        <v>34</v>
      </c>
      <c r="D37" s="17">
        <f>D36+D33</f>
        <v>16981.506</v>
      </c>
    </row>
    <row r="38" ht="15.75" customHeight="1">
      <c r="C38" s="3" t="s">
        <v>43</v>
      </c>
      <c r="D38" s="22">
        <v>85.92</v>
      </c>
    </row>
    <row r="39" ht="15.75" customHeight="1">
      <c r="C39" s="3" t="s">
        <v>44</v>
      </c>
      <c r="D39" s="23">
        <v>60.7</v>
      </c>
    </row>
    <row r="40" ht="15.75" customHeight="1">
      <c r="C40" s="3" t="s">
        <v>45</v>
      </c>
      <c r="D40" s="24">
        <v>0.3</v>
      </c>
    </row>
    <row r="41" ht="15.75" customHeight="1">
      <c r="C41" s="3" t="s">
        <v>46</v>
      </c>
      <c r="D41" s="10">
        <v>0.8</v>
      </c>
    </row>
    <row r="42" ht="15.75" customHeight="1">
      <c r="C42" s="3" t="s">
        <v>36</v>
      </c>
      <c r="D42" s="19">
        <v>2593.0</v>
      </c>
      <c r="F42" s="3" t="s">
        <v>37</v>
      </c>
    </row>
    <row r="43" ht="15.75" customHeight="1">
      <c r="C43" s="3" t="s">
        <v>38</v>
      </c>
      <c r="D43" s="20">
        <f>D35/D42</f>
        <v>1.98110297</v>
      </c>
    </row>
    <row r="44" ht="15.75" customHeight="1">
      <c r="C44" s="3" t="s">
        <v>39</v>
      </c>
      <c r="D44" s="20">
        <f>D37/D42</f>
        <v>6.548980332</v>
      </c>
    </row>
    <row r="45" ht="15.75" customHeight="1">
      <c r="B45" s="1"/>
      <c r="C45" s="25"/>
      <c r="D45" s="25"/>
    </row>
    <row r="46" ht="15.75" customHeight="1">
      <c r="B46" s="13" t="s">
        <v>47</v>
      </c>
      <c r="C46" s="14"/>
      <c r="D46" s="14"/>
    </row>
    <row r="47" ht="15.75" customHeight="1">
      <c r="C47" s="26" t="str">
        <f t="shared" ref="C47:D47" si="1">C31</f>
        <v>Shares Outstanding</v>
      </c>
      <c r="D47" s="15">
        <f t="shared" si="1"/>
        <v>175.4</v>
      </c>
    </row>
    <row r="48" ht="15.75" customHeight="1">
      <c r="C48" s="26" t="str">
        <f t="shared" ref="C48:D48" si="2">C32</f>
        <v>Share Price</v>
      </c>
      <c r="D48" s="16">
        <f t="shared" si="2"/>
        <v>76.89</v>
      </c>
    </row>
    <row r="49" ht="15.75" customHeight="1">
      <c r="C49" s="3" t="s">
        <v>48</v>
      </c>
      <c r="D49" s="27">
        <f>D40</f>
        <v>0.3</v>
      </c>
    </row>
    <row r="50" ht="15.75" customHeight="1">
      <c r="C50" s="3" t="s">
        <v>49</v>
      </c>
      <c r="D50" s="16">
        <f>D48*(1+D49)</f>
        <v>99.957</v>
      </c>
    </row>
    <row r="51" ht="15.75" customHeight="1">
      <c r="C51" s="3" t="s">
        <v>28</v>
      </c>
      <c r="D51" s="17">
        <f>D47*D50</f>
        <v>17532.4578</v>
      </c>
    </row>
    <row r="52" ht="15.75" customHeight="1">
      <c r="C52" s="3" t="s">
        <v>33</v>
      </c>
      <c r="D52" s="17">
        <f>D36</f>
        <v>3495</v>
      </c>
    </row>
    <row r="53" ht="15.75" customHeight="1">
      <c r="C53" s="3" t="s">
        <v>50</v>
      </c>
      <c r="D53" s="17">
        <f>D51+D52</f>
        <v>21027.4578</v>
      </c>
    </row>
    <row r="54" ht="15.75" customHeight="1">
      <c r="C54" s="28" t="s">
        <v>51</v>
      </c>
      <c r="D54" s="29">
        <f>D53*D41</f>
        <v>16821.96624</v>
      </c>
    </row>
    <row r="55" ht="15.75" customHeight="1">
      <c r="C55" s="3" t="s">
        <v>39</v>
      </c>
      <c r="D55" s="20">
        <f>D53/D42</f>
        <v>8.109316545</v>
      </c>
    </row>
    <row r="56" ht="15.75" customHeight="1">
      <c r="C56" s="3" t="s">
        <v>40</v>
      </c>
      <c r="D56" s="21">
        <f>D51/D7</f>
        <v>11.5042374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9.86"/>
    <col customWidth="1" min="3" max="3" width="15.86"/>
    <col customWidth="1" min="4" max="27" width="8.71"/>
  </cols>
  <sheetData>
    <row r="1">
      <c r="A1" s="2"/>
      <c r="B1" s="2"/>
      <c r="C1" s="2"/>
    </row>
    <row r="2">
      <c r="A2" s="2"/>
      <c r="B2" s="4" t="s">
        <v>52</v>
      </c>
      <c r="C2" s="4" t="s">
        <v>53</v>
      </c>
    </row>
    <row r="3">
      <c r="A3" s="11"/>
      <c r="B3" s="11" t="s">
        <v>54</v>
      </c>
      <c r="C3" s="30">
        <f>'Assumptions S1'!D9</f>
        <v>16821.96624</v>
      </c>
    </row>
    <row r="4">
      <c r="A4" s="11"/>
      <c r="B4" s="11" t="s">
        <v>55</v>
      </c>
      <c r="C4" s="31">
        <f>'Assumptions S1'!D10</f>
        <v>150</v>
      </c>
    </row>
    <row r="5">
      <c r="A5" s="11"/>
      <c r="B5" s="2" t="s">
        <v>56</v>
      </c>
      <c r="C5" s="32">
        <f>SUM(C3:C4)</f>
        <v>16971.96624</v>
      </c>
    </row>
    <row r="7">
      <c r="A7" s="2"/>
      <c r="B7" s="4" t="s">
        <v>57</v>
      </c>
      <c r="C7" s="4" t="s">
        <v>53</v>
      </c>
    </row>
    <row r="8">
      <c r="A8" s="11"/>
      <c r="B8" s="11" t="s">
        <v>29</v>
      </c>
      <c r="C8" s="31">
        <f>'Assumptions S1'!D11 * C5</f>
        <v>0</v>
      </c>
    </row>
    <row r="9">
      <c r="A9" s="11"/>
      <c r="B9" s="11" t="s">
        <v>31</v>
      </c>
      <c r="C9" s="30">
        <f>'Assumptions S1'!D13 * C5</f>
        <v>16971.96624</v>
      </c>
    </row>
    <row r="10">
      <c r="A10" s="11"/>
      <c r="B10" s="11" t="s">
        <v>58</v>
      </c>
      <c r="C10" s="31">
        <f>'Assumptions S1'!D12 * C5</f>
        <v>0</v>
      </c>
    </row>
    <row r="11">
      <c r="A11" s="11"/>
      <c r="B11" s="2" t="s">
        <v>59</v>
      </c>
      <c r="C11" s="33">
        <f>SUM(C8:C10)</f>
        <v>16971.96624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25.86"/>
    <col customWidth="1" min="3" max="3" width="14.29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tr">
        <f>'Assumptions S1'!C5</f>
        <v>3M Net Income (MM)</v>
      </c>
      <c r="C3" s="30">
        <f>'Assumptions S1'!D5</f>
        <v>3401</v>
      </c>
    </row>
    <row r="4">
      <c r="A4" s="11"/>
      <c r="B4" s="11" t="str">
        <f>'Assumptions S1'!C7</f>
        <v>Solventum Net Income (MM)</v>
      </c>
      <c r="C4" s="30">
        <f>'Assumptions S1'!D7</f>
        <v>1524</v>
      </c>
    </row>
    <row r="5">
      <c r="A5" s="11"/>
      <c r="B5" s="11" t="s">
        <v>61</v>
      </c>
      <c r="C5" s="30">
        <f>'Assumptions S1'!D8 * (1 - 'Assumptions S1'!D6)</f>
        <v>241.2</v>
      </c>
    </row>
    <row r="6">
      <c r="A6" s="11"/>
      <c r="B6" s="11" t="s">
        <v>62</v>
      </c>
      <c r="C6" s="30">
        <f>'Sources and Uses S1'!C9 * 'Assumptions S1'!D14 * (1 - 'Assumptions S1'!D6)</f>
        <v>1023.409564</v>
      </c>
    </row>
    <row r="7">
      <c r="A7" s="2"/>
      <c r="B7" s="2" t="s">
        <v>63</v>
      </c>
      <c r="C7" s="32">
        <f>C3+C4+C5-C6</f>
        <v>4142.790436</v>
      </c>
    </row>
    <row r="9">
      <c r="B9" s="4" t="s">
        <v>60</v>
      </c>
      <c r="C9" s="4" t="s">
        <v>53</v>
      </c>
    </row>
    <row r="10">
      <c r="B10" s="5" t="s">
        <v>64</v>
      </c>
      <c r="C10" s="30">
        <f>'Assumptions S1'!D25</f>
        <v>6390</v>
      </c>
    </row>
    <row r="11">
      <c r="B11" s="5" t="s">
        <v>65</v>
      </c>
      <c r="C11" s="30">
        <f>'Assumptions S1'!D42</f>
        <v>2593</v>
      </c>
    </row>
    <row r="12">
      <c r="B12" s="34" t="s">
        <v>66</v>
      </c>
      <c r="C12" s="32">
        <f>C10+C11</f>
        <v>8983</v>
      </c>
    </row>
    <row r="13">
      <c r="B13" s="11"/>
      <c r="C13" s="30"/>
    </row>
    <row r="14">
      <c r="B14" s="34" t="s">
        <v>67</v>
      </c>
      <c r="C14" s="35">
        <v>3.5</v>
      </c>
    </row>
    <row r="15">
      <c r="B15" s="1" t="s">
        <v>68</v>
      </c>
      <c r="C15" s="36">
        <f>C12*C14</f>
        <v>31440.5</v>
      </c>
    </row>
    <row r="16">
      <c r="B16" s="3" t="s">
        <v>69</v>
      </c>
      <c r="C16" s="17">
        <f>'Assumptions S1'!D54</f>
        <v>16821.96624</v>
      </c>
    </row>
    <row r="17">
      <c r="B17" s="1" t="s">
        <v>70</v>
      </c>
      <c r="C17" s="36">
        <f>C15-'Assumptions S1'!D22</f>
        <v>18837.5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7.29"/>
    <col customWidth="1" min="3" max="3" width="19.71"/>
    <col customWidth="1" min="4" max="27" width="8.71"/>
  </cols>
  <sheetData>
    <row r="1">
      <c r="A1" s="2"/>
      <c r="B1" s="2"/>
      <c r="C1" s="2"/>
    </row>
    <row r="2">
      <c r="A2" s="2"/>
      <c r="B2" s="4" t="s">
        <v>60</v>
      </c>
      <c r="C2" s="4" t="s">
        <v>53</v>
      </c>
    </row>
    <row r="3">
      <c r="A3" s="11"/>
      <c r="B3" s="11" t="s">
        <v>71</v>
      </c>
      <c r="C3" s="30">
        <f>'Sources and Uses S1'!C10 / 'Assumptions S1'!D3</f>
        <v>0</v>
      </c>
    </row>
    <row r="4">
      <c r="A4" s="2"/>
      <c r="B4" s="2" t="s">
        <v>72</v>
      </c>
      <c r="C4" s="32">
        <f>'Assumptions S1'!D4 + C3</f>
        <v>534.1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5.29"/>
    <col customWidth="1" min="3" max="3" width="19.29"/>
    <col customWidth="1" min="4" max="27" width="8.71"/>
  </cols>
  <sheetData>
    <row r="1">
      <c r="A1" s="11"/>
      <c r="B1" s="11"/>
      <c r="C1" s="11"/>
    </row>
    <row r="2">
      <c r="A2" s="11"/>
      <c r="B2" s="4" t="s">
        <v>60</v>
      </c>
      <c r="C2" s="4" t="s">
        <v>53</v>
      </c>
    </row>
    <row r="3">
      <c r="A3" s="11"/>
      <c r="B3" s="11" t="s">
        <v>73</v>
      </c>
      <c r="C3" s="31">
        <f>'PF Net Income and Leverage S1'!C7 / 'Shares S1'!C4</f>
        <v>7.75658198</v>
      </c>
    </row>
    <row r="4">
      <c r="A4" s="5"/>
      <c r="B4" s="5" t="s">
        <v>74</v>
      </c>
      <c r="C4" s="31">
        <f>'Assumptions S1'!D5 / 'Assumptions S1'!D4</f>
        <v>6.3677214</v>
      </c>
    </row>
    <row r="5">
      <c r="A5" s="11"/>
      <c r="B5" s="2" t="s">
        <v>75</v>
      </c>
      <c r="C5" s="37">
        <f>(C3 - C4) / C4</f>
        <v>0.2181095077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B2" s="1" t="s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</row>
    <row r="3">
      <c r="B3" s="38">
        <v>45980.0</v>
      </c>
      <c r="C3" s="3">
        <v>76.82</v>
      </c>
      <c r="D3" s="3">
        <v>77.82</v>
      </c>
      <c r="E3" s="3">
        <v>76.6</v>
      </c>
      <c r="F3" s="3">
        <v>77.37</v>
      </c>
      <c r="G3" s="3">
        <v>77.37</v>
      </c>
      <c r="H3" s="39">
        <v>149413.0</v>
      </c>
    </row>
    <row r="4">
      <c r="B4" s="38">
        <v>45979.0</v>
      </c>
      <c r="C4" s="3">
        <v>75.79</v>
      </c>
      <c r="D4" s="3">
        <v>77.25</v>
      </c>
      <c r="E4" s="3">
        <v>75.25</v>
      </c>
      <c r="F4" s="3">
        <v>76.89</v>
      </c>
      <c r="G4" s="3">
        <v>76.89</v>
      </c>
      <c r="H4" s="39">
        <v>1355900.0</v>
      </c>
    </row>
    <row r="5">
      <c r="B5" s="38">
        <v>45978.0</v>
      </c>
      <c r="C5" s="3">
        <v>75.23</v>
      </c>
      <c r="D5" s="3">
        <v>76.49</v>
      </c>
      <c r="E5" s="3">
        <v>75.0</v>
      </c>
      <c r="F5" s="3">
        <v>76.19</v>
      </c>
      <c r="G5" s="3">
        <v>76.19</v>
      </c>
      <c r="H5" s="39">
        <v>1248500.0</v>
      </c>
    </row>
    <row r="6">
      <c r="B6" s="38">
        <v>45975.0</v>
      </c>
      <c r="C6" s="3">
        <v>75.07</v>
      </c>
      <c r="D6" s="3">
        <v>76.17</v>
      </c>
      <c r="E6" s="3">
        <v>74.68</v>
      </c>
      <c r="F6" s="3">
        <v>75.66</v>
      </c>
      <c r="G6" s="3">
        <v>75.66</v>
      </c>
      <c r="H6" s="39">
        <v>1053800.0</v>
      </c>
    </row>
    <row r="7">
      <c r="B7" s="38">
        <v>45974.0</v>
      </c>
      <c r="C7" s="3">
        <v>73.51</v>
      </c>
      <c r="D7" s="3">
        <v>75.98</v>
      </c>
      <c r="E7" s="3">
        <v>73.05</v>
      </c>
      <c r="F7" s="3">
        <v>75.22</v>
      </c>
      <c r="G7" s="3">
        <v>75.22</v>
      </c>
      <c r="H7" s="39">
        <v>1341100.0</v>
      </c>
    </row>
    <row r="8">
      <c r="B8" s="38">
        <v>45973.0</v>
      </c>
      <c r="C8" s="3">
        <v>73.91</v>
      </c>
      <c r="D8" s="3">
        <v>74.71</v>
      </c>
      <c r="E8" s="3">
        <v>73.39</v>
      </c>
      <c r="F8" s="3">
        <v>73.83</v>
      </c>
      <c r="G8" s="3">
        <v>73.83</v>
      </c>
      <c r="H8" s="39">
        <v>1003200.0</v>
      </c>
    </row>
    <row r="9">
      <c r="B9" s="38">
        <v>45972.0</v>
      </c>
      <c r="C9" s="3">
        <v>72.33</v>
      </c>
      <c r="D9" s="3">
        <v>73.92</v>
      </c>
      <c r="E9" s="3">
        <v>72.21</v>
      </c>
      <c r="F9" s="3">
        <v>73.88</v>
      </c>
      <c r="G9" s="3">
        <v>73.88</v>
      </c>
      <c r="H9" s="39">
        <v>919100.0</v>
      </c>
    </row>
    <row r="10">
      <c r="B10" s="38">
        <v>45971.0</v>
      </c>
      <c r="C10" s="3">
        <v>71.25</v>
      </c>
      <c r="D10" s="3">
        <v>72.24</v>
      </c>
      <c r="E10" s="3">
        <v>70.06</v>
      </c>
      <c r="F10" s="3">
        <v>71.79</v>
      </c>
      <c r="G10" s="3">
        <v>71.79</v>
      </c>
      <c r="H10" s="39">
        <v>1203600.0</v>
      </c>
    </row>
    <row r="11">
      <c r="B11" s="38">
        <v>45968.0</v>
      </c>
      <c r="C11" s="3">
        <v>68.62</v>
      </c>
      <c r="D11" s="3">
        <v>71.58</v>
      </c>
      <c r="E11" s="3">
        <v>66.8</v>
      </c>
      <c r="F11" s="3">
        <v>71.52</v>
      </c>
      <c r="G11" s="3">
        <v>71.52</v>
      </c>
      <c r="H11" s="39">
        <v>1739200.0</v>
      </c>
    </row>
    <row r="12">
      <c r="B12" s="38">
        <v>45967.0</v>
      </c>
      <c r="C12" s="3">
        <v>67.47</v>
      </c>
      <c r="D12" s="3">
        <v>68.31</v>
      </c>
      <c r="E12" s="3">
        <v>66.11</v>
      </c>
      <c r="F12" s="3">
        <v>66.28</v>
      </c>
      <c r="G12" s="3">
        <v>66.28</v>
      </c>
      <c r="H12" s="39">
        <v>1791800.0</v>
      </c>
    </row>
    <row r="13">
      <c r="B13" s="38">
        <v>45966.0</v>
      </c>
      <c r="C13" s="3">
        <v>68.31</v>
      </c>
      <c r="D13" s="3">
        <v>68.39</v>
      </c>
      <c r="E13" s="3">
        <v>67.1</v>
      </c>
      <c r="F13" s="3">
        <v>67.69</v>
      </c>
      <c r="G13" s="3">
        <v>67.69</v>
      </c>
      <c r="H13" s="39">
        <v>1204900.0</v>
      </c>
    </row>
    <row r="14">
      <c r="B14" s="38">
        <v>45965.0</v>
      </c>
      <c r="C14" s="3">
        <v>68.44</v>
      </c>
      <c r="D14" s="3">
        <v>69.01</v>
      </c>
      <c r="E14" s="3">
        <v>67.98</v>
      </c>
      <c r="F14" s="3">
        <v>68.59</v>
      </c>
      <c r="G14" s="3">
        <v>68.59</v>
      </c>
      <c r="H14" s="39">
        <v>1348800.0</v>
      </c>
    </row>
    <row r="15">
      <c r="B15" s="38">
        <v>45964.0</v>
      </c>
      <c r="C15" s="3">
        <v>68.56</v>
      </c>
      <c r="D15" s="3">
        <v>68.77</v>
      </c>
      <c r="E15" s="3">
        <v>67.42</v>
      </c>
      <c r="F15" s="3">
        <v>68.12</v>
      </c>
      <c r="G15" s="3">
        <v>68.12</v>
      </c>
      <c r="H15" s="39">
        <v>1290100.0</v>
      </c>
    </row>
    <row r="16">
      <c r="B16" s="38">
        <v>45961.0</v>
      </c>
      <c r="C16" s="3">
        <v>68.89</v>
      </c>
      <c r="D16" s="3">
        <v>69.92</v>
      </c>
      <c r="E16" s="3">
        <v>68.04</v>
      </c>
      <c r="F16" s="3">
        <v>69.04</v>
      </c>
      <c r="G16" s="3">
        <v>69.04</v>
      </c>
      <c r="H16" s="39">
        <v>836700.0</v>
      </c>
    </row>
    <row r="17">
      <c r="B17" s="38">
        <v>45960.0</v>
      </c>
      <c r="C17" s="3">
        <v>69.67</v>
      </c>
      <c r="D17" s="3">
        <v>70.68</v>
      </c>
      <c r="E17" s="3">
        <v>69.14</v>
      </c>
      <c r="F17" s="3">
        <v>69.28</v>
      </c>
      <c r="G17" s="3">
        <v>69.28</v>
      </c>
      <c r="H17" s="39">
        <v>569000.0</v>
      </c>
    </row>
    <row r="18">
      <c r="B18" s="38">
        <v>45959.0</v>
      </c>
      <c r="C18" s="3">
        <v>70.64</v>
      </c>
      <c r="D18" s="3">
        <v>70.76</v>
      </c>
      <c r="E18" s="3">
        <v>69.25</v>
      </c>
      <c r="F18" s="3">
        <v>69.78</v>
      </c>
      <c r="G18" s="3">
        <v>69.78</v>
      </c>
      <c r="H18" s="39">
        <v>815800.0</v>
      </c>
    </row>
    <row r="19">
      <c r="B19" s="38">
        <v>45958.0</v>
      </c>
      <c r="C19" s="3">
        <v>71.65</v>
      </c>
      <c r="D19" s="3">
        <v>71.93</v>
      </c>
      <c r="E19" s="3">
        <v>70.82</v>
      </c>
      <c r="F19" s="3">
        <v>70.92</v>
      </c>
      <c r="G19" s="3">
        <v>70.92</v>
      </c>
      <c r="H19" s="39">
        <v>446900.0</v>
      </c>
    </row>
    <row r="20">
      <c r="B20" s="38">
        <v>45957.0</v>
      </c>
      <c r="C20" s="3">
        <v>71.58</v>
      </c>
      <c r="D20" s="3">
        <v>72.21</v>
      </c>
      <c r="E20" s="3">
        <v>71.47</v>
      </c>
      <c r="F20" s="3">
        <v>71.98</v>
      </c>
      <c r="G20" s="3">
        <v>71.98</v>
      </c>
      <c r="H20" s="39">
        <v>729400.0</v>
      </c>
    </row>
    <row r="21">
      <c r="B21" s="38">
        <v>45954.0</v>
      </c>
      <c r="C21" s="3">
        <v>72.84</v>
      </c>
      <c r="D21" s="3">
        <v>72.84</v>
      </c>
      <c r="E21" s="3">
        <v>71.4</v>
      </c>
      <c r="F21" s="3">
        <v>71.44</v>
      </c>
      <c r="G21" s="3">
        <v>71.44</v>
      </c>
      <c r="H21" s="39">
        <v>811800.0</v>
      </c>
    </row>
    <row r="22">
      <c r="B22" s="38">
        <v>45953.0</v>
      </c>
      <c r="C22" s="3">
        <v>72.66</v>
      </c>
      <c r="D22" s="3">
        <v>73.0</v>
      </c>
      <c r="E22" s="3">
        <v>71.48</v>
      </c>
      <c r="F22" s="3">
        <v>72.27</v>
      </c>
      <c r="G22" s="3">
        <v>72.27</v>
      </c>
      <c r="H22" s="39">
        <v>692400.0</v>
      </c>
    </row>
    <row r="23">
      <c r="B23" s="38">
        <v>45952.0</v>
      </c>
      <c r="C23" s="3">
        <v>72.78</v>
      </c>
      <c r="D23" s="3">
        <v>73.71</v>
      </c>
      <c r="E23" s="3">
        <v>72.43</v>
      </c>
      <c r="F23" s="3">
        <v>72.76</v>
      </c>
      <c r="G23" s="3">
        <v>72.76</v>
      </c>
      <c r="H23" s="39">
        <v>650400.0</v>
      </c>
    </row>
    <row r="24">
      <c r="B24" s="38">
        <v>45951.0</v>
      </c>
      <c r="C24" s="3">
        <v>72.73</v>
      </c>
      <c r="D24" s="3">
        <v>73.45</v>
      </c>
      <c r="E24" s="3">
        <v>72.14</v>
      </c>
      <c r="F24" s="3">
        <v>72.91</v>
      </c>
      <c r="G24" s="3">
        <v>72.91</v>
      </c>
      <c r="H24" s="39">
        <v>609400.0</v>
      </c>
    </row>
    <row r="25">
      <c r="B25" s="38">
        <v>45950.0</v>
      </c>
      <c r="C25" s="3">
        <v>72.44</v>
      </c>
      <c r="D25" s="3">
        <v>73.25</v>
      </c>
      <c r="E25" s="3">
        <v>72.15</v>
      </c>
      <c r="F25" s="3">
        <v>72.87</v>
      </c>
      <c r="G25" s="3">
        <v>72.87</v>
      </c>
      <c r="H25" s="39">
        <v>479200.0</v>
      </c>
    </row>
    <row r="26">
      <c r="B26" s="38">
        <v>45947.0</v>
      </c>
      <c r="C26" s="3">
        <v>71.67</v>
      </c>
      <c r="D26" s="3">
        <v>72.29</v>
      </c>
      <c r="E26" s="3">
        <v>71.24</v>
      </c>
      <c r="F26" s="3">
        <v>72.16</v>
      </c>
      <c r="G26" s="3">
        <v>72.16</v>
      </c>
      <c r="H26" s="39">
        <v>587000.0</v>
      </c>
    </row>
    <row r="27">
      <c r="B27" s="38">
        <v>45946.0</v>
      </c>
      <c r="C27" s="3">
        <v>71.62</v>
      </c>
      <c r="D27" s="3">
        <v>71.85</v>
      </c>
      <c r="E27" s="3">
        <v>70.9</v>
      </c>
      <c r="F27" s="3">
        <v>71.44</v>
      </c>
      <c r="G27" s="3">
        <v>71.44</v>
      </c>
      <c r="H27" s="39">
        <v>897300.0</v>
      </c>
    </row>
    <row r="28">
      <c r="B28" s="38">
        <v>45945.0</v>
      </c>
      <c r="C28" s="3">
        <v>71.6</v>
      </c>
      <c r="D28" s="3">
        <v>72.62</v>
      </c>
      <c r="E28" s="3">
        <v>70.86</v>
      </c>
      <c r="F28" s="3">
        <v>71.56</v>
      </c>
      <c r="G28" s="3">
        <v>71.56</v>
      </c>
      <c r="H28" s="39">
        <v>653800.0</v>
      </c>
    </row>
    <row r="29">
      <c r="B29" s="38">
        <v>45944.0</v>
      </c>
      <c r="C29" s="3">
        <v>70.4</v>
      </c>
      <c r="D29" s="3">
        <v>71.61</v>
      </c>
      <c r="E29" s="3">
        <v>70.4</v>
      </c>
      <c r="F29" s="3">
        <v>71.49</v>
      </c>
      <c r="G29" s="3">
        <v>71.49</v>
      </c>
      <c r="H29" s="39">
        <v>954900.0</v>
      </c>
    </row>
    <row r="30">
      <c r="B30" s="38">
        <v>45943.0</v>
      </c>
      <c r="C30" s="3">
        <v>70.98</v>
      </c>
      <c r="D30" s="3">
        <v>71.6</v>
      </c>
      <c r="E30" s="3">
        <v>70.45</v>
      </c>
      <c r="F30" s="3">
        <v>70.88</v>
      </c>
      <c r="G30" s="3">
        <v>70.88</v>
      </c>
      <c r="H30" s="39">
        <v>1678900.0</v>
      </c>
    </row>
    <row r="31">
      <c r="B31" s="38">
        <v>45940.0</v>
      </c>
      <c r="C31" s="3">
        <v>71.84</v>
      </c>
      <c r="D31" s="3">
        <v>72.09</v>
      </c>
      <c r="E31" s="3">
        <v>70.26</v>
      </c>
      <c r="F31" s="3">
        <v>70.52</v>
      </c>
      <c r="G31" s="3">
        <v>70.52</v>
      </c>
      <c r="H31" s="39">
        <v>1256400.0</v>
      </c>
    </row>
    <row r="32">
      <c r="B32" s="38">
        <v>45939.0</v>
      </c>
      <c r="C32" s="3">
        <v>72.22</v>
      </c>
      <c r="D32" s="3">
        <v>72.53</v>
      </c>
      <c r="E32" s="3">
        <v>71.22</v>
      </c>
      <c r="F32" s="3">
        <v>71.8</v>
      </c>
      <c r="G32" s="3">
        <v>71.8</v>
      </c>
      <c r="H32" s="39">
        <v>1019700.0</v>
      </c>
    </row>
    <row r="33">
      <c r="B33" s="38">
        <v>45938.0</v>
      </c>
      <c r="C33" s="3">
        <v>72.0</v>
      </c>
      <c r="D33" s="3">
        <v>73.0</v>
      </c>
      <c r="E33" s="3">
        <v>71.7</v>
      </c>
      <c r="F33" s="3">
        <v>72.43</v>
      </c>
      <c r="G33" s="3">
        <v>72.43</v>
      </c>
      <c r="H33" s="39">
        <v>830400.0</v>
      </c>
    </row>
    <row r="34">
      <c r="B34" s="38">
        <v>45937.0</v>
      </c>
      <c r="C34" s="3">
        <v>73.96</v>
      </c>
      <c r="D34" s="3">
        <v>74.1</v>
      </c>
      <c r="E34" s="3">
        <v>72.05</v>
      </c>
      <c r="F34" s="3">
        <v>72.16</v>
      </c>
      <c r="G34" s="3">
        <v>72.16</v>
      </c>
      <c r="H34" s="39">
        <v>1662200.0</v>
      </c>
    </row>
    <row r="35">
      <c r="B35" s="38">
        <v>45936.0</v>
      </c>
      <c r="C35" s="3">
        <v>74.09</v>
      </c>
      <c r="D35" s="3">
        <v>74.5</v>
      </c>
      <c r="E35" s="3">
        <v>73.31</v>
      </c>
      <c r="F35" s="3">
        <v>73.78</v>
      </c>
      <c r="G35" s="3">
        <v>73.78</v>
      </c>
      <c r="H35" s="39">
        <v>1030000.0</v>
      </c>
    </row>
    <row r="36">
      <c r="B36" s="38">
        <v>45933.0</v>
      </c>
      <c r="C36" s="3">
        <v>75.0</v>
      </c>
      <c r="D36" s="3">
        <v>75.5</v>
      </c>
      <c r="E36" s="3">
        <v>73.95</v>
      </c>
      <c r="F36" s="3">
        <v>74.0</v>
      </c>
      <c r="G36" s="3">
        <v>74.0</v>
      </c>
      <c r="H36" s="39">
        <v>793600.0</v>
      </c>
    </row>
    <row r="37">
      <c r="B37" s="38">
        <v>45932.0</v>
      </c>
      <c r="C37" s="3">
        <v>72.91</v>
      </c>
      <c r="D37" s="3">
        <v>74.63</v>
      </c>
      <c r="E37" s="3">
        <v>72.72</v>
      </c>
      <c r="F37" s="3">
        <v>74.6</v>
      </c>
      <c r="G37" s="3">
        <v>74.6</v>
      </c>
      <c r="H37" s="39">
        <v>886800.0</v>
      </c>
    </row>
    <row r="38">
      <c r="B38" s="38">
        <v>45931.0</v>
      </c>
      <c r="C38" s="3">
        <v>71.87</v>
      </c>
      <c r="D38" s="3">
        <v>73.21</v>
      </c>
      <c r="E38" s="3">
        <v>71.74</v>
      </c>
      <c r="F38" s="3">
        <v>73.04</v>
      </c>
      <c r="G38" s="3">
        <v>73.04</v>
      </c>
      <c r="H38" s="39">
        <v>1399900.0</v>
      </c>
    </row>
    <row r="39">
      <c r="B39" s="38">
        <v>45930.0</v>
      </c>
      <c r="C39" s="3">
        <v>72.21</v>
      </c>
      <c r="D39" s="3">
        <v>73.17</v>
      </c>
      <c r="E39" s="3">
        <v>71.8</v>
      </c>
      <c r="F39" s="3">
        <v>73.0</v>
      </c>
      <c r="G39" s="3">
        <v>73.0</v>
      </c>
      <c r="H39" s="39">
        <v>903100.0</v>
      </c>
    </row>
    <row r="40">
      <c r="B40" s="38">
        <v>45929.0</v>
      </c>
      <c r="C40" s="3">
        <v>71.87</v>
      </c>
      <c r="D40" s="3">
        <v>72.48</v>
      </c>
      <c r="E40" s="3">
        <v>71.09</v>
      </c>
      <c r="F40" s="3">
        <v>72.21</v>
      </c>
      <c r="G40" s="3">
        <v>72.21</v>
      </c>
      <c r="H40" s="39">
        <v>1176200.0</v>
      </c>
    </row>
    <row r="41">
      <c r="B41" s="38">
        <v>45926.0</v>
      </c>
      <c r="C41" s="3">
        <v>70.88</v>
      </c>
      <c r="D41" s="3">
        <v>71.88</v>
      </c>
      <c r="E41" s="3">
        <v>70.35</v>
      </c>
      <c r="F41" s="3">
        <v>71.37</v>
      </c>
      <c r="G41" s="3">
        <v>71.37</v>
      </c>
      <c r="H41" s="39">
        <v>934200.0</v>
      </c>
    </row>
    <row r="42">
      <c r="B42" s="38">
        <v>45925.0</v>
      </c>
      <c r="C42" s="3">
        <v>71.07</v>
      </c>
      <c r="D42" s="3">
        <v>71.42</v>
      </c>
      <c r="E42" s="3">
        <v>69.36</v>
      </c>
      <c r="F42" s="3">
        <v>70.46</v>
      </c>
      <c r="G42" s="3">
        <v>70.46</v>
      </c>
      <c r="H42" s="39">
        <v>1279100.0</v>
      </c>
    </row>
    <row r="43">
      <c r="B43" s="38">
        <v>45924.0</v>
      </c>
      <c r="C43" s="3">
        <v>73.12</v>
      </c>
      <c r="D43" s="3">
        <v>73.23</v>
      </c>
      <c r="E43" s="3">
        <v>71.54</v>
      </c>
      <c r="F43" s="3">
        <v>71.82</v>
      </c>
      <c r="G43" s="3">
        <v>71.82</v>
      </c>
      <c r="H43" s="39">
        <v>827700.0</v>
      </c>
    </row>
    <row r="44">
      <c r="B44" s="38">
        <v>45923.0</v>
      </c>
      <c r="C44" s="3">
        <v>73.68</v>
      </c>
      <c r="D44" s="3">
        <v>74.22</v>
      </c>
      <c r="E44" s="3">
        <v>73.06</v>
      </c>
      <c r="F44" s="3">
        <v>73.39</v>
      </c>
      <c r="G44" s="3">
        <v>73.39</v>
      </c>
      <c r="H44" s="39">
        <v>787600.0</v>
      </c>
    </row>
    <row r="45">
      <c r="B45" s="38">
        <v>45922.0</v>
      </c>
      <c r="C45" s="3">
        <v>73.13</v>
      </c>
      <c r="D45" s="3">
        <v>74.35</v>
      </c>
      <c r="E45" s="3">
        <v>73.13</v>
      </c>
      <c r="F45" s="3">
        <v>73.76</v>
      </c>
      <c r="G45" s="3">
        <v>73.76</v>
      </c>
      <c r="H45" s="39">
        <v>1484200.0</v>
      </c>
    </row>
    <row r="46">
      <c r="B46" s="38">
        <v>45919.0</v>
      </c>
      <c r="C46" s="3">
        <v>74.62</v>
      </c>
      <c r="D46" s="3">
        <v>74.75</v>
      </c>
      <c r="E46" s="3">
        <v>73.68</v>
      </c>
      <c r="F46" s="3">
        <v>73.72</v>
      </c>
      <c r="G46" s="3">
        <v>73.72</v>
      </c>
      <c r="H46" s="39">
        <v>1491900.0</v>
      </c>
    </row>
    <row r="47">
      <c r="B47" s="38">
        <v>45918.0</v>
      </c>
      <c r="C47" s="3">
        <v>74.22</v>
      </c>
      <c r="D47" s="3">
        <v>75.08</v>
      </c>
      <c r="E47" s="3">
        <v>74.13</v>
      </c>
      <c r="F47" s="3">
        <v>74.37</v>
      </c>
      <c r="G47" s="3">
        <v>74.37</v>
      </c>
      <c r="H47" s="39">
        <v>918600.0</v>
      </c>
    </row>
    <row r="48">
      <c r="B48" s="38">
        <v>45917.0</v>
      </c>
      <c r="C48" s="3">
        <v>74.23</v>
      </c>
      <c r="D48" s="3">
        <v>75.5</v>
      </c>
      <c r="E48" s="3">
        <v>73.8</v>
      </c>
      <c r="F48" s="3">
        <v>74.07</v>
      </c>
      <c r="G48" s="3">
        <v>74.07</v>
      </c>
      <c r="H48" s="39">
        <v>1712900.0</v>
      </c>
    </row>
    <row r="49">
      <c r="B49" s="38">
        <v>45916.0</v>
      </c>
      <c r="C49" s="3">
        <v>73.28</v>
      </c>
      <c r="D49" s="3">
        <v>74.35</v>
      </c>
      <c r="E49" s="3">
        <v>73.11</v>
      </c>
      <c r="F49" s="3">
        <v>74.13</v>
      </c>
      <c r="G49" s="3">
        <v>74.13</v>
      </c>
      <c r="H49" s="39">
        <v>1008100.0</v>
      </c>
    </row>
    <row r="50">
      <c r="B50" s="38">
        <v>45915.0</v>
      </c>
      <c r="C50" s="3">
        <v>73.33</v>
      </c>
      <c r="D50" s="3">
        <v>74.07</v>
      </c>
      <c r="E50" s="3">
        <v>72.91</v>
      </c>
      <c r="F50" s="3">
        <v>73.21</v>
      </c>
      <c r="G50" s="3">
        <v>73.21</v>
      </c>
      <c r="H50" s="39">
        <v>1563400.0</v>
      </c>
    </row>
    <row r="51">
      <c r="B51" s="38">
        <v>45912.0</v>
      </c>
      <c r="C51" s="3">
        <v>73.48</v>
      </c>
      <c r="D51" s="3">
        <v>74.49</v>
      </c>
      <c r="E51" s="3">
        <v>73.03</v>
      </c>
      <c r="F51" s="3">
        <v>73.39</v>
      </c>
      <c r="G51" s="3">
        <v>73.39</v>
      </c>
      <c r="H51" s="39">
        <v>1572400.0</v>
      </c>
    </row>
    <row r="52">
      <c r="B52" s="38">
        <v>45911.0</v>
      </c>
      <c r="C52" s="3">
        <v>71.01</v>
      </c>
      <c r="D52" s="3">
        <v>73.96</v>
      </c>
      <c r="E52" s="3">
        <v>71.01</v>
      </c>
      <c r="F52" s="3">
        <v>73.79</v>
      </c>
      <c r="G52" s="3">
        <v>73.79</v>
      </c>
      <c r="H52" s="39">
        <v>1425900.0</v>
      </c>
    </row>
    <row r="53">
      <c r="B53" s="38">
        <v>45910.0</v>
      </c>
      <c r="C53" s="3">
        <v>72.54</v>
      </c>
      <c r="D53" s="3">
        <v>73.18</v>
      </c>
      <c r="E53" s="3">
        <v>71.14</v>
      </c>
      <c r="F53" s="3">
        <v>71.22</v>
      </c>
      <c r="G53" s="3">
        <v>71.22</v>
      </c>
      <c r="H53" s="39">
        <v>1006600.0</v>
      </c>
    </row>
    <row r="54">
      <c r="B54" s="38">
        <v>45909.0</v>
      </c>
      <c r="C54" s="3">
        <v>74.1</v>
      </c>
      <c r="D54" s="3">
        <v>74.48</v>
      </c>
      <c r="E54" s="3">
        <v>72.86</v>
      </c>
      <c r="F54" s="3">
        <v>72.9</v>
      </c>
      <c r="G54" s="3">
        <v>72.9</v>
      </c>
      <c r="H54" s="39">
        <v>930100.0</v>
      </c>
    </row>
    <row r="55">
      <c r="B55" s="38">
        <v>45908.0</v>
      </c>
      <c r="C55" s="3">
        <v>72.53</v>
      </c>
      <c r="D55" s="3">
        <v>75.6</v>
      </c>
      <c r="E55" s="3">
        <v>72.28</v>
      </c>
      <c r="F55" s="3">
        <v>74.6</v>
      </c>
      <c r="G55" s="3">
        <v>74.6</v>
      </c>
      <c r="H55" s="39">
        <v>1507900.0</v>
      </c>
    </row>
    <row r="56">
      <c r="B56" s="38">
        <v>45905.0</v>
      </c>
      <c r="C56" s="3">
        <v>72.57</v>
      </c>
      <c r="D56" s="3">
        <v>73.49</v>
      </c>
      <c r="E56" s="3">
        <v>72.43</v>
      </c>
      <c r="F56" s="3">
        <v>72.72</v>
      </c>
      <c r="G56" s="3">
        <v>72.72</v>
      </c>
      <c r="H56" s="39">
        <v>682800.0</v>
      </c>
    </row>
    <row r="57">
      <c r="B57" s="38">
        <v>45904.0</v>
      </c>
      <c r="C57" s="3">
        <v>71.59</v>
      </c>
      <c r="D57" s="3">
        <v>72.48</v>
      </c>
      <c r="E57" s="3">
        <v>70.54</v>
      </c>
      <c r="F57" s="3">
        <v>72.38</v>
      </c>
      <c r="G57" s="3">
        <v>72.38</v>
      </c>
      <c r="H57" s="39">
        <v>794100.0</v>
      </c>
    </row>
    <row r="58">
      <c r="B58" s="38">
        <v>45903.0</v>
      </c>
      <c r="C58" s="3">
        <v>71.48</v>
      </c>
      <c r="D58" s="3">
        <v>71.63</v>
      </c>
      <c r="E58" s="3">
        <v>70.56</v>
      </c>
      <c r="F58" s="3">
        <v>71.4</v>
      </c>
      <c r="G58" s="3">
        <v>71.4</v>
      </c>
      <c r="H58" s="39">
        <v>804300.0</v>
      </c>
    </row>
    <row r="59">
      <c r="B59" s="38">
        <v>45902.0</v>
      </c>
      <c r="C59" s="3">
        <v>72.33</v>
      </c>
      <c r="D59" s="3">
        <v>72.41</v>
      </c>
      <c r="E59" s="3">
        <v>70.94</v>
      </c>
      <c r="F59" s="3">
        <v>71.82</v>
      </c>
      <c r="G59" s="3">
        <v>71.82</v>
      </c>
      <c r="H59" s="39">
        <v>1020800.0</v>
      </c>
    </row>
    <row r="60">
      <c r="B60" s="38">
        <v>45898.0</v>
      </c>
      <c r="C60" s="3">
        <v>72.83</v>
      </c>
      <c r="D60" s="3">
        <v>73.3</v>
      </c>
      <c r="E60" s="3">
        <v>72.63</v>
      </c>
      <c r="F60" s="3">
        <v>73.09</v>
      </c>
      <c r="G60" s="3">
        <v>73.09</v>
      </c>
      <c r="H60" s="39">
        <v>821200.0</v>
      </c>
    </row>
    <row r="61">
      <c r="B61" s="38">
        <v>45897.0</v>
      </c>
      <c r="C61" s="3">
        <v>72.62</v>
      </c>
      <c r="D61" s="3">
        <v>72.86</v>
      </c>
      <c r="E61" s="3">
        <v>71.65</v>
      </c>
      <c r="F61" s="3">
        <v>72.66</v>
      </c>
      <c r="G61" s="3">
        <v>72.66</v>
      </c>
      <c r="H61" s="39">
        <v>1036900.0</v>
      </c>
    </row>
    <row r="62">
      <c r="B62" s="38">
        <v>45896.0</v>
      </c>
      <c r="C62" s="3">
        <v>72.78</v>
      </c>
      <c r="D62" s="3">
        <v>73.41</v>
      </c>
      <c r="E62" s="3">
        <v>72.2</v>
      </c>
      <c r="F62" s="3">
        <v>72.89</v>
      </c>
      <c r="G62" s="3">
        <v>72.89</v>
      </c>
      <c r="H62" s="39">
        <v>868400.0</v>
      </c>
    </row>
    <row r="63">
      <c r="B63" s="38">
        <v>45895.0</v>
      </c>
      <c r="C63" s="3">
        <v>72.9</v>
      </c>
      <c r="D63" s="3">
        <v>72.99</v>
      </c>
      <c r="E63" s="3">
        <v>72.28</v>
      </c>
      <c r="F63" s="3">
        <v>72.92</v>
      </c>
      <c r="G63" s="3">
        <v>72.92</v>
      </c>
      <c r="H63" s="39">
        <v>1072400.0</v>
      </c>
    </row>
    <row r="64">
      <c r="B64" s="38">
        <v>45894.0</v>
      </c>
      <c r="C64" s="3">
        <v>73.5</v>
      </c>
      <c r="D64" s="3">
        <v>73.5</v>
      </c>
      <c r="E64" s="3">
        <v>72.58</v>
      </c>
      <c r="F64" s="3">
        <v>72.75</v>
      </c>
      <c r="G64" s="3">
        <v>72.75</v>
      </c>
      <c r="H64" s="39">
        <v>663200.0</v>
      </c>
    </row>
    <row r="65">
      <c r="B65" s="38">
        <v>45891.0</v>
      </c>
      <c r="C65" s="3">
        <v>72.62</v>
      </c>
      <c r="D65" s="3">
        <v>74.17</v>
      </c>
      <c r="E65" s="3">
        <v>72.01</v>
      </c>
      <c r="F65" s="3">
        <v>73.55</v>
      </c>
      <c r="G65" s="3">
        <v>73.55</v>
      </c>
      <c r="H65" s="39">
        <v>1018500.0</v>
      </c>
    </row>
    <row r="66">
      <c r="B66" s="38">
        <v>45890.0</v>
      </c>
      <c r="C66" s="3">
        <v>72.2</v>
      </c>
      <c r="D66" s="3">
        <v>72.8</v>
      </c>
      <c r="E66" s="3">
        <v>71.83</v>
      </c>
      <c r="F66" s="3">
        <v>72.0</v>
      </c>
      <c r="G66" s="3">
        <v>72.0</v>
      </c>
      <c r="H66" s="39">
        <v>599400.0</v>
      </c>
    </row>
    <row r="67">
      <c r="B67" s="38">
        <v>45889.0</v>
      </c>
      <c r="C67" s="3">
        <v>71.78</v>
      </c>
      <c r="D67" s="3">
        <v>72.89</v>
      </c>
      <c r="E67" s="3">
        <v>71.62</v>
      </c>
      <c r="F67" s="3">
        <v>72.85</v>
      </c>
      <c r="G67" s="3">
        <v>72.85</v>
      </c>
      <c r="H67" s="39">
        <v>1110200.0</v>
      </c>
    </row>
    <row r="68">
      <c r="B68" s="38">
        <v>45888.0</v>
      </c>
      <c r="C68" s="3">
        <v>70.65</v>
      </c>
      <c r="D68" s="3">
        <v>72.3</v>
      </c>
      <c r="E68" s="3">
        <v>70.28</v>
      </c>
      <c r="F68" s="3">
        <v>72.27</v>
      </c>
      <c r="G68" s="3">
        <v>72.27</v>
      </c>
      <c r="H68" s="39">
        <v>1156700.0</v>
      </c>
    </row>
    <row r="69">
      <c r="B69" s="38">
        <v>45887.0</v>
      </c>
      <c r="C69" s="3">
        <v>70.79</v>
      </c>
      <c r="D69" s="3">
        <v>71.79</v>
      </c>
      <c r="E69" s="3">
        <v>70.65</v>
      </c>
      <c r="F69" s="3">
        <v>70.76</v>
      </c>
      <c r="G69" s="3">
        <v>70.76</v>
      </c>
      <c r="H69" s="39">
        <v>2019200.0</v>
      </c>
    </row>
    <row r="70">
      <c r="B70" s="38">
        <v>45884.0</v>
      </c>
      <c r="C70" s="3">
        <v>73.4</v>
      </c>
      <c r="D70" s="3">
        <v>73.54</v>
      </c>
      <c r="E70" s="3">
        <v>71.37</v>
      </c>
      <c r="F70" s="3">
        <v>71.42</v>
      </c>
      <c r="G70" s="3">
        <v>71.42</v>
      </c>
      <c r="H70" s="39">
        <v>3952400.0</v>
      </c>
    </row>
    <row r="71">
      <c r="B71" s="38">
        <v>45883.0</v>
      </c>
      <c r="C71" s="3">
        <v>74.89</v>
      </c>
      <c r="D71" s="3">
        <v>74.98</v>
      </c>
      <c r="E71" s="3">
        <v>72.24</v>
      </c>
      <c r="F71" s="3">
        <v>73.2</v>
      </c>
      <c r="G71" s="3">
        <v>73.2</v>
      </c>
      <c r="H71" s="39">
        <v>4879000.0</v>
      </c>
    </row>
    <row r="72">
      <c r="B72" s="38">
        <v>45882.0</v>
      </c>
      <c r="C72" s="3">
        <v>72.5</v>
      </c>
      <c r="D72" s="3">
        <v>74.44</v>
      </c>
      <c r="E72" s="3">
        <v>72.12</v>
      </c>
      <c r="F72" s="3">
        <v>74.38</v>
      </c>
      <c r="G72" s="3">
        <v>74.38</v>
      </c>
      <c r="H72" s="39">
        <v>854400.0</v>
      </c>
    </row>
    <row r="73">
      <c r="B73" s="38">
        <v>45881.0</v>
      </c>
      <c r="C73" s="3">
        <v>71.94</v>
      </c>
      <c r="D73" s="3">
        <v>72.4</v>
      </c>
      <c r="E73" s="3">
        <v>71.34</v>
      </c>
      <c r="F73" s="3">
        <v>72.09</v>
      </c>
      <c r="G73" s="3">
        <v>72.09</v>
      </c>
      <c r="H73" s="39">
        <v>735300.0</v>
      </c>
    </row>
    <row r="74">
      <c r="B74" s="38">
        <v>45880.0</v>
      </c>
      <c r="C74" s="3">
        <v>73.17</v>
      </c>
      <c r="D74" s="3">
        <v>74.21</v>
      </c>
      <c r="E74" s="3">
        <v>71.4</v>
      </c>
      <c r="F74" s="3">
        <v>71.86</v>
      </c>
      <c r="G74" s="3">
        <v>71.86</v>
      </c>
      <c r="H74" s="39">
        <v>788200.0</v>
      </c>
    </row>
    <row r="75">
      <c r="B75" s="38">
        <v>45877.0</v>
      </c>
      <c r="C75" s="3">
        <v>74.38</v>
      </c>
      <c r="D75" s="3">
        <v>74.98</v>
      </c>
      <c r="E75" s="3">
        <v>72.88</v>
      </c>
      <c r="F75" s="3">
        <v>73.39</v>
      </c>
      <c r="G75" s="3">
        <v>73.39</v>
      </c>
      <c r="H75" s="39">
        <v>1758100.0</v>
      </c>
    </row>
    <row r="76">
      <c r="B76" s="38">
        <v>45876.0</v>
      </c>
      <c r="C76" s="3">
        <v>73.57</v>
      </c>
      <c r="D76" s="3">
        <v>73.89</v>
      </c>
      <c r="E76" s="3">
        <v>71.65</v>
      </c>
      <c r="F76" s="3">
        <v>71.95</v>
      </c>
      <c r="G76" s="3">
        <v>71.95</v>
      </c>
      <c r="H76" s="39">
        <v>1318600.0</v>
      </c>
    </row>
    <row r="77">
      <c r="B77" s="38">
        <v>45875.0</v>
      </c>
      <c r="C77" s="3">
        <v>72.9</v>
      </c>
      <c r="D77" s="3">
        <v>73.0</v>
      </c>
      <c r="E77" s="3">
        <v>71.44</v>
      </c>
      <c r="F77" s="3">
        <v>72.57</v>
      </c>
      <c r="G77" s="3">
        <v>72.57</v>
      </c>
      <c r="H77" s="39">
        <v>879300.0</v>
      </c>
    </row>
    <row r="78">
      <c r="B78" s="38">
        <v>45874.0</v>
      </c>
      <c r="C78" s="3">
        <v>73.5</v>
      </c>
      <c r="D78" s="3">
        <v>73.52</v>
      </c>
      <c r="E78" s="3">
        <v>72.06</v>
      </c>
      <c r="F78" s="3">
        <v>72.43</v>
      </c>
      <c r="G78" s="3">
        <v>72.43</v>
      </c>
      <c r="H78" s="39">
        <v>870000.0</v>
      </c>
    </row>
    <row r="79">
      <c r="B79" s="38">
        <v>45873.0</v>
      </c>
      <c r="C79" s="3">
        <v>71.92</v>
      </c>
      <c r="D79" s="3">
        <v>73.46</v>
      </c>
      <c r="E79" s="3">
        <v>71.92</v>
      </c>
      <c r="F79" s="3">
        <v>73.22</v>
      </c>
      <c r="G79" s="3">
        <v>73.22</v>
      </c>
      <c r="H79" s="39">
        <v>849500.0</v>
      </c>
    </row>
    <row r="80">
      <c r="B80" s="38">
        <v>45870.0</v>
      </c>
      <c r="C80" s="3">
        <v>71.08</v>
      </c>
      <c r="D80" s="3">
        <v>72.33</v>
      </c>
      <c r="E80" s="3">
        <v>70.63</v>
      </c>
      <c r="F80" s="3">
        <v>71.73</v>
      </c>
      <c r="G80" s="3">
        <v>71.73</v>
      </c>
      <c r="H80" s="39">
        <v>780700.0</v>
      </c>
    </row>
    <row r="81">
      <c r="B81" s="38">
        <v>45869.0</v>
      </c>
      <c r="C81" s="3">
        <v>72.06</v>
      </c>
      <c r="D81" s="3">
        <v>73.03</v>
      </c>
      <c r="E81" s="3">
        <v>71.14</v>
      </c>
      <c r="F81" s="3">
        <v>71.36</v>
      </c>
      <c r="G81" s="3">
        <v>71.36</v>
      </c>
      <c r="H81" s="39">
        <v>708000.0</v>
      </c>
    </row>
    <row r="82">
      <c r="B82" s="38">
        <v>45868.0</v>
      </c>
      <c r="C82" s="3">
        <v>73.36</v>
      </c>
      <c r="D82" s="3">
        <v>73.9</v>
      </c>
      <c r="E82" s="3">
        <v>72.52</v>
      </c>
      <c r="F82" s="3">
        <v>72.98</v>
      </c>
      <c r="G82" s="3">
        <v>72.98</v>
      </c>
      <c r="H82" s="39">
        <v>450100.0</v>
      </c>
    </row>
    <row r="83">
      <c r="B83" s="38">
        <v>45867.0</v>
      </c>
      <c r="C83" s="3">
        <v>73.8</v>
      </c>
      <c r="D83" s="3">
        <v>74.2</v>
      </c>
      <c r="E83" s="3">
        <v>73.25</v>
      </c>
      <c r="F83" s="3">
        <v>73.55</v>
      </c>
      <c r="G83" s="3">
        <v>73.55</v>
      </c>
      <c r="H83" s="39">
        <v>365500.0</v>
      </c>
    </row>
    <row r="84">
      <c r="B84" s="38">
        <v>45866.0</v>
      </c>
      <c r="C84" s="3">
        <v>74.76</v>
      </c>
      <c r="D84" s="3">
        <v>74.76</v>
      </c>
      <c r="E84" s="3">
        <v>73.65</v>
      </c>
      <c r="F84" s="3">
        <v>73.77</v>
      </c>
      <c r="G84" s="3">
        <v>73.77</v>
      </c>
      <c r="H84" s="39">
        <v>399500.0</v>
      </c>
    </row>
    <row r="85">
      <c r="B85" s="38">
        <v>45863.0</v>
      </c>
      <c r="C85" s="3">
        <v>73.84</v>
      </c>
      <c r="D85" s="3">
        <v>74.91</v>
      </c>
      <c r="E85" s="3">
        <v>73.61</v>
      </c>
      <c r="F85" s="3">
        <v>74.75</v>
      </c>
      <c r="G85" s="3">
        <v>74.75</v>
      </c>
      <c r="H85" s="39">
        <v>453300.0</v>
      </c>
    </row>
    <row r="86">
      <c r="B86" s="38">
        <v>45862.0</v>
      </c>
      <c r="C86" s="3">
        <v>74.3</v>
      </c>
      <c r="D86" s="3">
        <v>74.9</v>
      </c>
      <c r="E86" s="3">
        <v>73.62</v>
      </c>
      <c r="F86" s="3">
        <v>73.93</v>
      </c>
      <c r="G86" s="3">
        <v>73.93</v>
      </c>
      <c r="H86" s="39">
        <v>449100.0</v>
      </c>
    </row>
    <row r="87">
      <c r="B87" s="38">
        <v>45861.0</v>
      </c>
      <c r="C87" s="3">
        <v>73.7</v>
      </c>
      <c r="D87" s="3">
        <v>74.69</v>
      </c>
      <c r="E87" s="3">
        <v>73.27</v>
      </c>
      <c r="F87" s="3">
        <v>74.4</v>
      </c>
      <c r="G87" s="3">
        <v>74.4</v>
      </c>
      <c r="H87" s="39">
        <v>507300.0</v>
      </c>
    </row>
    <row r="88">
      <c r="B88" s="38">
        <v>45860.0</v>
      </c>
      <c r="C88" s="3">
        <v>72.58</v>
      </c>
      <c r="D88" s="3">
        <v>73.3</v>
      </c>
      <c r="E88" s="3">
        <v>72.11</v>
      </c>
      <c r="F88" s="3">
        <v>72.92</v>
      </c>
      <c r="G88" s="3">
        <v>72.92</v>
      </c>
      <c r="H88" s="39">
        <v>550600.0</v>
      </c>
    </row>
    <row r="89">
      <c r="B89" s="38">
        <v>45859.0</v>
      </c>
      <c r="C89" s="3">
        <v>73.24</v>
      </c>
      <c r="D89" s="3">
        <v>73.39</v>
      </c>
      <c r="E89" s="3">
        <v>72.3</v>
      </c>
      <c r="F89" s="3">
        <v>72.34</v>
      </c>
      <c r="G89" s="3">
        <v>72.34</v>
      </c>
      <c r="H89" s="39">
        <v>436600.0</v>
      </c>
    </row>
    <row r="90">
      <c r="B90" s="38">
        <v>45856.0</v>
      </c>
      <c r="C90" s="3">
        <v>74.29</v>
      </c>
      <c r="D90" s="3">
        <v>74.66</v>
      </c>
      <c r="E90" s="3">
        <v>72.98</v>
      </c>
      <c r="F90" s="3">
        <v>73.28</v>
      </c>
      <c r="G90" s="3">
        <v>73.28</v>
      </c>
      <c r="H90" s="39">
        <v>584200.0</v>
      </c>
    </row>
    <row r="91">
      <c r="B91" s="38">
        <v>45855.0</v>
      </c>
      <c r="C91" s="3">
        <v>73.16</v>
      </c>
      <c r="D91" s="3">
        <v>74.06</v>
      </c>
      <c r="E91" s="3">
        <v>73.05</v>
      </c>
      <c r="F91" s="3">
        <v>73.86</v>
      </c>
      <c r="G91" s="3">
        <v>73.86</v>
      </c>
      <c r="H91" s="39">
        <v>424500.0</v>
      </c>
    </row>
    <row r="92">
      <c r="B92" s="38">
        <v>45854.0</v>
      </c>
      <c r="C92" s="3">
        <v>73.75</v>
      </c>
      <c r="D92" s="3">
        <v>73.75</v>
      </c>
      <c r="E92" s="3">
        <v>71.98</v>
      </c>
      <c r="F92" s="3">
        <v>73.03</v>
      </c>
      <c r="G92" s="3">
        <v>73.03</v>
      </c>
      <c r="H92" s="39">
        <v>530900.0</v>
      </c>
    </row>
    <row r="93">
      <c r="B93" s="38">
        <v>45853.0</v>
      </c>
      <c r="C93" s="3">
        <v>76.22</v>
      </c>
      <c r="D93" s="3">
        <v>76.33</v>
      </c>
      <c r="E93" s="3">
        <v>73.57</v>
      </c>
      <c r="F93" s="3">
        <v>73.68</v>
      </c>
      <c r="G93" s="3">
        <v>73.68</v>
      </c>
      <c r="H93" s="39">
        <v>768500.0</v>
      </c>
    </row>
    <row r="94">
      <c r="B94" s="38">
        <v>45852.0</v>
      </c>
      <c r="C94" s="3">
        <v>73.58</v>
      </c>
      <c r="D94" s="3">
        <v>74.34</v>
      </c>
      <c r="E94" s="3">
        <v>73.27</v>
      </c>
      <c r="F94" s="3">
        <v>74.07</v>
      </c>
      <c r="G94" s="3">
        <v>74.07</v>
      </c>
      <c r="H94" s="39">
        <v>556900.0</v>
      </c>
    </row>
    <row r="95">
      <c r="B95" s="38">
        <v>45849.0</v>
      </c>
      <c r="C95" s="3">
        <v>75.18</v>
      </c>
      <c r="D95" s="3">
        <v>75.21</v>
      </c>
      <c r="E95" s="3">
        <v>73.41</v>
      </c>
      <c r="F95" s="3">
        <v>73.8</v>
      </c>
      <c r="G95" s="3">
        <v>73.8</v>
      </c>
      <c r="H95" s="39">
        <v>715900.0</v>
      </c>
    </row>
    <row r="96">
      <c r="B96" s="38">
        <v>45848.0</v>
      </c>
      <c r="C96" s="3">
        <v>74.3</v>
      </c>
      <c r="D96" s="3">
        <v>75.9</v>
      </c>
      <c r="E96" s="3">
        <v>73.91</v>
      </c>
      <c r="F96" s="3">
        <v>75.88</v>
      </c>
      <c r="G96" s="3">
        <v>75.88</v>
      </c>
      <c r="H96" s="39">
        <v>766500.0</v>
      </c>
    </row>
    <row r="97">
      <c r="B97" s="38">
        <v>45847.0</v>
      </c>
      <c r="C97" s="3">
        <v>75.32</v>
      </c>
      <c r="D97" s="3">
        <v>75.32</v>
      </c>
      <c r="E97" s="3">
        <v>73.87</v>
      </c>
      <c r="F97" s="3">
        <v>74.19</v>
      </c>
      <c r="G97" s="3">
        <v>74.19</v>
      </c>
      <c r="H97" s="39">
        <v>580600.0</v>
      </c>
    </row>
    <row r="98">
      <c r="B98" s="38">
        <v>45846.0</v>
      </c>
      <c r="C98" s="3">
        <v>76.03</v>
      </c>
      <c r="D98" s="3">
        <v>76.71</v>
      </c>
      <c r="E98" s="3">
        <v>74.83</v>
      </c>
      <c r="F98" s="3">
        <v>75.08</v>
      </c>
      <c r="G98" s="3">
        <v>75.08</v>
      </c>
      <c r="H98" s="39">
        <v>1032600.0</v>
      </c>
    </row>
    <row r="99">
      <c r="B99" s="38">
        <v>45845.0</v>
      </c>
      <c r="C99" s="3">
        <v>78.39</v>
      </c>
      <c r="D99" s="3">
        <v>78.86</v>
      </c>
      <c r="E99" s="3">
        <v>76.16</v>
      </c>
      <c r="F99" s="3">
        <v>76.24</v>
      </c>
      <c r="G99" s="3">
        <v>76.24</v>
      </c>
      <c r="H99" s="39">
        <v>924000.0</v>
      </c>
    </row>
    <row r="100">
      <c r="B100" s="38">
        <v>45841.0</v>
      </c>
      <c r="C100" s="3">
        <v>78.16</v>
      </c>
      <c r="D100" s="3">
        <v>78.86</v>
      </c>
      <c r="E100" s="3">
        <v>77.82</v>
      </c>
      <c r="F100" s="3">
        <v>78.5</v>
      </c>
      <c r="G100" s="3">
        <v>78.5</v>
      </c>
      <c r="H100" s="39">
        <v>474300.0</v>
      </c>
    </row>
    <row r="101">
      <c r="B101" s="38">
        <v>45840.0</v>
      </c>
      <c r="C101" s="3">
        <v>77.37</v>
      </c>
      <c r="D101" s="3">
        <v>78.43</v>
      </c>
      <c r="E101" s="3">
        <v>77.25</v>
      </c>
      <c r="F101" s="3">
        <v>78.25</v>
      </c>
      <c r="G101" s="3">
        <v>78.25</v>
      </c>
      <c r="H101" s="39">
        <v>1166500.0</v>
      </c>
    </row>
    <row r="102">
      <c r="B102" s="38">
        <v>45839.0</v>
      </c>
      <c r="C102" s="3">
        <v>76.73</v>
      </c>
      <c r="D102" s="3">
        <v>78.86</v>
      </c>
      <c r="E102" s="3">
        <v>76.34</v>
      </c>
      <c r="F102" s="3">
        <v>77.89</v>
      </c>
      <c r="G102" s="3">
        <v>77.89</v>
      </c>
      <c r="H102" s="39">
        <v>1066500.0</v>
      </c>
    </row>
    <row r="103">
      <c r="B103" s="38">
        <v>45838.0</v>
      </c>
      <c r="C103" s="3">
        <v>75.38</v>
      </c>
      <c r="D103" s="3">
        <v>76.09</v>
      </c>
      <c r="E103" s="3">
        <v>74.75</v>
      </c>
      <c r="F103" s="3">
        <v>75.84</v>
      </c>
      <c r="G103" s="3">
        <v>75.84</v>
      </c>
      <c r="H103" s="39">
        <v>755700.0</v>
      </c>
    </row>
    <row r="104">
      <c r="B104" s="38">
        <v>45835.0</v>
      </c>
      <c r="C104" s="3">
        <v>74.63</v>
      </c>
      <c r="D104" s="3">
        <v>75.49</v>
      </c>
      <c r="E104" s="3">
        <v>74.2</v>
      </c>
      <c r="F104" s="3">
        <v>75.46</v>
      </c>
      <c r="G104" s="3">
        <v>75.46</v>
      </c>
      <c r="H104" s="39">
        <v>1038900.0</v>
      </c>
    </row>
    <row r="105">
      <c r="B105" s="38">
        <v>45834.0</v>
      </c>
      <c r="C105" s="3">
        <v>74.92</v>
      </c>
      <c r="D105" s="3">
        <v>75.68</v>
      </c>
      <c r="E105" s="3">
        <v>74.28</v>
      </c>
      <c r="F105" s="3">
        <v>74.63</v>
      </c>
      <c r="G105" s="3">
        <v>74.63</v>
      </c>
      <c r="H105" s="39">
        <v>617600.0</v>
      </c>
    </row>
    <row r="106">
      <c r="B106" s="38">
        <v>45833.0</v>
      </c>
      <c r="C106" s="3">
        <v>74.97</v>
      </c>
      <c r="D106" s="3">
        <v>75.1</v>
      </c>
      <c r="E106" s="3">
        <v>74.19</v>
      </c>
      <c r="F106" s="3">
        <v>74.95</v>
      </c>
      <c r="G106" s="3">
        <v>74.95</v>
      </c>
      <c r="H106" s="39">
        <v>554000.0</v>
      </c>
    </row>
    <row r="107">
      <c r="B107" s="38">
        <v>45832.0</v>
      </c>
      <c r="C107" s="3">
        <v>73.58</v>
      </c>
      <c r="D107" s="3">
        <v>75.13</v>
      </c>
      <c r="E107" s="3">
        <v>72.86</v>
      </c>
      <c r="F107" s="3">
        <v>74.98</v>
      </c>
      <c r="G107" s="3">
        <v>74.98</v>
      </c>
      <c r="H107" s="39">
        <v>848600.0</v>
      </c>
    </row>
    <row r="108">
      <c r="B108" s="38">
        <v>45831.0</v>
      </c>
      <c r="C108" s="3">
        <v>73.55</v>
      </c>
      <c r="D108" s="3">
        <v>73.77</v>
      </c>
      <c r="E108" s="3">
        <v>71.85</v>
      </c>
      <c r="F108" s="3">
        <v>73.25</v>
      </c>
      <c r="G108" s="3">
        <v>73.25</v>
      </c>
      <c r="H108" s="39">
        <v>878500.0</v>
      </c>
    </row>
    <row r="109">
      <c r="B109" s="38">
        <v>45828.0</v>
      </c>
      <c r="C109" s="3">
        <v>73.1</v>
      </c>
      <c r="D109" s="3">
        <v>73.8</v>
      </c>
      <c r="E109" s="3">
        <v>72.83</v>
      </c>
      <c r="F109" s="3">
        <v>73.57</v>
      </c>
      <c r="G109" s="3">
        <v>73.57</v>
      </c>
      <c r="H109" s="39">
        <v>1158100.0</v>
      </c>
    </row>
    <row r="110">
      <c r="B110" s="38">
        <v>45826.0</v>
      </c>
      <c r="C110" s="3">
        <v>72.75</v>
      </c>
      <c r="D110" s="3">
        <v>73.33</v>
      </c>
      <c r="E110" s="3">
        <v>72.17</v>
      </c>
      <c r="F110" s="3">
        <v>72.63</v>
      </c>
      <c r="G110" s="3">
        <v>72.63</v>
      </c>
      <c r="H110" s="39">
        <v>683800.0</v>
      </c>
    </row>
    <row r="111">
      <c r="B111" s="38">
        <v>45825.0</v>
      </c>
      <c r="C111" s="3">
        <v>73.85</v>
      </c>
      <c r="D111" s="3">
        <v>73.96</v>
      </c>
      <c r="E111" s="3">
        <v>72.07</v>
      </c>
      <c r="F111" s="3">
        <v>72.76</v>
      </c>
      <c r="G111" s="3">
        <v>72.76</v>
      </c>
      <c r="H111" s="39">
        <v>733300.0</v>
      </c>
    </row>
    <row r="112">
      <c r="B112" s="38">
        <v>45824.0</v>
      </c>
      <c r="C112" s="3">
        <v>73.97</v>
      </c>
      <c r="D112" s="3">
        <v>74.64</v>
      </c>
      <c r="E112" s="3">
        <v>73.6</v>
      </c>
      <c r="F112" s="3">
        <v>74.45</v>
      </c>
      <c r="G112" s="3">
        <v>74.45</v>
      </c>
      <c r="H112" s="39">
        <v>656800.0</v>
      </c>
    </row>
    <row r="113">
      <c r="B113" s="38">
        <v>45821.0</v>
      </c>
      <c r="C113" s="3">
        <v>73.35</v>
      </c>
      <c r="D113" s="3">
        <v>74.66</v>
      </c>
      <c r="E113" s="3">
        <v>73.11</v>
      </c>
      <c r="F113" s="3">
        <v>73.8</v>
      </c>
      <c r="G113" s="3">
        <v>73.8</v>
      </c>
      <c r="H113" s="39">
        <v>599700.0</v>
      </c>
    </row>
    <row r="114">
      <c r="B114" s="38">
        <v>45820.0</v>
      </c>
      <c r="C114" s="3">
        <v>74.2</v>
      </c>
      <c r="D114" s="3">
        <v>74.29</v>
      </c>
      <c r="E114" s="3">
        <v>73.63</v>
      </c>
      <c r="F114" s="3">
        <v>74.29</v>
      </c>
      <c r="G114" s="3">
        <v>74.29</v>
      </c>
      <c r="H114" s="39">
        <v>649300.0</v>
      </c>
    </row>
    <row r="115">
      <c r="B115" s="38">
        <v>45819.0</v>
      </c>
      <c r="C115" s="3">
        <v>75.75</v>
      </c>
      <c r="D115" s="3">
        <v>75.75</v>
      </c>
      <c r="E115" s="3">
        <v>74.12</v>
      </c>
      <c r="F115" s="3">
        <v>74.41</v>
      </c>
      <c r="G115" s="3">
        <v>74.41</v>
      </c>
      <c r="H115" s="39">
        <v>776300.0</v>
      </c>
    </row>
    <row r="116">
      <c r="B116" s="38">
        <v>45818.0</v>
      </c>
      <c r="C116" s="3">
        <v>74.64</v>
      </c>
      <c r="D116" s="3">
        <v>76.38</v>
      </c>
      <c r="E116" s="3">
        <v>74.46</v>
      </c>
      <c r="F116" s="3">
        <v>75.55</v>
      </c>
      <c r="G116" s="3">
        <v>75.55</v>
      </c>
      <c r="H116" s="39">
        <v>922000.0</v>
      </c>
    </row>
    <row r="117">
      <c r="B117" s="38">
        <v>45817.0</v>
      </c>
      <c r="C117" s="3">
        <v>75.13</v>
      </c>
      <c r="D117" s="3">
        <v>75.51</v>
      </c>
      <c r="E117" s="3">
        <v>74.15</v>
      </c>
      <c r="F117" s="3">
        <v>74.92</v>
      </c>
      <c r="G117" s="3">
        <v>74.92</v>
      </c>
      <c r="H117" s="39">
        <v>1091200.0</v>
      </c>
    </row>
    <row r="118">
      <c r="B118" s="38">
        <v>45814.0</v>
      </c>
      <c r="C118" s="3">
        <v>75.9</v>
      </c>
      <c r="D118" s="3">
        <v>76.03</v>
      </c>
      <c r="E118" s="3">
        <v>74.55</v>
      </c>
      <c r="F118" s="3">
        <v>74.84</v>
      </c>
      <c r="G118" s="3">
        <v>74.84</v>
      </c>
      <c r="H118" s="39">
        <v>717100.0</v>
      </c>
    </row>
    <row r="119">
      <c r="B119" s="38">
        <v>45813.0</v>
      </c>
      <c r="C119" s="3">
        <v>75.41</v>
      </c>
      <c r="D119" s="3">
        <v>75.84</v>
      </c>
      <c r="E119" s="3">
        <v>74.67</v>
      </c>
      <c r="F119" s="3">
        <v>75.37</v>
      </c>
      <c r="G119" s="3">
        <v>75.37</v>
      </c>
      <c r="H119" s="39">
        <v>784100.0</v>
      </c>
    </row>
    <row r="120">
      <c r="B120" s="38">
        <v>45812.0</v>
      </c>
      <c r="C120" s="3">
        <v>74.61</v>
      </c>
      <c r="D120" s="3">
        <v>75.51</v>
      </c>
      <c r="E120" s="3">
        <v>74.2</v>
      </c>
      <c r="F120" s="3">
        <v>75.14</v>
      </c>
      <c r="G120" s="3">
        <v>75.14</v>
      </c>
      <c r="H120" s="39">
        <v>806000.0</v>
      </c>
    </row>
    <row r="121">
      <c r="B121" s="38">
        <v>45811.0</v>
      </c>
      <c r="C121" s="3">
        <v>73.0</v>
      </c>
      <c r="D121" s="3">
        <v>74.51</v>
      </c>
      <c r="E121" s="3">
        <v>72.41</v>
      </c>
      <c r="F121" s="3">
        <v>74.26</v>
      </c>
      <c r="G121" s="3">
        <v>74.26</v>
      </c>
      <c r="H121" s="39">
        <v>1135800.0</v>
      </c>
    </row>
    <row r="122">
      <c r="B122" s="38">
        <v>45810.0</v>
      </c>
      <c r="C122" s="3">
        <v>73.19</v>
      </c>
      <c r="D122" s="3">
        <v>73.69</v>
      </c>
      <c r="E122" s="3">
        <v>71.94</v>
      </c>
      <c r="F122" s="3">
        <v>73.12</v>
      </c>
      <c r="G122" s="3">
        <v>73.12</v>
      </c>
      <c r="H122" s="39">
        <v>961000.0</v>
      </c>
    </row>
    <row r="123">
      <c r="B123" s="40">
        <v>45807.0</v>
      </c>
      <c r="C123" s="3">
        <v>71.93</v>
      </c>
      <c r="D123" s="3">
        <v>73.51</v>
      </c>
      <c r="E123" s="3">
        <v>71.35</v>
      </c>
      <c r="F123" s="3">
        <v>73.09</v>
      </c>
      <c r="G123" s="3">
        <v>73.09</v>
      </c>
      <c r="H123" s="39">
        <v>4073000.0</v>
      </c>
    </row>
    <row r="124">
      <c r="B124" s="40">
        <v>45806.0</v>
      </c>
      <c r="C124" s="3">
        <v>73.08</v>
      </c>
      <c r="D124" s="3">
        <v>73.29</v>
      </c>
      <c r="E124" s="3">
        <v>71.66</v>
      </c>
      <c r="F124" s="3">
        <v>72.61</v>
      </c>
      <c r="G124" s="3">
        <v>72.61</v>
      </c>
      <c r="H124" s="39">
        <v>970100.0</v>
      </c>
    </row>
    <row r="125">
      <c r="B125" s="40">
        <v>45805.0</v>
      </c>
      <c r="C125" s="3">
        <v>72.5</v>
      </c>
      <c r="D125" s="3">
        <v>72.8</v>
      </c>
      <c r="E125" s="3">
        <v>71.84</v>
      </c>
      <c r="F125" s="3">
        <v>72.63</v>
      </c>
      <c r="G125" s="3">
        <v>72.63</v>
      </c>
      <c r="H125" s="39">
        <v>991100.0</v>
      </c>
    </row>
    <row r="126">
      <c r="B126" s="40">
        <v>45804.0</v>
      </c>
      <c r="C126" s="3">
        <v>72.2</v>
      </c>
      <c r="D126" s="3">
        <v>72.58</v>
      </c>
      <c r="E126" s="3">
        <v>71.21</v>
      </c>
      <c r="F126" s="3">
        <v>72.53</v>
      </c>
      <c r="G126" s="3">
        <v>72.53</v>
      </c>
      <c r="H126" s="39">
        <v>794900.0</v>
      </c>
    </row>
    <row r="127">
      <c r="B127" s="40">
        <v>45800.0</v>
      </c>
      <c r="C127" s="3">
        <v>71.92</v>
      </c>
      <c r="D127" s="3">
        <v>72.4</v>
      </c>
      <c r="E127" s="3">
        <v>70.41</v>
      </c>
      <c r="F127" s="3">
        <v>70.81</v>
      </c>
      <c r="G127" s="3">
        <v>70.81</v>
      </c>
      <c r="H127" s="39">
        <v>1119800.0</v>
      </c>
    </row>
    <row r="128">
      <c r="B128" s="40">
        <v>45799.0</v>
      </c>
      <c r="C128" s="3">
        <v>72.49</v>
      </c>
      <c r="D128" s="3">
        <v>72.96</v>
      </c>
      <c r="E128" s="3">
        <v>71.31</v>
      </c>
      <c r="F128" s="3">
        <v>72.66</v>
      </c>
      <c r="G128" s="3">
        <v>72.66</v>
      </c>
      <c r="H128" s="39">
        <v>1095900.0</v>
      </c>
    </row>
    <row r="129">
      <c r="B129" s="40">
        <v>45798.0</v>
      </c>
      <c r="C129" s="3">
        <v>73.23</v>
      </c>
      <c r="D129" s="3">
        <v>73.68</v>
      </c>
      <c r="E129" s="3">
        <v>71.57</v>
      </c>
      <c r="F129" s="3">
        <v>72.76</v>
      </c>
      <c r="G129" s="3">
        <v>72.76</v>
      </c>
      <c r="H129" s="39">
        <v>2551100.0</v>
      </c>
    </row>
    <row r="130">
      <c r="B130" s="40">
        <v>45797.0</v>
      </c>
      <c r="C130" s="3">
        <v>75.5</v>
      </c>
      <c r="D130" s="3">
        <v>75.52</v>
      </c>
      <c r="E130" s="3">
        <v>74.24</v>
      </c>
      <c r="F130" s="3">
        <v>74.7</v>
      </c>
      <c r="G130" s="3">
        <v>74.7</v>
      </c>
      <c r="H130" s="39">
        <v>821600.0</v>
      </c>
    </row>
    <row r="131">
      <c r="B131" s="40">
        <v>45796.0</v>
      </c>
      <c r="C131" s="3">
        <v>74.75</v>
      </c>
      <c r="D131" s="3">
        <v>75.97</v>
      </c>
      <c r="E131" s="3">
        <v>74.26</v>
      </c>
      <c r="F131" s="3">
        <v>75.77</v>
      </c>
      <c r="G131" s="3">
        <v>75.77</v>
      </c>
      <c r="H131" s="39">
        <v>1141700.0</v>
      </c>
    </row>
    <row r="132">
      <c r="B132" s="40">
        <v>45793.0</v>
      </c>
      <c r="C132" s="3">
        <v>72.86</v>
      </c>
      <c r="D132" s="3">
        <v>74.19</v>
      </c>
      <c r="E132" s="3">
        <v>72.28</v>
      </c>
      <c r="F132" s="3">
        <v>74.11</v>
      </c>
      <c r="G132" s="3">
        <v>74.11</v>
      </c>
      <c r="H132" s="39">
        <v>824000.0</v>
      </c>
    </row>
    <row r="133">
      <c r="B133" s="40">
        <v>45792.0</v>
      </c>
      <c r="C133" s="3">
        <v>71.14</v>
      </c>
      <c r="D133" s="3">
        <v>73.04</v>
      </c>
      <c r="E133" s="3">
        <v>70.52</v>
      </c>
      <c r="F133" s="3">
        <v>72.94</v>
      </c>
      <c r="G133" s="3">
        <v>72.94</v>
      </c>
      <c r="H133" s="39">
        <v>1237800.0</v>
      </c>
    </row>
    <row r="134">
      <c r="B134" s="40">
        <v>45791.0</v>
      </c>
      <c r="C134" s="3">
        <v>73.0</v>
      </c>
      <c r="D134" s="3">
        <v>73.11</v>
      </c>
      <c r="E134" s="3">
        <v>70.08</v>
      </c>
      <c r="F134" s="3">
        <v>71.14</v>
      </c>
      <c r="G134" s="3">
        <v>71.14</v>
      </c>
      <c r="H134" s="39">
        <v>1400600.0</v>
      </c>
    </row>
    <row r="135">
      <c r="B135" s="40">
        <v>45790.0</v>
      </c>
      <c r="C135" s="3">
        <v>74.63</v>
      </c>
      <c r="D135" s="3">
        <v>74.9</v>
      </c>
      <c r="E135" s="3">
        <v>73.41</v>
      </c>
      <c r="F135" s="3">
        <v>73.52</v>
      </c>
      <c r="G135" s="3">
        <v>73.52</v>
      </c>
      <c r="H135" s="39">
        <v>1230200.0</v>
      </c>
    </row>
    <row r="136">
      <c r="B136" s="40">
        <v>45789.0</v>
      </c>
      <c r="C136" s="3">
        <v>71.56</v>
      </c>
      <c r="D136" s="3">
        <v>75.71</v>
      </c>
      <c r="E136" s="3">
        <v>71.07</v>
      </c>
      <c r="F136" s="3">
        <v>74.8</v>
      </c>
      <c r="G136" s="3">
        <v>74.8</v>
      </c>
      <c r="H136" s="39">
        <v>1529100.0</v>
      </c>
    </row>
    <row r="137">
      <c r="B137" s="40">
        <v>45786.0</v>
      </c>
      <c r="C137" s="3">
        <v>67.96</v>
      </c>
      <c r="D137" s="3">
        <v>71.08</v>
      </c>
      <c r="E137" s="3">
        <v>66.91</v>
      </c>
      <c r="F137" s="3">
        <v>70.23</v>
      </c>
      <c r="G137" s="3">
        <v>70.23</v>
      </c>
      <c r="H137" s="39">
        <v>1823600.0</v>
      </c>
    </row>
    <row r="138">
      <c r="B138" s="40">
        <v>45785.0</v>
      </c>
      <c r="C138" s="3">
        <v>66.48</v>
      </c>
      <c r="D138" s="3">
        <v>67.76</v>
      </c>
      <c r="E138" s="3">
        <v>66.11</v>
      </c>
      <c r="F138" s="3">
        <v>66.63</v>
      </c>
      <c r="G138" s="3">
        <v>66.63</v>
      </c>
      <c r="H138" s="39">
        <v>1228400.0</v>
      </c>
    </row>
    <row r="139">
      <c r="B139" s="40">
        <v>45784.0</v>
      </c>
      <c r="C139" s="3">
        <v>65.57</v>
      </c>
      <c r="D139" s="3">
        <v>66.25</v>
      </c>
      <c r="E139" s="3">
        <v>64.9</v>
      </c>
      <c r="F139" s="3">
        <v>65.49</v>
      </c>
      <c r="G139" s="3">
        <v>65.49</v>
      </c>
      <c r="H139" s="39">
        <v>875600.0</v>
      </c>
    </row>
    <row r="140">
      <c r="B140" s="40">
        <v>45783.0</v>
      </c>
      <c r="C140" s="3">
        <v>66.2</v>
      </c>
      <c r="D140" s="3">
        <v>66.46</v>
      </c>
      <c r="E140" s="3">
        <v>64.89</v>
      </c>
      <c r="F140" s="3">
        <v>65.47</v>
      </c>
      <c r="G140" s="3">
        <v>65.47</v>
      </c>
      <c r="H140" s="39">
        <v>1144900.0</v>
      </c>
    </row>
    <row r="141">
      <c r="B141" s="40">
        <v>45782.0</v>
      </c>
      <c r="C141" s="3">
        <v>67.32</v>
      </c>
      <c r="D141" s="3">
        <v>67.89</v>
      </c>
      <c r="E141" s="3">
        <v>66.83</v>
      </c>
      <c r="F141" s="3">
        <v>66.89</v>
      </c>
      <c r="G141" s="3">
        <v>66.89</v>
      </c>
      <c r="H141" s="39">
        <v>925200.0</v>
      </c>
    </row>
    <row r="142">
      <c r="B142" s="40">
        <v>45779.0</v>
      </c>
      <c r="C142" s="3">
        <v>67.0</v>
      </c>
      <c r="D142" s="3">
        <v>67.89</v>
      </c>
      <c r="E142" s="3">
        <v>66.37</v>
      </c>
      <c r="F142" s="3">
        <v>67.62</v>
      </c>
      <c r="G142" s="3">
        <v>67.62</v>
      </c>
      <c r="H142" s="39">
        <v>990200.0</v>
      </c>
    </row>
    <row r="143">
      <c r="B143" s="40">
        <v>45778.0</v>
      </c>
      <c r="C143" s="3">
        <v>66.25</v>
      </c>
      <c r="D143" s="3">
        <v>66.46</v>
      </c>
      <c r="E143" s="3">
        <v>65.09</v>
      </c>
      <c r="F143" s="3">
        <v>65.62</v>
      </c>
      <c r="G143" s="3">
        <v>65.62</v>
      </c>
      <c r="H143" s="39">
        <v>899300.0</v>
      </c>
    </row>
    <row r="144">
      <c r="B144" s="38">
        <v>45777.0</v>
      </c>
      <c r="C144" s="3">
        <v>65.68</v>
      </c>
      <c r="D144" s="3">
        <v>66.31</v>
      </c>
      <c r="E144" s="3">
        <v>64.59</v>
      </c>
      <c r="F144" s="3">
        <v>66.12</v>
      </c>
      <c r="G144" s="3">
        <v>66.12</v>
      </c>
      <c r="H144" s="39">
        <v>1059800.0</v>
      </c>
    </row>
    <row r="145">
      <c r="B145" s="38">
        <v>45776.0</v>
      </c>
      <c r="C145" s="3">
        <v>66.0</v>
      </c>
      <c r="D145" s="3">
        <v>66.7</v>
      </c>
      <c r="E145" s="3">
        <v>65.42</v>
      </c>
      <c r="F145" s="3">
        <v>66.25</v>
      </c>
      <c r="G145" s="3">
        <v>66.25</v>
      </c>
      <c r="H145" s="39">
        <v>729200.0</v>
      </c>
    </row>
    <row r="146">
      <c r="B146" s="38">
        <v>45775.0</v>
      </c>
      <c r="C146" s="3">
        <v>66.13</v>
      </c>
      <c r="D146" s="3">
        <v>66.67</v>
      </c>
      <c r="E146" s="3">
        <v>65.34</v>
      </c>
      <c r="F146" s="3">
        <v>66.07</v>
      </c>
      <c r="G146" s="3">
        <v>66.07</v>
      </c>
      <c r="H146" s="39">
        <v>837600.0</v>
      </c>
    </row>
    <row r="147">
      <c r="B147" s="38">
        <v>45772.0</v>
      </c>
      <c r="C147" s="3">
        <v>66.9</v>
      </c>
      <c r="D147" s="3">
        <v>67.35</v>
      </c>
      <c r="E147" s="3">
        <v>65.73</v>
      </c>
      <c r="F147" s="3">
        <v>66.07</v>
      </c>
      <c r="G147" s="3">
        <v>66.07</v>
      </c>
      <c r="H147" s="39">
        <v>672800.0</v>
      </c>
    </row>
    <row r="148">
      <c r="B148" s="38">
        <v>45771.0</v>
      </c>
      <c r="C148" s="3">
        <v>66.3</v>
      </c>
      <c r="D148" s="3">
        <v>67.67</v>
      </c>
      <c r="E148" s="3">
        <v>65.84</v>
      </c>
      <c r="F148" s="3">
        <v>67.53</v>
      </c>
      <c r="G148" s="3">
        <v>67.53</v>
      </c>
      <c r="H148" s="39">
        <v>750900.0</v>
      </c>
    </row>
    <row r="149">
      <c r="B149" s="38">
        <v>45770.0</v>
      </c>
      <c r="C149" s="3">
        <v>66.7</v>
      </c>
      <c r="D149" s="3">
        <v>68.29</v>
      </c>
      <c r="E149" s="3">
        <v>65.54</v>
      </c>
      <c r="F149" s="3">
        <v>65.9</v>
      </c>
      <c r="G149" s="3">
        <v>65.9</v>
      </c>
      <c r="H149" s="39">
        <v>639800.0</v>
      </c>
    </row>
    <row r="150">
      <c r="B150" s="38">
        <v>45769.0</v>
      </c>
      <c r="C150" s="3">
        <v>64.91</v>
      </c>
      <c r="D150" s="3">
        <v>65.39</v>
      </c>
      <c r="E150" s="3">
        <v>64.04</v>
      </c>
      <c r="F150" s="3">
        <v>64.94</v>
      </c>
      <c r="G150" s="3">
        <v>64.94</v>
      </c>
      <c r="H150" s="39">
        <v>609900.0</v>
      </c>
    </row>
    <row r="151">
      <c r="B151" s="38">
        <v>45768.0</v>
      </c>
      <c r="C151" s="3">
        <v>65.68</v>
      </c>
      <c r="D151" s="3">
        <v>66.0</v>
      </c>
      <c r="E151" s="3">
        <v>63.11</v>
      </c>
      <c r="F151" s="3">
        <v>63.94</v>
      </c>
      <c r="G151" s="3">
        <v>63.94</v>
      </c>
      <c r="H151" s="39">
        <v>786300.0</v>
      </c>
    </row>
    <row r="152">
      <c r="B152" s="38">
        <v>45764.0</v>
      </c>
      <c r="C152" s="3">
        <v>65.7</v>
      </c>
      <c r="D152" s="3">
        <v>67.22</v>
      </c>
      <c r="E152" s="3">
        <v>65.46</v>
      </c>
      <c r="F152" s="3">
        <v>66.26</v>
      </c>
      <c r="G152" s="3">
        <v>66.26</v>
      </c>
      <c r="H152" s="39">
        <v>910300.0</v>
      </c>
    </row>
    <row r="153">
      <c r="B153" s="38">
        <v>45763.0</v>
      </c>
      <c r="C153" s="3">
        <v>66.07</v>
      </c>
      <c r="D153" s="3">
        <v>66.57</v>
      </c>
      <c r="E153" s="3">
        <v>65.01</v>
      </c>
      <c r="F153" s="3">
        <v>65.67</v>
      </c>
      <c r="G153" s="3">
        <v>65.67</v>
      </c>
      <c r="H153" s="39">
        <v>650100.0</v>
      </c>
    </row>
    <row r="154">
      <c r="B154" s="38">
        <v>45762.0</v>
      </c>
      <c r="C154" s="3">
        <v>67.8</v>
      </c>
      <c r="D154" s="3">
        <v>68.0</v>
      </c>
      <c r="E154" s="3">
        <v>65.37</v>
      </c>
      <c r="F154" s="3">
        <v>65.93</v>
      </c>
      <c r="G154" s="3">
        <v>65.93</v>
      </c>
      <c r="H154" s="39">
        <v>892600.0</v>
      </c>
    </row>
    <row r="155">
      <c r="B155" s="38">
        <v>45761.0</v>
      </c>
      <c r="C155" s="3">
        <v>67.14</v>
      </c>
      <c r="D155" s="3">
        <v>68.08</v>
      </c>
      <c r="E155" s="3">
        <v>66.26</v>
      </c>
      <c r="F155" s="3">
        <v>67.8</v>
      </c>
      <c r="G155" s="3">
        <v>67.8</v>
      </c>
      <c r="H155" s="39">
        <v>930900.0</v>
      </c>
    </row>
    <row r="156">
      <c r="B156" s="38">
        <v>45758.0</v>
      </c>
      <c r="C156" s="3">
        <v>65.67</v>
      </c>
      <c r="D156" s="3">
        <v>66.52</v>
      </c>
      <c r="E156" s="3">
        <v>63.69</v>
      </c>
      <c r="F156" s="3">
        <v>66.19</v>
      </c>
      <c r="G156" s="3">
        <v>66.19</v>
      </c>
      <c r="H156" s="39">
        <v>1035800.0</v>
      </c>
    </row>
    <row r="157">
      <c r="B157" s="38">
        <v>45757.0</v>
      </c>
      <c r="C157" s="3">
        <v>67.25</v>
      </c>
      <c r="D157" s="3">
        <v>68.17</v>
      </c>
      <c r="E157" s="3">
        <v>63.51</v>
      </c>
      <c r="F157" s="3">
        <v>65.17</v>
      </c>
      <c r="G157" s="3">
        <v>65.17</v>
      </c>
      <c r="H157" s="39">
        <v>1136700.0</v>
      </c>
    </row>
    <row r="158">
      <c r="B158" s="38">
        <v>45756.0</v>
      </c>
      <c r="C158" s="3">
        <v>62.11</v>
      </c>
      <c r="D158" s="3">
        <v>69.29</v>
      </c>
      <c r="E158" s="3">
        <v>60.7</v>
      </c>
      <c r="F158" s="3">
        <v>68.58</v>
      </c>
      <c r="G158" s="3">
        <v>68.58</v>
      </c>
      <c r="H158" s="39">
        <v>2305800.0</v>
      </c>
    </row>
    <row r="159">
      <c r="B159" s="38">
        <v>45755.0</v>
      </c>
      <c r="C159" s="3">
        <v>67.32</v>
      </c>
      <c r="D159" s="3">
        <v>68.13</v>
      </c>
      <c r="E159" s="3">
        <v>62.22</v>
      </c>
      <c r="F159" s="3">
        <v>63.01</v>
      </c>
      <c r="G159" s="3">
        <v>63.01</v>
      </c>
      <c r="H159" s="39">
        <v>1346800.0</v>
      </c>
    </row>
    <row r="160">
      <c r="B160" s="38">
        <v>45754.0</v>
      </c>
      <c r="C160" s="3">
        <v>64.51</v>
      </c>
      <c r="D160" s="3">
        <v>66.98</v>
      </c>
      <c r="E160" s="3">
        <v>62.14</v>
      </c>
      <c r="F160" s="3">
        <v>65.32</v>
      </c>
      <c r="G160" s="3">
        <v>65.32</v>
      </c>
      <c r="H160" s="39">
        <v>2859800.0</v>
      </c>
    </row>
    <row r="161">
      <c r="B161" s="38">
        <v>45751.0</v>
      </c>
      <c r="C161" s="3">
        <v>68.49</v>
      </c>
      <c r="D161" s="3">
        <v>69.14</v>
      </c>
      <c r="E161" s="3">
        <v>65.73</v>
      </c>
      <c r="F161" s="3">
        <v>66.2</v>
      </c>
      <c r="G161" s="3">
        <v>66.2</v>
      </c>
      <c r="H161" s="39">
        <v>1873200.0</v>
      </c>
    </row>
    <row r="162">
      <c r="B162" s="38">
        <v>45750.0</v>
      </c>
      <c r="C162" s="3">
        <v>74.73</v>
      </c>
      <c r="D162" s="3">
        <v>74.73</v>
      </c>
      <c r="E162" s="3">
        <v>70.03</v>
      </c>
      <c r="F162" s="3">
        <v>70.19</v>
      </c>
      <c r="G162" s="3">
        <v>70.19</v>
      </c>
      <c r="H162" s="39">
        <v>3105000.0</v>
      </c>
    </row>
    <row r="163">
      <c r="B163" s="38">
        <v>45749.0</v>
      </c>
      <c r="C163" s="3">
        <v>76.13</v>
      </c>
      <c r="D163" s="3">
        <v>77.75</v>
      </c>
      <c r="E163" s="3">
        <v>75.85</v>
      </c>
      <c r="F163" s="3">
        <v>76.62</v>
      </c>
      <c r="G163" s="3">
        <v>76.62</v>
      </c>
      <c r="H163" s="39">
        <v>1370000.0</v>
      </c>
    </row>
    <row r="164">
      <c r="B164" s="38">
        <v>45748.0</v>
      </c>
      <c r="C164" s="3">
        <v>75.63</v>
      </c>
      <c r="D164" s="3">
        <v>76.51</v>
      </c>
      <c r="E164" s="3">
        <v>74.88</v>
      </c>
      <c r="F164" s="3">
        <v>76.34</v>
      </c>
      <c r="G164" s="3">
        <v>76.34</v>
      </c>
      <c r="H164" s="39">
        <v>1683400.0</v>
      </c>
    </row>
    <row r="165">
      <c r="B165" s="38">
        <v>45747.0</v>
      </c>
      <c r="C165" s="3">
        <v>74.61</v>
      </c>
      <c r="D165" s="3">
        <v>76.17</v>
      </c>
      <c r="E165" s="3">
        <v>74.07</v>
      </c>
      <c r="F165" s="3">
        <v>76.04</v>
      </c>
      <c r="G165" s="3">
        <v>76.04</v>
      </c>
      <c r="H165" s="39">
        <v>1269400.0</v>
      </c>
    </row>
    <row r="166">
      <c r="B166" s="38">
        <v>45744.0</v>
      </c>
      <c r="C166" s="3">
        <v>75.09</v>
      </c>
      <c r="D166" s="3">
        <v>75.41</v>
      </c>
      <c r="E166" s="3">
        <v>74.54</v>
      </c>
      <c r="F166" s="3">
        <v>74.75</v>
      </c>
      <c r="G166" s="3">
        <v>74.75</v>
      </c>
      <c r="H166" s="39">
        <v>1933200.0</v>
      </c>
    </row>
    <row r="167">
      <c r="B167" s="38">
        <v>45743.0</v>
      </c>
      <c r="C167" s="3">
        <v>74.57</v>
      </c>
      <c r="D167" s="3">
        <v>75.85</v>
      </c>
      <c r="E167" s="3">
        <v>74.16</v>
      </c>
      <c r="F167" s="3">
        <v>75.51</v>
      </c>
      <c r="G167" s="3">
        <v>75.51</v>
      </c>
      <c r="H167" s="39">
        <v>859400.0</v>
      </c>
    </row>
    <row r="168">
      <c r="B168" s="38">
        <v>45742.0</v>
      </c>
      <c r="C168" s="3">
        <v>74.66</v>
      </c>
      <c r="D168" s="3">
        <v>75.24</v>
      </c>
      <c r="E168" s="3">
        <v>73.25</v>
      </c>
      <c r="F168" s="3">
        <v>74.24</v>
      </c>
      <c r="G168" s="3">
        <v>74.24</v>
      </c>
      <c r="H168" s="39">
        <v>1900400.0</v>
      </c>
    </row>
    <row r="169">
      <c r="B169" s="38">
        <v>45741.0</v>
      </c>
      <c r="C169" s="3">
        <v>73.71</v>
      </c>
      <c r="D169" s="3">
        <v>75.04</v>
      </c>
      <c r="E169" s="3">
        <v>73.52</v>
      </c>
      <c r="F169" s="3">
        <v>74.93</v>
      </c>
      <c r="G169" s="3">
        <v>74.93</v>
      </c>
      <c r="H169" s="39">
        <v>1083700.0</v>
      </c>
    </row>
    <row r="170">
      <c r="B170" s="38">
        <v>45740.0</v>
      </c>
      <c r="C170" s="3">
        <v>74.48</v>
      </c>
      <c r="D170" s="3">
        <v>75.32</v>
      </c>
      <c r="E170" s="3">
        <v>73.57</v>
      </c>
      <c r="F170" s="3">
        <v>74.2</v>
      </c>
      <c r="G170" s="3">
        <v>74.2</v>
      </c>
      <c r="H170" s="39">
        <v>1110500.0</v>
      </c>
    </row>
    <row r="171">
      <c r="B171" s="38">
        <v>45737.0</v>
      </c>
      <c r="C171" s="3">
        <v>74.55</v>
      </c>
      <c r="D171" s="3">
        <v>74.9</v>
      </c>
      <c r="E171" s="3">
        <v>72.57</v>
      </c>
      <c r="F171" s="3">
        <v>73.97</v>
      </c>
      <c r="G171" s="3">
        <v>73.97</v>
      </c>
      <c r="H171" s="39">
        <v>1920300.0</v>
      </c>
    </row>
    <row r="172">
      <c r="B172" s="38">
        <v>45736.0</v>
      </c>
      <c r="C172" s="3">
        <v>77.98</v>
      </c>
      <c r="D172" s="3">
        <v>80.26</v>
      </c>
      <c r="E172" s="3">
        <v>74.62</v>
      </c>
      <c r="F172" s="3">
        <v>74.99</v>
      </c>
      <c r="G172" s="3">
        <v>74.99</v>
      </c>
      <c r="H172" s="39">
        <v>1915100.0</v>
      </c>
    </row>
    <row r="173">
      <c r="B173" s="38">
        <v>45735.0</v>
      </c>
      <c r="C173" s="3">
        <v>75.22</v>
      </c>
      <c r="D173" s="3">
        <v>76.97</v>
      </c>
      <c r="E173" s="3">
        <v>74.92</v>
      </c>
      <c r="F173" s="3">
        <v>76.31</v>
      </c>
      <c r="G173" s="3">
        <v>76.31</v>
      </c>
      <c r="H173" s="39">
        <v>879700.0</v>
      </c>
    </row>
    <row r="174">
      <c r="B174" s="38">
        <v>45734.0</v>
      </c>
      <c r="C174" s="3">
        <v>74.89</v>
      </c>
      <c r="D174" s="3">
        <v>76.0</v>
      </c>
      <c r="E174" s="3">
        <v>74.21</v>
      </c>
      <c r="F174" s="3">
        <v>75.3</v>
      </c>
      <c r="G174" s="3">
        <v>75.3</v>
      </c>
      <c r="H174" s="39">
        <v>706900.0</v>
      </c>
    </row>
    <row r="175">
      <c r="B175" s="38">
        <v>45733.0</v>
      </c>
      <c r="C175" s="3">
        <v>73.52</v>
      </c>
      <c r="D175" s="3">
        <v>75.67</v>
      </c>
      <c r="E175" s="3">
        <v>73.19</v>
      </c>
      <c r="F175" s="3">
        <v>75.15</v>
      </c>
      <c r="G175" s="3">
        <v>75.15</v>
      </c>
      <c r="H175" s="39">
        <v>852700.0</v>
      </c>
    </row>
    <row r="176">
      <c r="B176" s="38">
        <v>45730.0</v>
      </c>
      <c r="C176" s="3">
        <v>73.04</v>
      </c>
      <c r="D176" s="3">
        <v>74.92</v>
      </c>
      <c r="E176" s="3">
        <v>72.64</v>
      </c>
      <c r="F176" s="3">
        <v>74.16</v>
      </c>
      <c r="G176" s="3">
        <v>74.16</v>
      </c>
      <c r="H176" s="39">
        <v>1142900.0</v>
      </c>
    </row>
    <row r="177">
      <c r="B177" s="38">
        <v>45729.0</v>
      </c>
      <c r="C177" s="3">
        <v>74.1</v>
      </c>
      <c r="D177" s="3">
        <v>75.0</v>
      </c>
      <c r="E177" s="3">
        <v>72.27</v>
      </c>
      <c r="F177" s="3">
        <v>72.3</v>
      </c>
      <c r="G177" s="3">
        <v>72.3</v>
      </c>
      <c r="H177" s="39">
        <v>936500.0</v>
      </c>
    </row>
    <row r="178">
      <c r="B178" s="38">
        <v>45728.0</v>
      </c>
      <c r="C178" s="3">
        <v>75.79</v>
      </c>
      <c r="D178" s="3">
        <v>76.18</v>
      </c>
      <c r="E178" s="3">
        <v>73.48</v>
      </c>
      <c r="F178" s="3">
        <v>74.01</v>
      </c>
      <c r="G178" s="3">
        <v>74.01</v>
      </c>
      <c r="H178" s="39">
        <v>1174800.0</v>
      </c>
    </row>
    <row r="179">
      <c r="B179" s="38">
        <v>45727.0</v>
      </c>
      <c r="C179" s="3">
        <v>77.66</v>
      </c>
      <c r="D179" s="3">
        <v>77.82</v>
      </c>
      <c r="E179" s="3">
        <v>74.91</v>
      </c>
      <c r="F179" s="3">
        <v>75.89</v>
      </c>
      <c r="G179" s="3">
        <v>75.89</v>
      </c>
      <c r="H179" s="39">
        <v>1267200.0</v>
      </c>
    </row>
    <row r="180">
      <c r="B180" s="38">
        <v>45726.0</v>
      </c>
      <c r="C180" s="3">
        <v>77.43</v>
      </c>
      <c r="D180" s="3">
        <v>80.23</v>
      </c>
      <c r="E180" s="3">
        <v>77.08</v>
      </c>
      <c r="F180" s="3">
        <v>77.64</v>
      </c>
      <c r="G180" s="3">
        <v>77.64</v>
      </c>
      <c r="H180" s="39">
        <v>1604100.0</v>
      </c>
    </row>
    <row r="181">
      <c r="B181" s="38">
        <v>45723.0</v>
      </c>
      <c r="C181" s="3">
        <v>75.11</v>
      </c>
      <c r="D181" s="3">
        <v>78.49</v>
      </c>
      <c r="E181" s="3">
        <v>74.6</v>
      </c>
      <c r="F181" s="3">
        <v>77.93</v>
      </c>
      <c r="G181" s="3">
        <v>77.93</v>
      </c>
      <c r="H181" s="39">
        <v>1219200.0</v>
      </c>
    </row>
    <row r="182">
      <c r="B182" s="38">
        <v>45722.0</v>
      </c>
      <c r="C182" s="3">
        <v>77.18</v>
      </c>
      <c r="D182" s="3">
        <v>77.47</v>
      </c>
      <c r="E182" s="3">
        <v>74.77</v>
      </c>
      <c r="F182" s="3">
        <v>75.74</v>
      </c>
      <c r="G182" s="3">
        <v>75.74</v>
      </c>
      <c r="H182" s="39">
        <v>1066200.0</v>
      </c>
    </row>
    <row r="183">
      <c r="B183" s="38">
        <v>45721.0</v>
      </c>
      <c r="C183" s="3">
        <v>78.8</v>
      </c>
      <c r="D183" s="3">
        <v>79.75</v>
      </c>
      <c r="E183" s="3">
        <v>77.03</v>
      </c>
      <c r="F183" s="3">
        <v>77.83</v>
      </c>
      <c r="G183" s="3">
        <v>77.83</v>
      </c>
      <c r="H183" s="39">
        <v>1072400.0</v>
      </c>
    </row>
    <row r="184">
      <c r="B184" s="38">
        <v>45720.0</v>
      </c>
      <c r="C184" s="3">
        <v>80.25</v>
      </c>
      <c r="D184" s="3">
        <v>80.76</v>
      </c>
      <c r="E184" s="3">
        <v>78.79</v>
      </c>
      <c r="F184" s="3">
        <v>78.99</v>
      </c>
      <c r="G184" s="3">
        <v>78.99</v>
      </c>
      <c r="H184" s="39">
        <v>1156800.0</v>
      </c>
    </row>
    <row r="185">
      <c r="B185" s="38">
        <v>45719.0</v>
      </c>
      <c r="C185" s="3">
        <v>79.76</v>
      </c>
      <c r="D185" s="3">
        <v>81.93</v>
      </c>
      <c r="E185" s="3">
        <v>78.41</v>
      </c>
      <c r="F185" s="3">
        <v>80.16</v>
      </c>
      <c r="G185" s="3">
        <v>80.16</v>
      </c>
      <c r="H185" s="39">
        <v>1079500.0</v>
      </c>
    </row>
    <row r="186">
      <c r="B186" s="38">
        <v>45716.0</v>
      </c>
      <c r="C186" s="3">
        <v>80.95</v>
      </c>
      <c r="D186" s="3">
        <v>82.81</v>
      </c>
      <c r="E186" s="3">
        <v>77.95</v>
      </c>
      <c r="F186" s="3">
        <v>79.75</v>
      </c>
      <c r="G186" s="3">
        <v>79.75</v>
      </c>
      <c r="H186" s="39">
        <v>2036200.0</v>
      </c>
    </row>
    <row r="187">
      <c r="B187" s="38">
        <v>45715.0</v>
      </c>
      <c r="C187" s="3">
        <v>83.65</v>
      </c>
      <c r="D187" s="3">
        <v>84.7</v>
      </c>
      <c r="E187" s="3">
        <v>83.25</v>
      </c>
      <c r="F187" s="3">
        <v>83.44</v>
      </c>
      <c r="G187" s="3">
        <v>83.44</v>
      </c>
      <c r="H187" s="39">
        <v>1500900.0</v>
      </c>
    </row>
    <row r="188">
      <c r="B188" s="38">
        <v>45714.0</v>
      </c>
      <c r="C188" s="3">
        <v>83.5</v>
      </c>
      <c r="D188" s="3">
        <v>85.92</v>
      </c>
      <c r="E188" s="3">
        <v>83.02</v>
      </c>
      <c r="F188" s="3">
        <v>84.04</v>
      </c>
      <c r="G188" s="3">
        <v>84.04</v>
      </c>
      <c r="H188" s="39">
        <v>1724700.0</v>
      </c>
    </row>
    <row r="189">
      <c r="B189" s="38">
        <v>45713.0</v>
      </c>
      <c r="C189" s="3">
        <v>78.97</v>
      </c>
      <c r="D189" s="3">
        <v>84.97</v>
      </c>
      <c r="E189" s="3">
        <v>77.91</v>
      </c>
      <c r="F189" s="3">
        <v>83.56</v>
      </c>
      <c r="G189" s="3">
        <v>83.56</v>
      </c>
      <c r="H189" s="39">
        <v>3207000.0</v>
      </c>
    </row>
    <row r="190">
      <c r="B190" s="38">
        <v>45712.0</v>
      </c>
      <c r="C190" s="3">
        <v>73.02</v>
      </c>
      <c r="D190" s="3">
        <v>76.34</v>
      </c>
      <c r="E190" s="3">
        <v>73.02</v>
      </c>
      <c r="F190" s="3">
        <v>76.28</v>
      </c>
      <c r="G190" s="3">
        <v>76.28</v>
      </c>
      <c r="H190" s="39">
        <v>1266600.0</v>
      </c>
    </row>
    <row r="191">
      <c r="B191" s="38">
        <v>45709.0</v>
      </c>
      <c r="C191" s="3">
        <v>74.47</v>
      </c>
      <c r="D191" s="3">
        <v>74.72</v>
      </c>
      <c r="E191" s="3">
        <v>72.41</v>
      </c>
      <c r="F191" s="3">
        <v>73.02</v>
      </c>
      <c r="G191" s="3">
        <v>73.02</v>
      </c>
      <c r="H191" s="39">
        <v>570700.0</v>
      </c>
    </row>
    <row r="192">
      <c r="B192" s="38">
        <v>45708.0</v>
      </c>
      <c r="C192" s="3">
        <v>74.1</v>
      </c>
      <c r="D192" s="3">
        <v>74.9</v>
      </c>
      <c r="E192" s="3">
        <v>73.8</v>
      </c>
      <c r="F192" s="3">
        <v>74.5</v>
      </c>
      <c r="G192" s="3">
        <v>74.5</v>
      </c>
      <c r="H192" s="39">
        <v>602100.0</v>
      </c>
    </row>
    <row r="193">
      <c r="B193" s="38">
        <v>45707.0</v>
      </c>
      <c r="C193" s="3">
        <v>73.7</v>
      </c>
      <c r="D193" s="3">
        <v>75.19</v>
      </c>
      <c r="E193" s="3">
        <v>73.7</v>
      </c>
      <c r="F193" s="3">
        <v>73.98</v>
      </c>
      <c r="G193" s="3">
        <v>73.98</v>
      </c>
      <c r="H193" s="39">
        <v>610700.0</v>
      </c>
    </row>
    <row r="194">
      <c r="B194" s="38">
        <v>45706.0</v>
      </c>
      <c r="C194" s="3">
        <v>73.89</v>
      </c>
      <c r="D194" s="3">
        <v>74.79</v>
      </c>
      <c r="E194" s="3">
        <v>73.61</v>
      </c>
      <c r="F194" s="3">
        <v>74.34</v>
      </c>
      <c r="G194" s="3">
        <v>74.34</v>
      </c>
      <c r="H194" s="39">
        <v>955200.0</v>
      </c>
    </row>
    <row r="195">
      <c r="B195" s="38">
        <v>45702.0</v>
      </c>
      <c r="C195" s="3">
        <v>74.74</v>
      </c>
      <c r="D195" s="3">
        <v>74.93</v>
      </c>
      <c r="E195" s="3">
        <v>73.83</v>
      </c>
      <c r="F195" s="3">
        <v>74.24</v>
      </c>
      <c r="G195" s="3">
        <v>74.24</v>
      </c>
      <c r="H195" s="39">
        <v>1081400.0</v>
      </c>
    </row>
    <row r="196">
      <c r="B196" s="38">
        <v>45701.0</v>
      </c>
      <c r="C196" s="3">
        <v>73.85</v>
      </c>
      <c r="D196" s="3">
        <v>74.36</v>
      </c>
      <c r="E196" s="3">
        <v>72.94</v>
      </c>
      <c r="F196" s="3">
        <v>74.31</v>
      </c>
      <c r="G196" s="3">
        <v>74.31</v>
      </c>
      <c r="H196" s="39">
        <v>595900.0</v>
      </c>
    </row>
    <row r="197">
      <c r="B197" s="38">
        <v>45700.0</v>
      </c>
      <c r="C197" s="3">
        <v>73.07</v>
      </c>
      <c r="D197" s="3">
        <v>73.8</v>
      </c>
      <c r="E197" s="3">
        <v>72.71</v>
      </c>
      <c r="F197" s="3">
        <v>73.68</v>
      </c>
      <c r="G197" s="3">
        <v>73.68</v>
      </c>
      <c r="H197" s="39">
        <v>459900.0</v>
      </c>
    </row>
    <row r="198">
      <c r="B198" s="38">
        <v>45699.0</v>
      </c>
      <c r="C198" s="3">
        <v>74.0</v>
      </c>
      <c r="D198" s="3">
        <v>75.07</v>
      </c>
      <c r="E198" s="3">
        <v>73.54</v>
      </c>
      <c r="F198" s="3">
        <v>73.65</v>
      </c>
      <c r="G198" s="3">
        <v>73.65</v>
      </c>
      <c r="H198" s="39">
        <v>550200.0</v>
      </c>
    </row>
    <row r="199">
      <c r="B199" s="38">
        <v>45698.0</v>
      </c>
      <c r="C199" s="3">
        <v>73.72</v>
      </c>
      <c r="D199" s="3">
        <v>74.8</v>
      </c>
      <c r="E199" s="3">
        <v>73.22</v>
      </c>
      <c r="F199" s="3">
        <v>74.31</v>
      </c>
      <c r="G199" s="3">
        <v>74.31</v>
      </c>
      <c r="H199" s="39">
        <v>626100.0</v>
      </c>
    </row>
    <row r="200">
      <c r="B200" s="38">
        <v>45695.0</v>
      </c>
      <c r="C200" s="3">
        <v>74.78</v>
      </c>
      <c r="D200" s="3">
        <v>74.99</v>
      </c>
      <c r="E200" s="3">
        <v>72.85</v>
      </c>
      <c r="F200" s="3">
        <v>73.38</v>
      </c>
      <c r="G200" s="3">
        <v>73.38</v>
      </c>
      <c r="H200" s="39">
        <v>859500.0</v>
      </c>
    </row>
    <row r="201">
      <c r="B201" s="38">
        <v>45694.0</v>
      </c>
      <c r="C201" s="3">
        <v>75.12</v>
      </c>
      <c r="D201" s="3">
        <v>76.46</v>
      </c>
      <c r="E201" s="3">
        <v>74.46</v>
      </c>
      <c r="F201" s="3">
        <v>74.78</v>
      </c>
      <c r="G201" s="3">
        <v>74.78</v>
      </c>
      <c r="H201" s="39">
        <v>934500.0</v>
      </c>
    </row>
    <row r="202">
      <c r="B202" s="38">
        <v>45693.0</v>
      </c>
      <c r="C202" s="3">
        <v>75.0</v>
      </c>
      <c r="D202" s="3">
        <v>75.0</v>
      </c>
      <c r="E202" s="3">
        <v>74.18</v>
      </c>
      <c r="F202" s="3">
        <v>74.79</v>
      </c>
      <c r="G202" s="3">
        <v>74.79</v>
      </c>
      <c r="H202" s="39">
        <v>451700.0</v>
      </c>
    </row>
    <row r="203">
      <c r="B203" s="38">
        <v>45692.0</v>
      </c>
      <c r="C203" s="3">
        <v>73.59</v>
      </c>
      <c r="D203" s="3">
        <v>74.94</v>
      </c>
      <c r="E203" s="3">
        <v>73.59</v>
      </c>
      <c r="F203" s="3">
        <v>74.61</v>
      </c>
      <c r="G203" s="3">
        <v>74.61</v>
      </c>
      <c r="H203" s="39">
        <v>644300.0</v>
      </c>
    </row>
    <row r="204">
      <c r="B204" s="38">
        <v>45691.0</v>
      </c>
      <c r="C204" s="3">
        <v>73.25</v>
      </c>
      <c r="D204" s="3">
        <v>74.32</v>
      </c>
      <c r="E204" s="3">
        <v>72.27</v>
      </c>
      <c r="F204" s="3">
        <v>73.58</v>
      </c>
      <c r="G204" s="3">
        <v>73.58</v>
      </c>
      <c r="H204" s="39">
        <v>995800.0</v>
      </c>
    </row>
    <row r="205">
      <c r="B205" s="38">
        <v>45688.0</v>
      </c>
      <c r="C205" s="3">
        <v>75.41</v>
      </c>
      <c r="D205" s="3">
        <v>75.59</v>
      </c>
      <c r="E205" s="3">
        <v>74.04</v>
      </c>
      <c r="F205" s="3">
        <v>74.06</v>
      </c>
      <c r="G205" s="3">
        <v>74.06</v>
      </c>
      <c r="H205" s="39">
        <v>1092000.0</v>
      </c>
    </row>
    <row r="206">
      <c r="B206" s="38">
        <v>45687.0</v>
      </c>
      <c r="C206" s="3">
        <v>75.32</v>
      </c>
      <c r="D206" s="3">
        <v>75.84</v>
      </c>
      <c r="E206" s="3">
        <v>74.25</v>
      </c>
      <c r="F206" s="3">
        <v>75.3</v>
      </c>
      <c r="G206" s="3">
        <v>75.3</v>
      </c>
      <c r="H206" s="39">
        <v>540900.0</v>
      </c>
    </row>
    <row r="207">
      <c r="B207" s="38">
        <v>45686.0</v>
      </c>
      <c r="C207" s="3">
        <v>74.88</v>
      </c>
      <c r="D207" s="3">
        <v>75.36</v>
      </c>
      <c r="E207" s="3">
        <v>73.88</v>
      </c>
      <c r="F207" s="3">
        <v>74.5</v>
      </c>
      <c r="G207" s="3">
        <v>74.5</v>
      </c>
      <c r="H207" s="39">
        <v>668100.0</v>
      </c>
    </row>
    <row r="208">
      <c r="B208" s="38">
        <v>45685.0</v>
      </c>
      <c r="C208" s="3">
        <v>75.78</v>
      </c>
      <c r="D208" s="3">
        <v>76.29</v>
      </c>
      <c r="E208" s="3">
        <v>74.65</v>
      </c>
      <c r="F208" s="3">
        <v>74.88</v>
      </c>
      <c r="G208" s="3">
        <v>74.88</v>
      </c>
      <c r="H208" s="39">
        <v>698000.0</v>
      </c>
    </row>
    <row r="209">
      <c r="B209" s="38">
        <v>45684.0</v>
      </c>
      <c r="C209" s="3">
        <v>75.0</v>
      </c>
      <c r="D209" s="3">
        <v>76.8</v>
      </c>
      <c r="E209" s="3">
        <v>73.98</v>
      </c>
      <c r="F209" s="3">
        <v>75.14</v>
      </c>
      <c r="G209" s="3">
        <v>75.14</v>
      </c>
      <c r="H209" s="39">
        <v>983500.0</v>
      </c>
    </row>
    <row r="210">
      <c r="B210" s="38">
        <v>45681.0</v>
      </c>
      <c r="C210" s="3">
        <v>73.24</v>
      </c>
      <c r="D210" s="3">
        <v>74.99</v>
      </c>
      <c r="E210" s="3">
        <v>73.24</v>
      </c>
      <c r="F210" s="3">
        <v>74.99</v>
      </c>
      <c r="G210" s="3">
        <v>74.99</v>
      </c>
      <c r="H210" s="39">
        <v>1142500.0</v>
      </c>
    </row>
    <row r="211">
      <c r="B211" s="38">
        <v>45680.0</v>
      </c>
      <c r="C211" s="3">
        <v>73.66</v>
      </c>
      <c r="D211" s="3">
        <v>73.83</v>
      </c>
      <c r="E211" s="3">
        <v>72.89</v>
      </c>
      <c r="F211" s="3">
        <v>73.6</v>
      </c>
      <c r="G211" s="3">
        <v>73.6</v>
      </c>
      <c r="H211" s="39">
        <v>723700.0</v>
      </c>
    </row>
    <row r="212">
      <c r="B212" s="38">
        <v>45679.0</v>
      </c>
      <c r="C212" s="3">
        <v>73.79</v>
      </c>
      <c r="D212" s="3">
        <v>74.25</v>
      </c>
      <c r="E212" s="3">
        <v>73.1</v>
      </c>
      <c r="F212" s="3">
        <v>73.66</v>
      </c>
      <c r="G212" s="3">
        <v>73.66</v>
      </c>
      <c r="H212" s="39">
        <v>1334500.0</v>
      </c>
    </row>
    <row r="213">
      <c r="B213" s="38">
        <v>45678.0</v>
      </c>
      <c r="C213" s="3">
        <v>73.69</v>
      </c>
      <c r="D213" s="3">
        <v>74.34</v>
      </c>
      <c r="E213" s="3">
        <v>72.6</v>
      </c>
      <c r="F213" s="3">
        <v>74.02</v>
      </c>
      <c r="G213" s="3">
        <v>74.02</v>
      </c>
      <c r="H213" s="39">
        <v>1071000.0</v>
      </c>
    </row>
    <row r="214">
      <c r="B214" s="38">
        <v>45674.0</v>
      </c>
      <c r="C214" s="3">
        <v>73.1</v>
      </c>
      <c r="D214" s="3">
        <v>73.67</v>
      </c>
      <c r="E214" s="3">
        <v>71.95</v>
      </c>
      <c r="F214" s="3">
        <v>73.51</v>
      </c>
      <c r="G214" s="3">
        <v>73.51</v>
      </c>
      <c r="H214" s="39">
        <v>1514800.0</v>
      </c>
    </row>
    <row r="215">
      <c r="B215" s="38">
        <v>45673.0</v>
      </c>
      <c r="C215" s="3">
        <v>71.95</v>
      </c>
      <c r="D215" s="3">
        <v>72.93</v>
      </c>
      <c r="E215" s="3">
        <v>71.37</v>
      </c>
      <c r="F215" s="3">
        <v>72.69</v>
      </c>
      <c r="G215" s="3">
        <v>72.69</v>
      </c>
      <c r="H215" s="39">
        <v>739200.0</v>
      </c>
    </row>
    <row r="216">
      <c r="B216" s="38">
        <v>45672.0</v>
      </c>
      <c r="C216" s="3">
        <v>70.5</v>
      </c>
      <c r="D216" s="3">
        <v>72.58</v>
      </c>
      <c r="E216" s="3">
        <v>70.44</v>
      </c>
      <c r="F216" s="3">
        <v>72.03</v>
      </c>
      <c r="G216" s="3">
        <v>72.03</v>
      </c>
      <c r="H216" s="39">
        <v>1320000.0</v>
      </c>
    </row>
    <row r="217">
      <c r="B217" s="38">
        <v>45671.0</v>
      </c>
      <c r="C217" s="3">
        <v>68.53</v>
      </c>
      <c r="D217" s="3">
        <v>70.39</v>
      </c>
      <c r="E217" s="3">
        <v>68.51</v>
      </c>
      <c r="F217" s="3">
        <v>70.19</v>
      </c>
      <c r="G217" s="3">
        <v>70.19</v>
      </c>
      <c r="H217" s="39">
        <v>717600.0</v>
      </c>
    </row>
    <row r="218">
      <c r="B218" s="38">
        <v>45670.0</v>
      </c>
      <c r="C218" s="3">
        <v>66.77</v>
      </c>
      <c r="D218" s="3">
        <v>68.57</v>
      </c>
      <c r="E218" s="3">
        <v>66.22</v>
      </c>
      <c r="F218" s="3">
        <v>68.51</v>
      </c>
      <c r="G218" s="3">
        <v>68.51</v>
      </c>
      <c r="H218" s="39">
        <v>780900.0</v>
      </c>
    </row>
    <row r="219">
      <c r="B219" s="38">
        <v>45667.0</v>
      </c>
      <c r="C219" s="3">
        <v>68.98</v>
      </c>
      <c r="D219" s="3">
        <v>70.0</v>
      </c>
      <c r="E219" s="3">
        <v>66.92</v>
      </c>
      <c r="F219" s="3">
        <v>67.07</v>
      </c>
      <c r="G219" s="3">
        <v>67.07</v>
      </c>
      <c r="H219" s="39">
        <v>1166300.0</v>
      </c>
    </row>
    <row r="220">
      <c r="B220" s="38">
        <v>45665.0</v>
      </c>
      <c r="C220" s="3">
        <v>69.18</v>
      </c>
      <c r="D220" s="3">
        <v>71.85</v>
      </c>
      <c r="E220" s="3">
        <v>67.69</v>
      </c>
      <c r="F220" s="3">
        <v>68.96</v>
      </c>
      <c r="G220" s="3">
        <v>68.96</v>
      </c>
      <c r="H220" s="39">
        <v>2731900.0</v>
      </c>
    </row>
    <row r="221">
      <c r="B221" s="38">
        <v>45664.0</v>
      </c>
      <c r="C221" s="3">
        <v>68.58</v>
      </c>
      <c r="D221" s="3">
        <v>69.75</v>
      </c>
      <c r="E221" s="3">
        <v>68.38</v>
      </c>
      <c r="F221" s="3">
        <v>69.41</v>
      </c>
      <c r="G221" s="3">
        <v>69.41</v>
      </c>
      <c r="H221" s="39">
        <v>840700.0</v>
      </c>
    </row>
    <row r="222">
      <c r="B222" s="38">
        <v>45663.0</v>
      </c>
      <c r="C222" s="3">
        <v>67.12</v>
      </c>
      <c r="D222" s="3">
        <v>68.55</v>
      </c>
      <c r="E222" s="3">
        <v>66.98</v>
      </c>
      <c r="F222" s="3">
        <v>68.47</v>
      </c>
      <c r="G222" s="3">
        <v>68.47</v>
      </c>
      <c r="H222" s="39">
        <v>1002000.0</v>
      </c>
    </row>
    <row r="223">
      <c r="B223" s="38">
        <v>45660.0</v>
      </c>
      <c r="C223" s="3">
        <v>65.93</v>
      </c>
      <c r="D223" s="3">
        <v>67.33</v>
      </c>
      <c r="E223" s="3">
        <v>65.63</v>
      </c>
      <c r="F223" s="3">
        <v>67.12</v>
      </c>
      <c r="G223" s="3">
        <v>67.12</v>
      </c>
      <c r="H223" s="39">
        <v>747300.0</v>
      </c>
    </row>
    <row r="224">
      <c r="B224" s="38">
        <v>45659.0</v>
      </c>
      <c r="C224" s="3">
        <v>66.07</v>
      </c>
      <c r="D224" s="3">
        <v>66.74</v>
      </c>
      <c r="E224" s="3">
        <v>65.43</v>
      </c>
      <c r="F224" s="3">
        <v>65.93</v>
      </c>
      <c r="G224" s="3">
        <v>65.93</v>
      </c>
      <c r="H224" s="39">
        <v>561800.0</v>
      </c>
    </row>
    <row r="225">
      <c r="B225" s="38">
        <v>45657.0</v>
      </c>
      <c r="C225" s="3">
        <v>66.24</v>
      </c>
      <c r="D225" s="3">
        <v>66.75</v>
      </c>
      <c r="E225" s="3">
        <v>65.85</v>
      </c>
      <c r="F225" s="3">
        <v>66.06</v>
      </c>
      <c r="G225" s="3">
        <v>66.06</v>
      </c>
      <c r="H225" s="39">
        <v>541100.0</v>
      </c>
    </row>
    <row r="226">
      <c r="B226" s="38">
        <v>45656.0</v>
      </c>
      <c r="C226" s="3">
        <v>66.17</v>
      </c>
      <c r="D226" s="3">
        <v>66.65</v>
      </c>
      <c r="E226" s="3">
        <v>65.55</v>
      </c>
      <c r="F226" s="3">
        <v>66.05</v>
      </c>
      <c r="G226" s="3">
        <v>66.05</v>
      </c>
      <c r="H226" s="39">
        <v>686300.0</v>
      </c>
    </row>
    <row r="227">
      <c r="B227" s="38">
        <v>45653.0</v>
      </c>
      <c r="C227" s="3">
        <v>66.5</v>
      </c>
      <c r="D227" s="3">
        <v>67.1</v>
      </c>
      <c r="E227" s="3">
        <v>66.16</v>
      </c>
      <c r="F227" s="3">
        <v>66.74</v>
      </c>
      <c r="G227" s="3">
        <v>66.74</v>
      </c>
      <c r="H227" s="39">
        <v>460200.0</v>
      </c>
    </row>
    <row r="228">
      <c r="B228" s="38">
        <v>45652.0</v>
      </c>
      <c r="C228" s="3">
        <v>66.22</v>
      </c>
      <c r="D228" s="3">
        <v>67.19</v>
      </c>
      <c r="E228" s="3">
        <v>65.86</v>
      </c>
      <c r="F228" s="3">
        <v>66.94</v>
      </c>
      <c r="G228" s="3">
        <v>66.94</v>
      </c>
      <c r="H228" s="39">
        <v>505000.0</v>
      </c>
    </row>
    <row r="229">
      <c r="B229" s="38">
        <v>45650.0</v>
      </c>
      <c r="C229" s="3">
        <v>66.29</v>
      </c>
      <c r="D229" s="3">
        <v>66.7</v>
      </c>
      <c r="E229" s="3">
        <v>65.85</v>
      </c>
      <c r="F229" s="3">
        <v>66.56</v>
      </c>
      <c r="G229" s="3">
        <v>66.56</v>
      </c>
      <c r="H229" s="39">
        <v>252400.0</v>
      </c>
    </row>
    <row r="230">
      <c r="B230" s="38">
        <v>45649.0</v>
      </c>
      <c r="C230" s="3">
        <v>66.61</v>
      </c>
      <c r="D230" s="3">
        <v>67.08</v>
      </c>
      <c r="E230" s="3">
        <v>66.01</v>
      </c>
      <c r="F230" s="3">
        <v>66.63</v>
      </c>
      <c r="G230" s="3">
        <v>66.63</v>
      </c>
      <c r="H230" s="39">
        <v>823200.0</v>
      </c>
    </row>
    <row r="231">
      <c r="B231" s="38">
        <v>45646.0</v>
      </c>
      <c r="C231" s="3">
        <v>66.58</v>
      </c>
      <c r="D231" s="3">
        <v>67.5</v>
      </c>
      <c r="E231" s="3">
        <v>66.29</v>
      </c>
      <c r="F231" s="3">
        <v>66.83</v>
      </c>
      <c r="G231" s="3">
        <v>66.83</v>
      </c>
      <c r="H231" s="39">
        <v>1798700.0</v>
      </c>
    </row>
    <row r="232">
      <c r="B232" s="38">
        <v>45645.0</v>
      </c>
      <c r="C232" s="3">
        <v>67.09</v>
      </c>
      <c r="D232" s="3">
        <v>67.76</v>
      </c>
      <c r="E232" s="3">
        <v>66.21</v>
      </c>
      <c r="F232" s="3">
        <v>66.8</v>
      </c>
      <c r="G232" s="3">
        <v>66.8</v>
      </c>
      <c r="H232" s="39">
        <v>1141900.0</v>
      </c>
    </row>
    <row r="233">
      <c r="B233" s="38">
        <v>45644.0</v>
      </c>
      <c r="C233" s="3">
        <v>68.45</v>
      </c>
      <c r="D233" s="3">
        <v>68.9</v>
      </c>
      <c r="E233" s="3">
        <v>66.58</v>
      </c>
      <c r="F233" s="3">
        <v>66.89</v>
      </c>
      <c r="G233" s="3">
        <v>66.89</v>
      </c>
      <c r="H233" s="39">
        <v>595900.0</v>
      </c>
    </row>
    <row r="234">
      <c r="B234" s="38">
        <v>45643.0</v>
      </c>
      <c r="C234" s="3">
        <v>69.08</v>
      </c>
      <c r="D234" s="3">
        <v>70.0</v>
      </c>
      <c r="E234" s="3">
        <v>68.0</v>
      </c>
      <c r="F234" s="3">
        <v>68.6</v>
      </c>
      <c r="G234" s="3">
        <v>68.6</v>
      </c>
      <c r="H234" s="39">
        <v>756900.0</v>
      </c>
    </row>
    <row r="235">
      <c r="B235" s="38">
        <v>45642.0</v>
      </c>
      <c r="C235" s="3">
        <v>69.26</v>
      </c>
      <c r="D235" s="3">
        <v>70.34</v>
      </c>
      <c r="E235" s="3">
        <v>68.96</v>
      </c>
      <c r="F235" s="3">
        <v>69.27</v>
      </c>
      <c r="G235" s="3">
        <v>69.27</v>
      </c>
      <c r="H235" s="39">
        <v>755600.0</v>
      </c>
    </row>
    <row r="236">
      <c r="B236" s="38">
        <v>45639.0</v>
      </c>
      <c r="C236" s="3">
        <v>70.0</v>
      </c>
      <c r="D236" s="3">
        <v>70.0</v>
      </c>
      <c r="E236" s="3">
        <v>68.8</v>
      </c>
      <c r="F236" s="3">
        <v>69.56</v>
      </c>
      <c r="G236" s="3">
        <v>69.56</v>
      </c>
      <c r="H236" s="39">
        <v>637700.0</v>
      </c>
    </row>
    <row r="237">
      <c r="B237" s="38">
        <v>45638.0</v>
      </c>
      <c r="C237" s="3">
        <v>70.35</v>
      </c>
      <c r="D237" s="3">
        <v>70.73</v>
      </c>
      <c r="E237" s="3">
        <v>69.69</v>
      </c>
      <c r="F237" s="3">
        <v>70.01</v>
      </c>
      <c r="G237" s="3">
        <v>70.01</v>
      </c>
      <c r="H237" s="39">
        <v>620100.0</v>
      </c>
    </row>
    <row r="238">
      <c r="B238" s="38">
        <v>45637.0</v>
      </c>
      <c r="C238" s="3">
        <v>70.0</v>
      </c>
      <c r="D238" s="3">
        <v>70.89</v>
      </c>
      <c r="E238" s="3">
        <v>69.4</v>
      </c>
      <c r="F238" s="3">
        <v>70.49</v>
      </c>
      <c r="G238" s="3">
        <v>70.49</v>
      </c>
      <c r="H238" s="39">
        <v>588700.0</v>
      </c>
    </row>
    <row r="239">
      <c r="B239" s="38">
        <v>45636.0</v>
      </c>
      <c r="C239" s="3">
        <v>70.98</v>
      </c>
      <c r="D239" s="3">
        <v>70.98</v>
      </c>
      <c r="E239" s="3">
        <v>68.76</v>
      </c>
      <c r="F239" s="3">
        <v>69.72</v>
      </c>
      <c r="G239" s="3">
        <v>69.72</v>
      </c>
      <c r="H239" s="39">
        <v>767200.0</v>
      </c>
    </row>
    <row r="240">
      <c r="B240" s="38">
        <v>45635.0</v>
      </c>
      <c r="C240" s="3">
        <v>69.92</v>
      </c>
      <c r="D240" s="3">
        <v>71.39</v>
      </c>
      <c r="E240" s="3">
        <v>69.76</v>
      </c>
      <c r="F240" s="3">
        <v>70.63</v>
      </c>
      <c r="G240" s="3">
        <v>70.63</v>
      </c>
      <c r="H240" s="39">
        <v>662200.0</v>
      </c>
    </row>
    <row r="241">
      <c r="B241" s="38">
        <v>45632.0</v>
      </c>
      <c r="C241" s="3">
        <v>69.51</v>
      </c>
      <c r="D241" s="3">
        <v>71.04</v>
      </c>
      <c r="E241" s="3">
        <v>69.46</v>
      </c>
      <c r="F241" s="3">
        <v>69.96</v>
      </c>
      <c r="G241" s="3">
        <v>69.96</v>
      </c>
      <c r="H241" s="39">
        <v>1049500.0</v>
      </c>
    </row>
    <row r="242">
      <c r="B242" s="38">
        <v>45631.0</v>
      </c>
      <c r="C242" s="3">
        <v>69.87</v>
      </c>
      <c r="D242" s="3">
        <v>70.74</v>
      </c>
      <c r="E242" s="3">
        <v>69.25</v>
      </c>
      <c r="F242" s="3">
        <v>69.57</v>
      </c>
      <c r="G242" s="3">
        <v>69.57</v>
      </c>
      <c r="H242" s="39">
        <v>845200.0</v>
      </c>
    </row>
    <row r="243">
      <c r="B243" s="38">
        <v>45630.0</v>
      </c>
      <c r="C243" s="3">
        <v>69.98</v>
      </c>
      <c r="D243" s="3">
        <v>71.18</v>
      </c>
      <c r="E243" s="3">
        <v>68.9</v>
      </c>
      <c r="F243" s="3">
        <v>70.26</v>
      </c>
      <c r="G243" s="3">
        <v>70.26</v>
      </c>
      <c r="H243" s="39">
        <v>885000.0</v>
      </c>
    </row>
    <row r="244">
      <c r="B244" s="38">
        <v>45629.0</v>
      </c>
      <c r="C244" s="3">
        <v>71.78</v>
      </c>
      <c r="D244" s="3">
        <v>71.93</v>
      </c>
      <c r="E244" s="3">
        <v>69.88</v>
      </c>
      <c r="F244" s="3">
        <v>70.77</v>
      </c>
      <c r="G244" s="3">
        <v>70.77</v>
      </c>
      <c r="H244" s="39">
        <v>1254600.0</v>
      </c>
    </row>
    <row r="245">
      <c r="B245" s="38">
        <v>45628.0</v>
      </c>
      <c r="C245" s="3">
        <v>71.5</v>
      </c>
      <c r="D245" s="3">
        <v>72.38</v>
      </c>
      <c r="E245" s="3">
        <v>71.11</v>
      </c>
      <c r="F245" s="3">
        <v>71.99</v>
      </c>
      <c r="G245" s="3">
        <v>71.99</v>
      </c>
      <c r="H245" s="39">
        <v>984400.0</v>
      </c>
    </row>
    <row r="246">
      <c r="B246" s="38">
        <v>45625.0</v>
      </c>
      <c r="C246" s="3">
        <v>72.64</v>
      </c>
      <c r="D246" s="3">
        <v>72.79</v>
      </c>
      <c r="E246" s="3">
        <v>71.06</v>
      </c>
      <c r="F246" s="3">
        <v>71.51</v>
      </c>
      <c r="G246" s="3">
        <v>71.51</v>
      </c>
      <c r="H246" s="39">
        <v>577000.0</v>
      </c>
    </row>
    <row r="247">
      <c r="B247" s="38">
        <v>45623.0</v>
      </c>
      <c r="C247" s="3">
        <v>71.82</v>
      </c>
      <c r="D247" s="3">
        <v>72.81</v>
      </c>
      <c r="E247" s="3">
        <v>71.35</v>
      </c>
      <c r="F247" s="3">
        <v>72.48</v>
      </c>
      <c r="G247" s="3">
        <v>72.48</v>
      </c>
      <c r="H247" s="39">
        <v>702900.0</v>
      </c>
    </row>
    <row r="248">
      <c r="B248" s="38">
        <v>45622.0</v>
      </c>
      <c r="C248" s="3">
        <v>71.61</v>
      </c>
      <c r="D248" s="3">
        <v>71.99</v>
      </c>
      <c r="E248" s="3">
        <v>70.57</v>
      </c>
      <c r="F248" s="3">
        <v>71.49</v>
      </c>
      <c r="G248" s="3">
        <v>71.49</v>
      </c>
      <c r="H248" s="39">
        <v>676300.0</v>
      </c>
    </row>
    <row r="249">
      <c r="B249" s="38">
        <v>45621.0</v>
      </c>
      <c r="C249" s="3">
        <v>70.63</v>
      </c>
      <c r="D249" s="3">
        <v>72.1</v>
      </c>
      <c r="E249" s="3">
        <v>70.48</v>
      </c>
      <c r="F249" s="3">
        <v>71.61</v>
      </c>
      <c r="G249" s="3">
        <v>71.61</v>
      </c>
      <c r="H249" s="39">
        <v>1622800.0</v>
      </c>
    </row>
    <row r="250">
      <c r="B250" s="38">
        <v>45618.0</v>
      </c>
      <c r="C250" s="3">
        <v>69.79</v>
      </c>
      <c r="D250" s="3">
        <v>70.94</v>
      </c>
      <c r="E250" s="3">
        <v>69.61</v>
      </c>
      <c r="F250" s="3">
        <v>70.81</v>
      </c>
      <c r="G250" s="3">
        <v>70.81</v>
      </c>
      <c r="H250" s="39">
        <v>700100.0</v>
      </c>
    </row>
    <row r="251">
      <c r="B251" s="38">
        <v>45617.0</v>
      </c>
      <c r="C251" s="3">
        <v>68.19</v>
      </c>
      <c r="D251" s="3">
        <v>69.93</v>
      </c>
      <c r="E251" s="3">
        <v>68.19</v>
      </c>
      <c r="F251" s="3">
        <v>69.63</v>
      </c>
      <c r="G251" s="3">
        <v>69.63</v>
      </c>
      <c r="H251" s="39">
        <v>799500.0</v>
      </c>
    </row>
    <row r="252">
      <c r="B252" s="38">
        <v>45616.0</v>
      </c>
      <c r="C252" s="3">
        <v>66.84</v>
      </c>
      <c r="D252" s="3">
        <v>68.68</v>
      </c>
      <c r="E252" s="3">
        <v>66.65</v>
      </c>
      <c r="F252" s="3">
        <v>68.39</v>
      </c>
      <c r="G252" s="3">
        <v>68.39</v>
      </c>
      <c r="H252" s="39">
        <v>953200.0</v>
      </c>
    </row>
    <row r="253">
      <c r="B253" s="38">
        <v>45615.0</v>
      </c>
      <c r="C253" s="3">
        <v>66.65</v>
      </c>
      <c r="D253" s="3">
        <v>67.48</v>
      </c>
      <c r="E253" s="3">
        <v>66.51</v>
      </c>
      <c r="F253" s="3">
        <v>67.05</v>
      </c>
      <c r="G253" s="3">
        <v>67.05</v>
      </c>
      <c r="H253" s="39">
        <v>711400.0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</row>
    <row r="3">
      <c r="B3" s="38">
        <v>45980.0</v>
      </c>
      <c r="C3" s="3">
        <v>165.59</v>
      </c>
      <c r="D3" s="3">
        <v>167.31</v>
      </c>
      <c r="E3" s="3">
        <v>164.55</v>
      </c>
      <c r="F3" s="3">
        <v>166.35</v>
      </c>
      <c r="G3" s="3">
        <v>166.35</v>
      </c>
      <c r="H3" s="39">
        <v>457314.0</v>
      </c>
    </row>
    <row r="4">
      <c r="B4" s="38">
        <v>45979.0</v>
      </c>
      <c r="C4" s="3">
        <v>163.99</v>
      </c>
      <c r="D4" s="3">
        <v>166.59</v>
      </c>
      <c r="E4" s="3">
        <v>163.31</v>
      </c>
      <c r="F4" s="3">
        <v>165.79</v>
      </c>
      <c r="G4" s="3">
        <v>165.79</v>
      </c>
      <c r="H4" s="39">
        <v>2325700.0</v>
      </c>
    </row>
    <row r="5">
      <c r="B5" s="38">
        <v>45978.0</v>
      </c>
      <c r="C5" s="3">
        <v>166.91</v>
      </c>
      <c r="D5" s="3">
        <v>167.82</v>
      </c>
      <c r="E5" s="3">
        <v>164.97</v>
      </c>
      <c r="F5" s="3">
        <v>165.39</v>
      </c>
      <c r="G5" s="3">
        <v>165.39</v>
      </c>
      <c r="H5" s="39">
        <v>2908400.0</v>
      </c>
    </row>
    <row r="6">
      <c r="B6" s="38">
        <v>45975.0</v>
      </c>
      <c r="C6" s="3" t="s">
        <v>83</v>
      </c>
    </row>
    <row r="7">
      <c r="B7" s="38">
        <v>45975.0</v>
      </c>
      <c r="C7" s="3">
        <v>168.91</v>
      </c>
      <c r="D7" s="3">
        <v>169.34</v>
      </c>
      <c r="E7" s="3">
        <v>166.99</v>
      </c>
      <c r="F7" s="3">
        <v>167.58</v>
      </c>
      <c r="G7" s="3">
        <v>167.58</v>
      </c>
      <c r="H7" s="39">
        <v>2748800.0</v>
      </c>
    </row>
    <row r="8">
      <c r="B8" s="38">
        <v>45974.0</v>
      </c>
      <c r="C8" s="3">
        <v>170.42</v>
      </c>
      <c r="D8" s="3">
        <v>172.56</v>
      </c>
      <c r="E8" s="3">
        <v>169.25</v>
      </c>
      <c r="F8" s="3">
        <v>170.62</v>
      </c>
      <c r="G8" s="3">
        <v>169.89</v>
      </c>
      <c r="H8" s="39">
        <v>3878900.0</v>
      </c>
    </row>
    <row r="9">
      <c r="B9" s="38">
        <v>45973.0</v>
      </c>
      <c r="C9" s="3">
        <v>168.66</v>
      </c>
      <c r="D9" s="3">
        <v>171.78</v>
      </c>
      <c r="E9" s="3">
        <v>168.66</v>
      </c>
      <c r="F9" s="3">
        <v>171.08</v>
      </c>
      <c r="G9" s="3">
        <v>170.35</v>
      </c>
      <c r="H9" s="39">
        <v>2694300.0</v>
      </c>
    </row>
    <row r="10">
      <c r="B10" s="38">
        <v>45972.0</v>
      </c>
      <c r="C10" s="3">
        <v>167.67</v>
      </c>
      <c r="D10" s="3">
        <v>170.18</v>
      </c>
      <c r="E10" s="3">
        <v>166.0</v>
      </c>
      <c r="F10" s="3">
        <v>168.67</v>
      </c>
      <c r="G10" s="3">
        <v>167.95</v>
      </c>
      <c r="H10" s="39">
        <v>2365800.0</v>
      </c>
    </row>
    <row r="11">
      <c r="B11" s="38">
        <v>45971.0</v>
      </c>
      <c r="C11" s="3">
        <v>165.0</v>
      </c>
      <c r="D11" s="3">
        <v>169.17</v>
      </c>
      <c r="E11" s="3">
        <v>163.97</v>
      </c>
      <c r="F11" s="3">
        <v>167.67</v>
      </c>
      <c r="G11" s="3">
        <v>166.95</v>
      </c>
      <c r="H11" s="39">
        <v>2754900.0</v>
      </c>
    </row>
    <row r="12">
      <c r="B12" s="38">
        <v>45968.0</v>
      </c>
      <c r="C12" s="3">
        <v>163.91</v>
      </c>
      <c r="D12" s="3">
        <v>165.28</v>
      </c>
      <c r="E12" s="3">
        <v>162.66</v>
      </c>
      <c r="F12" s="3">
        <v>164.84</v>
      </c>
      <c r="G12" s="3">
        <v>164.13</v>
      </c>
      <c r="H12" s="39">
        <v>2506400.0</v>
      </c>
    </row>
    <row r="13">
      <c r="B13" s="38">
        <v>45967.0</v>
      </c>
      <c r="C13" s="3">
        <v>164.2</v>
      </c>
      <c r="D13" s="3">
        <v>165.49</v>
      </c>
      <c r="E13" s="3">
        <v>159.57</v>
      </c>
      <c r="F13" s="3">
        <v>163.85</v>
      </c>
      <c r="G13" s="3">
        <v>163.15</v>
      </c>
      <c r="H13" s="39">
        <v>5193100.0</v>
      </c>
    </row>
    <row r="14">
      <c r="B14" s="38">
        <v>45966.0</v>
      </c>
      <c r="C14" s="3">
        <v>160.69</v>
      </c>
      <c r="D14" s="3">
        <v>164.83</v>
      </c>
      <c r="E14" s="3">
        <v>160.14</v>
      </c>
      <c r="F14" s="3">
        <v>164.32</v>
      </c>
      <c r="G14" s="3">
        <v>163.62</v>
      </c>
      <c r="H14" s="39">
        <v>2656200.0</v>
      </c>
    </row>
    <row r="15">
      <c r="B15" s="38">
        <v>45965.0</v>
      </c>
      <c r="C15" s="3">
        <v>161.82</v>
      </c>
      <c r="D15" s="3">
        <v>162.23</v>
      </c>
      <c r="E15" s="3">
        <v>159.35</v>
      </c>
      <c r="F15" s="3">
        <v>160.59</v>
      </c>
      <c r="G15" s="3">
        <v>159.9</v>
      </c>
      <c r="H15" s="39">
        <v>3520900.0</v>
      </c>
    </row>
    <row r="16">
      <c r="B16" s="38">
        <v>45964.0</v>
      </c>
      <c r="C16" s="3">
        <v>166.01</v>
      </c>
      <c r="D16" s="3">
        <v>166.28</v>
      </c>
      <c r="E16" s="3">
        <v>161.49</v>
      </c>
      <c r="F16" s="3">
        <v>162.19</v>
      </c>
      <c r="G16" s="3">
        <v>161.5</v>
      </c>
      <c r="H16" s="39">
        <v>3141200.0</v>
      </c>
    </row>
    <row r="17">
      <c r="B17" s="38">
        <v>45961.0</v>
      </c>
      <c r="C17" s="3">
        <v>165.49</v>
      </c>
      <c r="D17" s="3">
        <v>167.34</v>
      </c>
      <c r="E17" s="3">
        <v>165.21</v>
      </c>
      <c r="F17" s="3">
        <v>166.5</v>
      </c>
      <c r="G17" s="3">
        <v>165.79</v>
      </c>
      <c r="H17" s="39">
        <v>2096600.0</v>
      </c>
    </row>
    <row r="18">
      <c r="B18" s="38">
        <v>45960.0</v>
      </c>
      <c r="C18" s="3">
        <v>165.01</v>
      </c>
      <c r="D18" s="3">
        <v>169.26</v>
      </c>
      <c r="E18" s="3">
        <v>164.6</v>
      </c>
      <c r="F18" s="3">
        <v>166.45</v>
      </c>
      <c r="G18" s="3">
        <v>165.74</v>
      </c>
      <c r="H18" s="39">
        <v>2143700.0</v>
      </c>
    </row>
    <row r="19">
      <c r="B19" s="38">
        <v>45959.0</v>
      </c>
      <c r="C19" s="3">
        <v>167.15</v>
      </c>
      <c r="D19" s="3">
        <v>168.0</v>
      </c>
      <c r="E19" s="3">
        <v>163.61</v>
      </c>
      <c r="F19" s="3">
        <v>164.63</v>
      </c>
      <c r="G19" s="3">
        <v>163.93</v>
      </c>
      <c r="H19" s="39">
        <v>3163400.0</v>
      </c>
    </row>
    <row r="20">
      <c r="B20" s="38">
        <v>45958.0</v>
      </c>
      <c r="C20" s="3">
        <v>168.32</v>
      </c>
      <c r="D20" s="3">
        <v>168.5</v>
      </c>
      <c r="E20" s="3">
        <v>166.35</v>
      </c>
      <c r="F20" s="3">
        <v>166.83</v>
      </c>
      <c r="G20" s="3">
        <v>166.12</v>
      </c>
      <c r="H20" s="39">
        <v>2448100.0</v>
      </c>
    </row>
    <row r="21">
      <c r="B21" s="38">
        <v>45957.0</v>
      </c>
      <c r="C21" s="3">
        <v>169.98</v>
      </c>
      <c r="D21" s="3">
        <v>170.63</v>
      </c>
      <c r="E21" s="3">
        <v>167.4</v>
      </c>
      <c r="F21" s="3">
        <v>168.4</v>
      </c>
      <c r="G21" s="3">
        <v>167.68</v>
      </c>
      <c r="H21" s="39">
        <v>2922300.0</v>
      </c>
    </row>
    <row r="22">
      <c r="B22" s="38">
        <v>45954.0</v>
      </c>
      <c r="C22" s="3">
        <v>172.0</v>
      </c>
      <c r="D22" s="3">
        <v>172.85</v>
      </c>
      <c r="E22" s="3">
        <v>167.75</v>
      </c>
      <c r="F22" s="3">
        <v>168.5</v>
      </c>
      <c r="G22" s="3">
        <v>167.78</v>
      </c>
      <c r="H22" s="39">
        <v>3612300.0</v>
      </c>
    </row>
    <row r="23">
      <c r="B23" s="38">
        <v>45953.0</v>
      </c>
      <c r="C23" s="3">
        <v>167.22</v>
      </c>
      <c r="D23" s="3">
        <v>171.63</v>
      </c>
      <c r="E23" s="3">
        <v>166.71</v>
      </c>
      <c r="F23" s="3">
        <v>171.6</v>
      </c>
      <c r="G23" s="3">
        <v>170.87</v>
      </c>
      <c r="H23" s="39">
        <v>4779100.0</v>
      </c>
    </row>
    <row r="24">
      <c r="B24" s="38">
        <v>45952.0</v>
      </c>
      <c r="C24" s="3">
        <v>167.16</v>
      </c>
      <c r="D24" s="3">
        <v>169.18</v>
      </c>
      <c r="E24" s="3">
        <v>165.53</v>
      </c>
      <c r="F24" s="3">
        <v>167.23</v>
      </c>
      <c r="G24" s="3">
        <v>166.51</v>
      </c>
      <c r="H24" s="39">
        <v>5275800.0</v>
      </c>
    </row>
    <row r="25">
      <c r="B25" s="38">
        <v>45951.0</v>
      </c>
      <c r="C25" s="3">
        <v>158.0</v>
      </c>
      <c r="D25" s="3">
        <v>166.82</v>
      </c>
      <c r="E25" s="3">
        <v>152.8</v>
      </c>
      <c r="F25" s="3">
        <v>166.64</v>
      </c>
      <c r="G25" s="3">
        <v>165.93</v>
      </c>
      <c r="H25" s="39">
        <v>7302200.0</v>
      </c>
    </row>
    <row r="26">
      <c r="B26" s="38">
        <v>45950.0</v>
      </c>
      <c r="C26" s="3">
        <v>153.23</v>
      </c>
      <c r="D26" s="3">
        <v>156.07</v>
      </c>
      <c r="E26" s="3">
        <v>153.03</v>
      </c>
      <c r="F26" s="3">
        <v>154.78</v>
      </c>
      <c r="G26" s="3">
        <v>154.12</v>
      </c>
      <c r="H26" s="39">
        <v>4230400.0</v>
      </c>
    </row>
    <row r="27">
      <c r="B27" s="38">
        <v>45947.0</v>
      </c>
      <c r="C27" s="3">
        <v>151.45</v>
      </c>
      <c r="D27" s="3">
        <v>153.07</v>
      </c>
      <c r="E27" s="3">
        <v>151.27</v>
      </c>
      <c r="F27" s="3">
        <v>152.64</v>
      </c>
      <c r="G27" s="3">
        <v>151.99</v>
      </c>
      <c r="H27" s="39">
        <v>4494000.0</v>
      </c>
    </row>
    <row r="28">
      <c r="B28" s="38">
        <v>45946.0</v>
      </c>
      <c r="C28" s="3">
        <v>154.47</v>
      </c>
      <c r="D28" s="3">
        <v>154.47</v>
      </c>
      <c r="E28" s="3">
        <v>150.61</v>
      </c>
      <c r="F28" s="3">
        <v>151.41</v>
      </c>
      <c r="G28" s="3">
        <v>150.76</v>
      </c>
      <c r="H28" s="39">
        <v>4279200.0</v>
      </c>
    </row>
    <row r="29">
      <c r="B29" s="38">
        <v>45945.0</v>
      </c>
      <c r="C29" s="3">
        <v>153.69</v>
      </c>
      <c r="D29" s="3">
        <v>155.66</v>
      </c>
      <c r="E29" s="3">
        <v>152.71</v>
      </c>
      <c r="F29" s="3">
        <v>153.47</v>
      </c>
      <c r="G29" s="3">
        <v>152.81</v>
      </c>
      <c r="H29" s="39">
        <v>2381500.0</v>
      </c>
    </row>
    <row r="30">
      <c r="B30" s="38">
        <v>45944.0</v>
      </c>
      <c r="C30" s="3">
        <v>149.27</v>
      </c>
      <c r="D30" s="3">
        <v>153.71</v>
      </c>
      <c r="E30" s="3">
        <v>149.27</v>
      </c>
      <c r="F30" s="3">
        <v>152.53</v>
      </c>
      <c r="G30" s="3">
        <v>151.88</v>
      </c>
      <c r="H30" s="39">
        <v>2604800.0</v>
      </c>
    </row>
    <row r="31">
      <c r="B31" s="38">
        <v>45943.0</v>
      </c>
      <c r="C31" s="3">
        <v>150.57</v>
      </c>
      <c r="D31" s="3">
        <v>152.43</v>
      </c>
      <c r="E31" s="3">
        <v>150.42</v>
      </c>
      <c r="F31" s="3">
        <v>151.1</v>
      </c>
      <c r="G31" s="3">
        <v>150.45</v>
      </c>
      <c r="H31" s="39">
        <v>2724800.0</v>
      </c>
    </row>
    <row r="32">
      <c r="B32" s="38">
        <v>45940.0</v>
      </c>
      <c r="C32" s="3">
        <v>153.24</v>
      </c>
      <c r="D32" s="3">
        <v>154.25</v>
      </c>
      <c r="E32" s="3">
        <v>148.46</v>
      </c>
      <c r="F32" s="3">
        <v>148.75</v>
      </c>
      <c r="G32" s="3">
        <v>148.11</v>
      </c>
      <c r="H32" s="39">
        <v>3504400.0</v>
      </c>
    </row>
    <row r="33">
      <c r="B33" s="38">
        <v>45939.0</v>
      </c>
      <c r="C33" s="3">
        <v>156.1</v>
      </c>
      <c r="D33" s="3">
        <v>156.6</v>
      </c>
      <c r="E33" s="3">
        <v>151.37</v>
      </c>
      <c r="F33" s="3">
        <v>152.88</v>
      </c>
      <c r="G33" s="3">
        <v>152.23</v>
      </c>
      <c r="H33" s="39">
        <v>2512200.0</v>
      </c>
    </row>
    <row r="34">
      <c r="B34" s="38">
        <v>45938.0</v>
      </c>
      <c r="C34" s="3">
        <v>155.71</v>
      </c>
      <c r="D34" s="3">
        <v>156.09</v>
      </c>
      <c r="E34" s="3">
        <v>152.78</v>
      </c>
      <c r="F34" s="3">
        <v>156.0</v>
      </c>
      <c r="G34" s="3">
        <v>155.33</v>
      </c>
      <c r="H34" s="39">
        <v>2084200.0</v>
      </c>
    </row>
    <row r="35">
      <c r="B35" s="38">
        <v>45937.0</v>
      </c>
      <c r="C35" s="3">
        <v>156.83</v>
      </c>
      <c r="D35" s="3">
        <v>157.94</v>
      </c>
      <c r="E35" s="3">
        <v>155.18</v>
      </c>
      <c r="F35" s="3">
        <v>155.33</v>
      </c>
      <c r="G35" s="3">
        <v>154.67</v>
      </c>
      <c r="H35" s="39">
        <v>1696700.0</v>
      </c>
    </row>
    <row r="36">
      <c r="B36" s="38">
        <v>45936.0</v>
      </c>
      <c r="C36" s="3">
        <v>158.7</v>
      </c>
      <c r="D36" s="3">
        <v>159.21</v>
      </c>
      <c r="E36" s="3">
        <v>154.63</v>
      </c>
      <c r="F36" s="3">
        <v>155.93</v>
      </c>
      <c r="G36" s="3">
        <v>155.26</v>
      </c>
      <c r="H36" s="39">
        <v>2421400.0</v>
      </c>
    </row>
    <row r="37">
      <c r="B37" s="38">
        <v>45933.0</v>
      </c>
      <c r="C37" s="3">
        <v>158.92</v>
      </c>
      <c r="D37" s="3">
        <v>160.39</v>
      </c>
      <c r="E37" s="3">
        <v>157.71</v>
      </c>
      <c r="F37" s="3">
        <v>158.66</v>
      </c>
      <c r="G37" s="3">
        <v>157.98</v>
      </c>
      <c r="H37" s="39">
        <v>3411600.0</v>
      </c>
    </row>
    <row r="38">
      <c r="B38" s="38">
        <v>45932.0</v>
      </c>
      <c r="C38" s="3">
        <v>157.26</v>
      </c>
      <c r="D38" s="3">
        <v>159.58</v>
      </c>
      <c r="E38" s="3">
        <v>156.54</v>
      </c>
      <c r="F38" s="3">
        <v>158.8</v>
      </c>
      <c r="G38" s="3">
        <v>158.12</v>
      </c>
      <c r="H38" s="39">
        <v>2167500.0</v>
      </c>
    </row>
    <row r="39">
      <c r="B39" s="38">
        <v>45931.0</v>
      </c>
      <c r="C39" s="3">
        <v>154.45</v>
      </c>
      <c r="D39" s="3">
        <v>156.54</v>
      </c>
      <c r="E39" s="3">
        <v>154.26</v>
      </c>
      <c r="F39" s="3">
        <v>156.0</v>
      </c>
      <c r="G39" s="3">
        <v>155.33</v>
      </c>
      <c r="H39" s="39">
        <v>2297900.0</v>
      </c>
    </row>
    <row r="40">
      <c r="B40" s="38">
        <v>45930.0</v>
      </c>
      <c r="C40" s="3">
        <v>153.85</v>
      </c>
      <c r="D40" s="3">
        <v>155.22</v>
      </c>
      <c r="E40" s="3">
        <v>152.43</v>
      </c>
      <c r="F40" s="3">
        <v>155.18</v>
      </c>
      <c r="G40" s="3">
        <v>154.52</v>
      </c>
      <c r="H40" s="39">
        <v>2177100.0</v>
      </c>
    </row>
    <row r="41">
      <c r="B41" s="38">
        <v>45929.0</v>
      </c>
      <c r="C41" s="3">
        <v>153.5</v>
      </c>
      <c r="D41" s="3">
        <v>154.4</v>
      </c>
      <c r="E41" s="3">
        <v>152.54</v>
      </c>
      <c r="F41" s="3">
        <v>154.08</v>
      </c>
      <c r="G41" s="3">
        <v>153.42</v>
      </c>
      <c r="H41" s="39">
        <v>2043400.0</v>
      </c>
    </row>
    <row r="42">
      <c r="B42" s="38">
        <v>45926.0</v>
      </c>
      <c r="C42" s="3">
        <v>154.02</v>
      </c>
      <c r="D42" s="3">
        <v>154.5</v>
      </c>
      <c r="E42" s="3">
        <v>152.37</v>
      </c>
      <c r="F42" s="3">
        <v>152.81</v>
      </c>
      <c r="G42" s="3">
        <v>152.16</v>
      </c>
      <c r="H42" s="39">
        <v>2104000.0</v>
      </c>
    </row>
    <row r="43">
      <c r="B43" s="38">
        <v>45925.0</v>
      </c>
      <c r="C43" s="3">
        <v>154.0</v>
      </c>
      <c r="D43" s="3">
        <v>154.0</v>
      </c>
      <c r="E43" s="3">
        <v>151.82</v>
      </c>
      <c r="F43" s="3">
        <v>153.03</v>
      </c>
      <c r="G43" s="3">
        <v>152.38</v>
      </c>
      <c r="H43" s="39">
        <v>2949300.0</v>
      </c>
    </row>
    <row r="44">
      <c r="B44" s="38">
        <v>45924.0</v>
      </c>
      <c r="C44" s="3">
        <v>156.0</v>
      </c>
      <c r="D44" s="3">
        <v>156.5</v>
      </c>
      <c r="E44" s="3">
        <v>154.46</v>
      </c>
      <c r="F44" s="3">
        <v>154.6</v>
      </c>
      <c r="G44" s="3">
        <v>153.94</v>
      </c>
      <c r="H44" s="39">
        <v>1739300.0</v>
      </c>
    </row>
    <row r="45">
      <c r="B45" s="38">
        <v>45923.0</v>
      </c>
      <c r="C45" s="3">
        <v>153.84</v>
      </c>
      <c r="D45" s="3">
        <v>158.14</v>
      </c>
      <c r="E45" s="3">
        <v>153.84</v>
      </c>
      <c r="F45" s="3">
        <v>156.29</v>
      </c>
      <c r="G45" s="3">
        <v>155.62</v>
      </c>
      <c r="H45" s="39">
        <v>2254000.0</v>
      </c>
    </row>
    <row r="46">
      <c r="B46" s="38">
        <v>45922.0</v>
      </c>
      <c r="C46" s="3">
        <v>155.6</v>
      </c>
      <c r="D46" s="3">
        <v>155.71</v>
      </c>
      <c r="E46" s="3">
        <v>153.64</v>
      </c>
      <c r="F46" s="3">
        <v>153.86</v>
      </c>
      <c r="G46" s="3">
        <v>153.2</v>
      </c>
      <c r="H46" s="39">
        <v>2484800.0</v>
      </c>
    </row>
    <row r="47">
      <c r="B47" s="38">
        <v>45919.0</v>
      </c>
      <c r="C47" s="3">
        <v>155.91</v>
      </c>
      <c r="D47" s="3">
        <v>157.41</v>
      </c>
      <c r="E47" s="3">
        <v>154.69</v>
      </c>
      <c r="F47" s="3">
        <v>156.6</v>
      </c>
      <c r="G47" s="3">
        <v>155.93</v>
      </c>
      <c r="H47" s="39">
        <v>6507100.0</v>
      </c>
    </row>
    <row r="48">
      <c r="B48" s="38">
        <v>45918.0</v>
      </c>
      <c r="C48" s="3">
        <v>155.15</v>
      </c>
      <c r="D48" s="3">
        <v>156.92</v>
      </c>
      <c r="E48" s="3">
        <v>154.31</v>
      </c>
      <c r="F48" s="3">
        <v>155.4</v>
      </c>
      <c r="G48" s="3">
        <v>154.74</v>
      </c>
      <c r="H48" s="39">
        <v>1795000.0</v>
      </c>
    </row>
    <row r="49">
      <c r="B49" s="38">
        <v>45917.0</v>
      </c>
      <c r="C49" s="3">
        <v>156.5</v>
      </c>
      <c r="D49" s="3">
        <v>158.54</v>
      </c>
      <c r="E49" s="3">
        <v>153.54</v>
      </c>
      <c r="F49" s="3">
        <v>155.16</v>
      </c>
      <c r="G49" s="3">
        <v>154.5</v>
      </c>
      <c r="H49" s="39">
        <v>2757300.0</v>
      </c>
    </row>
    <row r="50">
      <c r="B50" s="38">
        <v>45916.0</v>
      </c>
      <c r="C50" s="3">
        <v>156.9</v>
      </c>
      <c r="D50" s="3">
        <v>157.48</v>
      </c>
      <c r="E50" s="3">
        <v>153.63</v>
      </c>
      <c r="F50" s="3">
        <v>156.5</v>
      </c>
      <c r="G50" s="3">
        <v>155.83</v>
      </c>
      <c r="H50" s="39">
        <v>2208600.0</v>
      </c>
    </row>
    <row r="51">
      <c r="B51" s="38">
        <v>45915.0</v>
      </c>
      <c r="C51" s="3">
        <v>158.0</v>
      </c>
      <c r="D51" s="3">
        <v>158.38</v>
      </c>
      <c r="E51" s="3">
        <v>155.25</v>
      </c>
      <c r="F51" s="3">
        <v>156.66</v>
      </c>
      <c r="G51" s="3">
        <v>155.99</v>
      </c>
      <c r="H51" s="39">
        <v>3219500.0</v>
      </c>
    </row>
    <row r="52">
      <c r="B52" s="38">
        <v>45912.0</v>
      </c>
      <c r="C52" s="3">
        <v>159.11</v>
      </c>
      <c r="D52" s="3">
        <v>162.1</v>
      </c>
      <c r="E52" s="3">
        <v>157.81</v>
      </c>
      <c r="F52" s="3">
        <v>157.87</v>
      </c>
      <c r="G52" s="3">
        <v>157.19</v>
      </c>
      <c r="H52" s="39">
        <v>2865100.0</v>
      </c>
    </row>
    <row r="53">
      <c r="B53" s="38">
        <v>45911.0</v>
      </c>
      <c r="C53" s="3">
        <v>153.79</v>
      </c>
      <c r="D53" s="3">
        <v>159.5</v>
      </c>
      <c r="E53" s="3">
        <v>153.4</v>
      </c>
      <c r="F53" s="3">
        <v>159.47</v>
      </c>
      <c r="G53" s="3">
        <v>158.79</v>
      </c>
      <c r="H53" s="39">
        <v>3663900.0</v>
      </c>
    </row>
    <row r="54">
      <c r="B54" s="38">
        <v>45910.0</v>
      </c>
      <c r="C54" s="3">
        <v>153.16</v>
      </c>
      <c r="D54" s="3">
        <v>155.21</v>
      </c>
      <c r="E54" s="3">
        <v>152.46</v>
      </c>
      <c r="F54" s="3">
        <v>153.57</v>
      </c>
      <c r="G54" s="3">
        <v>152.91</v>
      </c>
      <c r="H54" s="39">
        <v>2811600.0</v>
      </c>
    </row>
    <row r="55">
      <c r="B55" s="38">
        <v>45909.0</v>
      </c>
      <c r="C55" s="3">
        <v>154.15</v>
      </c>
      <c r="D55" s="3">
        <v>154.15</v>
      </c>
      <c r="E55" s="3">
        <v>151.55</v>
      </c>
      <c r="F55" s="3">
        <v>153.08</v>
      </c>
      <c r="G55" s="3">
        <v>152.43</v>
      </c>
      <c r="H55" s="39">
        <v>1669200.0</v>
      </c>
    </row>
    <row r="56">
      <c r="B56" s="38">
        <v>45908.0</v>
      </c>
      <c r="C56" s="3">
        <v>154.61</v>
      </c>
      <c r="D56" s="3">
        <v>154.98</v>
      </c>
      <c r="E56" s="3">
        <v>152.0</v>
      </c>
      <c r="F56" s="3">
        <v>154.0</v>
      </c>
      <c r="G56" s="3">
        <v>153.34</v>
      </c>
      <c r="H56" s="39">
        <v>2715500.0</v>
      </c>
    </row>
    <row r="57">
      <c r="B57" s="38">
        <v>45905.0</v>
      </c>
      <c r="C57" s="3">
        <v>155.8</v>
      </c>
      <c r="D57" s="3">
        <v>157.56</v>
      </c>
      <c r="E57" s="3">
        <v>154.28</v>
      </c>
      <c r="F57" s="3">
        <v>155.3</v>
      </c>
      <c r="G57" s="3">
        <v>154.64</v>
      </c>
      <c r="H57" s="39">
        <v>2053300.0</v>
      </c>
    </row>
    <row r="58">
      <c r="B58" s="38">
        <v>45904.0</v>
      </c>
      <c r="C58" s="3">
        <v>152.2</v>
      </c>
      <c r="D58" s="3">
        <v>155.6</v>
      </c>
      <c r="E58" s="3">
        <v>152.02</v>
      </c>
      <c r="F58" s="3">
        <v>155.52</v>
      </c>
      <c r="G58" s="3">
        <v>154.85</v>
      </c>
      <c r="H58" s="39">
        <v>2741200.0</v>
      </c>
    </row>
    <row r="59">
      <c r="B59" s="38">
        <v>45903.0</v>
      </c>
      <c r="C59" s="3">
        <v>153.5</v>
      </c>
      <c r="D59" s="3">
        <v>154.09</v>
      </c>
      <c r="E59" s="3">
        <v>150.43</v>
      </c>
      <c r="F59" s="3">
        <v>152.0</v>
      </c>
      <c r="G59" s="3">
        <v>151.35</v>
      </c>
      <c r="H59" s="39">
        <v>3964400.0</v>
      </c>
    </row>
    <row r="60">
      <c r="B60" s="38">
        <v>45902.0</v>
      </c>
      <c r="C60" s="3">
        <v>153.95</v>
      </c>
      <c r="D60" s="3">
        <v>154.49</v>
      </c>
      <c r="E60" s="3">
        <v>151.7</v>
      </c>
      <c r="F60" s="3">
        <v>154.27</v>
      </c>
      <c r="G60" s="3">
        <v>153.61</v>
      </c>
      <c r="H60" s="39">
        <v>2745100.0</v>
      </c>
    </row>
    <row r="61">
      <c r="B61" s="38">
        <v>45898.0</v>
      </c>
      <c r="C61" s="3">
        <v>157.6</v>
      </c>
      <c r="D61" s="3">
        <v>158.24</v>
      </c>
      <c r="E61" s="3">
        <v>155.32</v>
      </c>
      <c r="F61" s="3">
        <v>155.53</v>
      </c>
      <c r="G61" s="3">
        <v>154.86</v>
      </c>
      <c r="H61" s="39">
        <v>3279100.0</v>
      </c>
    </row>
    <row r="62">
      <c r="B62" s="38">
        <v>45897.0</v>
      </c>
      <c r="C62" s="3">
        <v>157.76</v>
      </c>
      <c r="D62" s="3">
        <v>158.47</v>
      </c>
      <c r="E62" s="3">
        <v>156.58</v>
      </c>
      <c r="F62" s="3">
        <v>157.56</v>
      </c>
      <c r="G62" s="3">
        <v>156.89</v>
      </c>
      <c r="H62" s="39">
        <v>2982200.0</v>
      </c>
    </row>
    <row r="63">
      <c r="B63" s="38">
        <v>45896.0</v>
      </c>
      <c r="C63" s="3">
        <v>156.04</v>
      </c>
      <c r="D63" s="3">
        <v>157.22</v>
      </c>
      <c r="E63" s="3">
        <v>155.75</v>
      </c>
      <c r="F63" s="3">
        <v>156.53</v>
      </c>
      <c r="G63" s="3">
        <v>155.86</v>
      </c>
      <c r="H63" s="39">
        <v>2155000.0</v>
      </c>
    </row>
    <row r="64">
      <c r="B64" s="38">
        <v>45895.0</v>
      </c>
      <c r="C64" s="3">
        <v>155.76</v>
      </c>
      <c r="D64" s="3">
        <v>156.72</v>
      </c>
      <c r="E64" s="3">
        <v>154.58</v>
      </c>
      <c r="F64" s="3">
        <v>156.57</v>
      </c>
      <c r="G64" s="3">
        <v>155.9</v>
      </c>
      <c r="H64" s="39">
        <v>2960600.0</v>
      </c>
    </row>
    <row r="65">
      <c r="B65" s="38">
        <v>45894.0</v>
      </c>
      <c r="C65" s="3" t="s">
        <v>83</v>
      </c>
    </row>
    <row r="66">
      <c r="B66" s="38">
        <v>45894.0</v>
      </c>
      <c r="C66" s="3">
        <v>157.59</v>
      </c>
      <c r="D66" s="3">
        <v>157.92</v>
      </c>
      <c r="E66" s="3">
        <v>155.8</v>
      </c>
      <c r="F66" s="3">
        <v>155.85</v>
      </c>
      <c r="G66" s="3">
        <v>155.18</v>
      </c>
      <c r="H66" s="39">
        <v>1606300.0</v>
      </c>
    </row>
    <row r="67">
      <c r="B67" s="38">
        <v>45891.0</v>
      </c>
      <c r="C67" s="3">
        <v>155.75</v>
      </c>
      <c r="D67" s="3">
        <v>159.11</v>
      </c>
      <c r="E67" s="3">
        <v>155.0</v>
      </c>
      <c r="F67" s="3">
        <v>158.72</v>
      </c>
      <c r="G67" s="3">
        <v>157.31</v>
      </c>
      <c r="H67" s="39">
        <v>1958200.0</v>
      </c>
    </row>
    <row r="68">
      <c r="B68" s="38">
        <v>45890.0</v>
      </c>
      <c r="C68" s="3">
        <v>154.37</v>
      </c>
      <c r="D68" s="3">
        <v>155.21</v>
      </c>
      <c r="E68" s="3">
        <v>153.15</v>
      </c>
      <c r="F68" s="3">
        <v>154.38</v>
      </c>
      <c r="G68" s="3">
        <v>153.01</v>
      </c>
      <c r="H68" s="39">
        <v>2236900.0</v>
      </c>
    </row>
    <row r="69">
      <c r="B69" s="38">
        <v>45889.0</v>
      </c>
      <c r="C69" s="3">
        <v>154.12</v>
      </c>
      <c r="D69" s="3">
        <v>155.34</v>
      </c>
      <c r="E69" s="3">
        <v>153.17</v>
      </c>
      <c r="F69" s="3">
        <v>154.75</v>
      </c>
      <c r="G69" s="3">
        <v>153.38</v>
      </c>
      <c r="H69" s="39">
        <v>3258200.0</v>
      </c>
    </row>
    <row r="70">
      <c r="B70" s="38">
        <v>45888.0</v>
      </c>
      <c r="C70" s="3">
        <v>152.84</v>
      </c>
      <c r="D70" s="3">
        <v>155.72</v>
      </c>
      <c r="E70" s="3">
        <v>152.05</v>
      </c>
      <c r="F70" s="3">
        <v>154.34</v>
      </c>
      <c r="G70" s="3">
        <v>152.97</v>
      </c>
      <c r="H70" s="39">
        <v>2146200.0</v>
      </c>
    </row>
    <row r="71">
      <c r="B71" s="38">
        <v>45887.0</v>
      </c>
      <c r="C71" s="3">
        <v>152.36</v>
      </c>
      <c r="D71" s="3">
        <v>155.43</v>
      </c>
      <c r="E71" s="3">
        <v>152.19</v>
      </c>
      <c r="F71" s="3">
        <v>152.86</v>
      </c>
      <c r="G71" s="3">
        <v>151.51</v>
      </c>
      <c r="H71" s="39">
        <v>2585500.0</v>
      </c>
    </row>
    <row r="72">
      <c r="B72" s="38">
        <v>45884.0</v>
      </c>
      <c r="C72" s="3">
        <v>157.37</v>
      </c>
      <c r="D72" s="3">
        <v>157.37</v>
      </c>
      <c r="E72" s="3">
        <v>151.61</v>
      </c>
      <c r="F72" s="3">
        <v>152.39</v>
      </c>
      <c r="G72" s="3">
        <v>151.04</v>
      </c>
      <c r="H72" s="39">
        <v>3921100.0</v>
      </c>
    </row>
    <row r="73">
      <c r="B73" s="38">
        <v>45883.0</v>
      </c>
      <c r="C73" s="3">
        <v>159.6</v>
      </c>
      <c r="D73" s="3">
        <v>160.07</v>
      </c>
      <c r="E73" s="3">
        <v>156.63</v>
      </c>
      <c r="F73" s="3">
        <v>156.65</v>
      </c>
      <c r="G73" s="3">
        <v>155.26</v>
      </c>
      <c r="H73" s="39">
        <v>6344900.0</v>
      </c>
    </row>
    <row r="74">
      <c r="B74" s="38">
        <v>45882.0</v>
      </c>
      <c r="C74" s="3">
        <v>158.39</v>
      </c>
      <c r="D74" s="3">
        <v>160.47</v>
      </c>
      <c r="E74" s="3">
        <v>156.62</v>
      </c>
      <c r="F74" s="3">
        <v>160.2</v>
      </c>
      <c r="G74" s="3">
        <v>158.78</v>
      </c>
      <c r="H74" s="39">
        <v>3132000.0</v>
      </c>
    </row>
    <row r="75">
      <c r="B75" s="38">
        <v>45881.0</v>
      </c>
      <c r="C75" s="3">
        <v>155.79</v>
      </c>
      <c r="D75" s="3">
        <v>158.46</v>
      </c>
      <c r="E75" s="3">
        <v>155.61</v>
      </c>
      <c r="F75" s="3">
        <v>157.85</v>
      </c>
      <c r="G75" s="3">
        <v>156.45</v>
      </c>
      <c r="H75" s="39">
        <v>2748200.0</v>
      </c>
    </row>
    <row r="76">
      <c r="B76" s="38">
        <v>45880.0</v>
      </c>
      <c r="C76" s="3">
        <v>153.75</v>
      </c>
      <c r="D76" s="3">
        <v>155.61</v>
      </c>
      <c r="E76" s="3">
        <v>153.16</v>
      </c>
      <c r="F76" s="3">
        <v>155.31</v>
      </c>
      <c r="G76" s="3">
        <v>153.93</v>
      </c>
      <c r="H76" s="39">
        <v>3354500.0</v>
      </c>
    </row>
    <row r="77">
      <c r="B77" s="38">
        <v>45877.0</v>
      </c>
      <c r="C77" s="3">
        <v>152.4</v>
      </c>
      <c r="D77" s="3">
        <v>153.69</v>
      </c>
      <c r="E77" s="3">
        <v>151.42</v>
      </c>
      <c r="F77" s="3">
        <v>153.3</v>
      </c>
      <c r="G77" s="3">
        <v>151.94</v>
      </c>
      <c r="H77" s="39">
        <v>2376400.0</v>
      </c>
    </row>
    <row r="78">
      <c r="B78" s="38">
        <v>45876.0</v>
      </c>
      <c r="C78" s="3">
        <v>151.98</v>
      </c>
      <c r="D78" s="3">
        <v>152.48</v>
      </c>
      <c r="E78" s="3">
        <v>149.98</v>
      </c>
      <c r="F78" s="3">
        <v>151.74</v>
      </c>
      <c r="G78" s="3">
        <v>150.4</v>
      </c>
      <c r="H78" s="39">
        <v>2293900.0</v>
      </c>
    </row>
    <row r="79">
      <c r="B79" s="38">
        <v>45875.0</v>
      </c>
      <c r="C79" s="3">
        <v>150.27</v>
      </c>
      <c r="D79" s="3">
        <v>151.39</v>
      </c>
      <c r="E79" s="3">
        <v>148.64</v>
      </c>
      <c r="F79" s="3">
        <v>150.82</v>
      </c>
      <c r="G79" s="3">
        <v>149.48</v>
      </c>
      <c r="H79" s="39">
        <v>2636900.0</v>
      </c>
    </row>
    <row r="80">
      <c r="B80" s="38">
        <v>45874.0</v>
      </c>
      <c r="C80" s="3">
        <v>148.46</v>
      </c>
      <c r="D80" s="3">
        <v>151.22</v>
      </c>
      <c r="E80" s="3">
        <v>148.0</v>
      </c>
      <c r="F80" s="3">
        <v>150.09</v>
      </c>
      <c r="G80" s="3">
        <v>148.76</v>
      </c>
      <c r="H80" s="39">
        <v>3743900.0</v>
      </c>
    </row>
    <row r="81">
      <c r="B81" s="38">
        <v>45873.0</v>
      </c>
      <c r="C81" s="3">
        <v>145.39</v>
      </c>
      <c r="D81" s="3">
        <v>148.18</v>
      </c>
      <c r="E81" s="3">
        <v>145.0</v>
      </c>
      <c r="F81" s="3">
        <v>147.87</v>
      </c>
      <c r="G81" s="3">
        <v>146.56</v>
      </c>
      <c r="H81" s="39">
        <v>3641300.0</v>
      </c>
    </row>
    <row r="82">
      <c r="B82" s="38">
        <v>45870.0</v>
      </c>
      <c r="C82" s="3">
        <v>146.5</v>
      </c>
      <c r="D82" s="3">
        <v>146.72</v>
      </c>
      <c r="E82" s="3">
        <v>144.25</v>
      </c>
      <c r="F82" s="3">
        <v>144.41</v>
      </c>
      <c r="G82" s="3">
        <v>143.13</v>
      </c>
      <c r="H82" s="39">
        <v>4074400.0</v>
      </c>
    </row>
    <row r="83">
      <c r="B83" s="38">
        <v>45869.0</v>
      </c>
      <c r="C83" s="3">
        <v>146.19</v>
      </c>
      <c r="D83" s="3">
        <v>149.56</v>
      </c>
      <c r="E83" s="3">
        <v>145.56</v>
      </c>
      <c r="F83" s="3">
        <v>149.22</v>
      </c>
      <c r="G83" s="3">
        <v>147.9</v>
      </c>
      <c r="H83" s="39">
        <v>4390400.0</v>
      </c>
    </row>
    <row r="84">
      <c r="B84" s="38">
        <v>45868.0</v>
      </c>
      <c r="C84" s="3">
        <v>152.48</v>
      </c>
      <c r="D84" s="3">
        <v>152.5</v>
      </c>
      <c r="E84" s="3">
        <v>146.5</v>
      </c>
      <c r="F84" s="3">
        <v>146.62</v>
      </c>
      <c r="G84" s="3">
        <v>145.32</v>
      </c>
      <c r="H84" s="39">
        <v>3529500.0</v>
      </c>
    </row>
    <row r="85">
      <c r="B85" s="38">
        <v>45867.0</v>
      </c>
      <c r="C85" s="3">
        <v>152.4</v>
      </c>
      <c r="D85" s="3">
        <v>153.1</v>
      </c>
      <c r="E85" s="3">
        <v>151.15</v>
      </c>
      <c r="F85" s="3">
        <v>151.79</v>
      </c>
      <c r="G85" s="3">
        <v>150.45</v>
      </c>
      <c r="H85" s="39">
        <v>3918100.0</v>
      </c>
    </row>
    <row r="86">
      <c r="B86" s="38">
        <v>45866.0</v>
      </c>
      <c r="C86" s="3">
        <v>150.6</v>
      </c>
      <c r="D86" s="3">
        <v>153.88</v>
      </c>
      <c r="E86" s="3">
        <v>150.15</v>
      </c>
      <c r="F86" s="3">
        <v>152.05</v>
      </c>
      <c r="G86" s="3">
        <v>150.7</v>
      </c>
      <c r="H86" s="39">
        <v>3970300.0</v>
      </c>
    </row>
    <row r="87">
      <c r="B87" s="38">
        <v>45863.0</v>
      </c>
      <c r="C87" s="3">
        <v>150.0</v>
      </c>
      <c r="D87" s="3">
        <v>151.4</v>
      </c>
      <c r="E87" s="3">
        <v>149.2</v>
      </c>
      <c r="F87" s="3">
        <v>151.27</v>
      </c>
      <c r="G87" s="3">
        <v>149.93</v>
      </c>
      <c r="H87" s="39">
        <v>2818000.0</v>
      </c>
    </row>
    <row r="88">
      <c r="B88" s="38">
        <v>45862.0</v>
      </c>
      <c r="C88" s="3">
        <v>150.0</v>
      </c>
      <c r="D88" s="3">
        <v>151.29</v>
      </c>
      <c r="E88" s="3">
        <v>147.81</v>
      </c>
      <c r="F88" s="3">
        <v>149.3</v>
      </c>
      <c r="G88" s="3">
        <v>147.98</v>
      </c>
      <c r="H88" s="39">
        <v>4860900.0</v>
      </c>
    </row>
    <row r="89">
      <c r="B89" s="38">
        <v>45861.0</v>
      </c>
      <c r="C89" s="3">
        <v>151.92</v>
      </c>
      <c r="D89" s="3">
        <v>152.65</v>
      </c>
      <c r="E89" s="3">
        <v>149.8</v>
      </c>
      <c r="F89" s="3">
        <v>150.82</v>
      </c>
      <c r="G89" s="3">
        <v>149.48</v>
      </c>
      <c r="H89" s="39">
        <v>4976700.0</v>
      </c>
    </row>
    <row r="90">
      <c r="B90" s="38">
        <v>45860.0</v>
      </c>
      <c r="C90" s="3">
        <v>152.98</v>
      </c>
      <c r="D90" s="3">
        <v>154.06</v>
      </c>
      <c r="E90" s="3">
        <v>150.32</v>
      </c>
      <c r="F90" s="3">
        <v>151.2</v>
      </c>
      <c r="G90" s="3">
        <v>149.86</v>
      </c>
      <c r="H90" s="39">
        <v>4927800.0</v>
      </c>
    </row>
    <row r="91">
      <c r="B91" s="38">
        <v>45859.0</v>
      </c>
      <c r="C91" s="3">
        <v>152.25</v>
      </c>
      <c r="D91" s="3">
        <v>153.65</v>
      </c>
      <c r="E91" s="3">
        <v>149.34</v>
      </c>
      <c r="F91" s="3">
        <v>152.82</v>
      </c>
      <c r="G91" s="3">
        <v>151.47</v>
      </c>
      <c r="H91" s="39">
        <v>5194000.0</v>
      </c>
    </row>
    <row r="92">
      <c r="B92" s="38">
        <v>45856.0</v>
      </c>
      <c r="C92" s="3">
        <v>162.54</v>
      </c>
      <c r="D92" s="3">
        <v>164.15</v>
      </c>
      <c r="E92" s="3">
        <v>150.25</v>
      </c>
      <c r="F92" s="3">
        <v>153.23</v>
      </c>
      <c r="G92" s="3">
        <v>151.87</v>
      </c>
      <c r="H92" s="39">
        <v>1.17019E7</v>
      </c>
    </row>
    <row r="93">
      <c r="B93" s="38">
        <v>45855.0</v>
      </c>
      <c r="C93" s="3">
        <v>157.26</v>
      </c>
      <c r="D93" s="3">
        <v>159.47</v>
      </c>
      <c r="E93" s="3">
        <v>156.79</v>
      </c>
      <c r="F93" s="3">
        <v>159.04</v>
      </c>
      <c r="G93" s="3">
        <v>157.63</v>
      </c>
      <c r="H93" s="39">
        <v>5024200.0</v>
      </c>
    </row>
    <row r="94">
      <c r="B94" s="38">
        <v>45854.0</v>
      </c>
      <c r="C94" s="3">
        <v>157.62</v>
      </c>
      <c r="D94" s="3">
        <v>157.68</v>
      </c>
      <c r="E94" s="3">
        <v>154.85</v>
      </c>
      <c r="F94" s="3">
        <v>157.56</v>
      </c>
      <c r="G94" s="3">
        <v>156.16</v>
      </c>
      <c r="H94" s="39">
        <v>3194600.0</v>
      </c>
    </row>
    <row r="95">
      <c r="B95" s="38">
        <v>45853.0</v>
      </c>
      <c r="C95" s="3">
        <v>157.91</v>
      </c>
      <c r="D95" s="3">
        <v>158.28</v>
      </c>
      <c r="E95" s="3">
        <v>156.03</v>
      </c>
      <c r="F95" s="3">
        <v>156.59</v>
      </c>
      <c r="G95" s="3">
        <v>155.2</v>
      </c>
      <c r="H95" s="39">
        <v>3058900.0</v>
      </c>
    </row>
    <row r="96">
      <c r="B96" s="38">
        <v>45852.0</v>
      </c>
      <c r="C96" s="3">
        <v>155.59</v>
      </c>
      <c r="D96" s="3">
        <v>158.11</v>
      </c>
      <c r="E96" s="3">
        <v>154.92</v>
      </c>
      <c r="F96" s="3">
        <v>157.91</v>
      </c>
      <c r="G96" s="3">
        <v>156.51</v>
      </c>
      <c r="H96" s="39">
        <v>2961300.0</v>
      </c>
    </row>
    <row r="97">
      <c r="B97" s="38">
        <v>45849.0</v>
      </c>
      <c r="C97" s="3">
        <v>156.05</v>
      </c>
      <c r="D97" s="3">
        <v>156.55</v>
      </c>
      <c r="E97" s="3">
        <v>154.82</v>
      </c>
      <c r="F97" s="3">
        <v>155.84</v>
      </c>
      <c r="G97" s="3">
        <v>154.46</v>
      </c>
      <c r="H97" s="39">
        <v>2401300.0</v>
      </c>
    </row>
    <row r="98">
      <c r="B98" s="38">
        <v>45848.0</v>
      </c>
      <c r="C98" s="3">
        <v>156.11</v>
      </c>
      <c r="D98" s="3">
        <v>159.47</v>
      </c>
      <c r="E98" s="3">
        <v>155.96</v>
      </c>
      <c r="F98" s="3">
        <v>157.32</v>
      </c>
      <c r="G98" s="3">
        <v>155.93</v>
      </c>
      <c r="H98" s="39">
        <v>4043400.0</v>
      </c>
    </row>
    <row r="99">
      <c r="B99" s="38">
        <v>45847.0</v>
      </c>
      <c r="C99" s="3">
        <v>154.38</v>
      </c>
      <c r="D99" s="3">
        <v>156.65</v>
      </c>
      <c r="E99" s="3">
        <v>153.84</v>
      </c>
      <c r="F99" s="3">
        <v>155.98</v>
      </c>
      <c r="G99" s="3">
        <v>154.6</v>
      </c>
      <c r="H99" s="39">
        <v>2855900.0</v>
      </c>
    </row>
    <row r="100">
      <c r="B100" s="38">
        <v>45846.0</v>
      </c>
      <c r="C100" s="3">
        <v>151.73</v>
      </c>
      <c r="D100" s="3">
        <v>154.62</v>
      </c>
      <c r="E100" s="3">
        <v>151.53</v>
      </c>
      <c r="F100" s="3">
        <v>153.74</v>
      </c>
      <c r="G100" s="3">
        <v>152.38</v>
      </c>
      <c r="H100" s="39">
        <v>3252200.0</v>
      </c>
    </row>
    <row r="101">
      <c r="B101" s="38">
        <v>45845.0</v>
      </c>
      <c r="C101" s="3">
        <v>152.8</v>
      </c>
      <c r="D101" s="3">
        <v>154.47</v>
      </c>
      <c r="E101" s="3">
        <v>150.95</v>
      </c>
      <c r="F101" s="3">
        <v>151.84</v>
      </c>
      <c r="G101" s="3">
        <v>150.49</v>
      </c>
      <c r="H101" s="39">
        <v>3877000.0</v>
      </c>
    </row>
    <row r="102">
      <c r="B102" s="38">
        <v>45841.0</v>
      </c>
      <c r="C102" s="3">
        <v>154.25</v>
      </c>
      <c r="D102" s="3">
        <v>155.0</v>
      </c>
      <c r="E102" s="3">
        <v>149.5</v>
      </c>
      <c r="F102" s="3">
        <v>152.94</v>
      </c>
      <c r="G102" s="3">
        <v>151.59</v>
      </c>
      <c r="H102" s="39">
        <v>3182900.0</v>
      </c>
    </row>
    <row r="103">
      <c r="B103" s="38">
        <v>45840.0</v>
      </c>
      <c r="C103" s="3">
        <v>154.21</v>
      </c>
      <c r="D103" s="3">
        <v>155.45</v>
      </c>
      <c r="E103" s="3">
        <v>153.21</v>
      </c>
      <c r="F103" s="3">
        <v>153.97</v>
      </c>
      <c r="G103" s="3">
        <v>152.61</v>
      </c>
      <c r="H103" s="39">
        <v>2864700.0</v>
      </c>
    </row>
    <row r="104">
      <c r="B104" s="38">
        <v>45839.0</v>
      </c>
      <c r="C104" s="3">
        <v>152.0</v>
      </c>
      <c r="D104" s="3">
        <v>156.09</v>
      </c>
      <c r="E104" s="3">
        <v>151.42</v>
      </c>
      <c r="F104" s="3">
        <v>153.81</v>
      </c>
      <c r="G104" s="3">
        <v>152.45</v>
      </c>
      <c r="H104" s="39">
        <v>3781900.0</v>
      </c>
    </row>
    <row r="105">
      <c r="B105" s="38">
        <v>45838.0</v>
      </c>
      <c r="C105" s="3">
        <v>152.28</v>
      </c>
      <c r="D105" s="3">
        <v>152.46</v>
      </c>
      <c r="E105" s="3">
        <v>151.0</v>
      </c>
      <c r="F105" s="3">
        <v>152.24</v>
      </c>
      <c r="G105" s="3">
        <v>150.89</v>
      </c>
      <c r="H105" s="39">
        <v>2302800.0</v>
      </c>
    </row>
    <row r="106">
      <c r="B106" s="38">
        <v>45835.0</v>
      </c>
      <c r="C106" s="3">
        <v>151.14</v>
      </c>
      <c r="D106" s="3">
        <v>152.87</v>
      </c>
      <c r="E106" s="3">
        <v>150.56</v>
      </c>
      <c r="F106" s="3">
        <v>152.02</v>
      </c>
      <c r="G106" s="3">
        <v>150.67</v>
      </c>
      <c r="H106" s="39">
        <v>3938200.0</v>
      </c>
    </row>
    <row r="107">
      <c r="B107" s="38">
        <v>45834.0</v>
      </c>
      <c r="C107" s="3">
        <v>147.69</v>
      </c>
      <c r="D107" s="3">
        <v>151.11</v>
      </c>
      <c r="E107" s="3">
        <v>147.31</v>
      </c>
      <c r="F107" s="3">
        <v>150.76</v>
      </c>
      <c r="G107" s="3">
        <v>149.42</v>
      </c>
      <c r="H107" s="39">
        <v>2740100.0</v>
      </c>
    </row>
    <row r="108">
      <c r="B108" s="38">
        <v>45833.0</v>
      </c>
      <c r="C108" s="3">
        <v>149.7</v>
      </c>
      <c r="D108" s="3">
        <v>149.86</v>
      </c>
      <c r="E108" s="3">
        <v>147.12</v>
      </c>
      <c r="F108" s="3">
        <v>147.75</v>
      </c>
      <c r="G108" s="3">
        <v>146.44</v>
      </c>
      <c r="H108" s="39">
        <v>2378000.0</v>
      </c>
    </row>
    <row r="109">
      <c r="B109" s="38">
        <v>45832.0</v>
      </c>
      <c r="C109" s="3">
        <v>148.64</v>
      </c>
      <c r="D109" s="3">
        <v>150.29</v>
      </c>
      <c r="E109" s="3">
        <v>148.01</v>
      </c>
      <c r="F109" s="3">
        <v>149.87</v>
      </c>
      <c r="G109" s="3">
        <v>148.54</v>
      </c>
      <c r="H109" s="39">
        <v>2700500.0</v>
      </c>
    </row>
    <row r="110">
      <c r="B110" s="38">
        <v>45831.0</v>
      </c>
      <c r="C110" s="3">
        <v>144.39</v>
      </c>
      <c r="D110" s="3">
        <v>147.72</v>
      </c>
      <c r="E110" s="3">
        <v>143.35</v>
      </c>
      <c r="F110" s="3">
        <v>147.6</v>
      </c>
      <c r="G110" s="3">
        <v>146.29</v>
      </c>
      <c r="H110" s="39">
        <v>2904700.0</v>
      </c>
    </row>
    <row r="111">
      <c r="B111" s="38">
        <v>45828.0</v>
      </c>
      <c r="C111" s="3">
        <v>143.31</v>
      </c>
      <c r="D111" s="3">
        <v>144.05</v>
      </c>
      <c r="E111" s="3">
        <v>141.82</v>
      </c>
      <c r="F111" s="3">
        <v>144.03</v>
      </c>
      <c r="G111" s="3">
        <v>142.75</v>
      </c>
      <c r="H111" s="39">
        <v>5566700.0</v>
      </c>
    </row>
    <row r="112">
      <c r="B112" s="38">
        <v>45826.0</v>
      </c>
      <c r="C112" s="3">
        <v>142.13</v>
      </c>
      <c r="D112" s="3">
        <v>143.67</v>
      </c>
      <c r="E112" s="3">
        <v>141.57</v>
      </c>
      <c r="F112" s="3">
        <v>142.51</v>
      </c>
      <c r="G112" s="3">
        <v>141.25</v>
      </c>
      <c r="H112" s="39">
        <v>2629100.0</v>
      </c>
    </row>
    <row r="113">
      <c r="B113" s="38">
        <v>45825.0</v>
      </c>
      <c r="C113" s="3">
        <v>144.06</v>
      </c>
      <c r="D113" s="3">
        <v>144.88</v>
      </c>
      <c r="E113" s="3">
        <v>141.97</v>
      </c>
      <c r="F113" s="3">
        <v>142.21</v>
      </c>
      <c r="G113" s="3">
        <v>140.95</v>
      </c>
      <c r="H113" s="39">
        <v>1739900.0</v>
      </c>
    </row>
    <row r="114">
      <c r="B114" s="38">
        <v>45824.0</v>
      </c>
      <c r="C114" s="3">
        <v>143.68</v>
      </c>
      <c r="D114" s="3">
        <v>145.39</v>
      </c>
      <c r="E114" s="3">
        <v>143.51</v>
      </c>
      <c r="F114" s="3">
        <v>145.07</v>
      </c>
      <c r="G114" s="3">
        <v>143.78</v>
      </c>
      <c r="H114" s="39">
        <v>1681300.0</v>
      </c>
    </row>
    <row r="115">
      <c r="B115" s="38">
        <v>45821.0</v>
      </c>
      <c r="C115" s="3">
        <v>143.13</v>
      </c>
      <c r="D115" s="3">
        <v>144.45</v>
      </c>
      <c r="E115" s="3">
        <v>141.73</v>
      </c>
      <c r="F115" s="3">
        <v>142.32</v>
      </c>
      <c r="G115" s="3">
        <v>141.06</v>
      </c>
      <c r="H115" s="39">
        <v>2450400.0</v>
      </c>
    </row>
    <row r="116">
      <c r="B116" s="38">
        <v>45820.0</v>
      </c>
      <c r="C116" s="3">
        <v>146.42</v>
      </c>
      <c r="D116" s="3">
        <v>147.27</v>
      </c>
      <c r="E116" s="3">
        <v>144.49</v>
      </c>
      <c r="F116" s="3">
        <v>144.77</v>
      </c>
      <c r="G116" s="3">
        <v>143.49</v>
      </c>
      <c r="H116" s="39">
        <v>2069700.0</v>
      </c>
    </row>
    <row r="117">
      <c r="B117" s="38">
        <v>45819.0</v>
      </c>
      <c r="C117" s="3">
        <v>145.04</v>
      </c>
      <c r="D117" s="3">
        <v>148.05</v>
      </c>
      <c r="E117" s="3">
        <v>144.42</v>
      </c>
      <c r="F117" s="3">
        <v>147.18</v>
      </c>
      <c r="G117" s="3">
        <v>145.88</v>
      </c>
      <c r="H117" s="39">
        <v>2904400.0</v>
      </c>
    </row>
    <row r="118">
      <c r="B118" s="38">
        <v>45818.0</v>
      </c>
      <c r="C118" s="3">
        <v>144.24</v>
      </c>
      <c r="D118" s="3">
        <v>145.31</v>
      </c>
      <c r="E118" s="3">
        <v>143.15</v>
      </c>
      <c r="F118" s="3">
        <v>145.06</v>
      </c>
      <c r="G118" s="3">
        <v>143.78</v>
      </c>
      <c r="H118" s="39">
        <v>3129200.0</v>
      </c>
    </row>
    <row r="119">
      <c r="B119" s="38">
        <v>45817.0</v>
      </c>
      <c r="C119" s="3">
        <v>145.55</v>
      </c>
      <c r="D119" s="3">
        <v>146.03</v>
      </c>
      <c r="E119" s="3">
        <v>142.67</v>
      </c>
      <c r="F119" s="3">
        <v>144.23</v>
      </c>
      <c r="G119" s="3">
        <v>142.95</v>
      </c>
      <c r="H119" s="39">
        <v>3401900.0</v>
      </c>
    </row>
    <row r="120">
      <c r="B120" s="38">
        <v>45814.0</v>
      </c>
      <c r="C120" s="3">
        <v>148.0</v>
      </c>
      <c r="D120" s="3">
        <v>148.46</v>
      </c>
      <c r="E120" s="3">
        <v>145.44</v>
      </c>
      <c r="F120" s="3">
        <v>145.5</v>
      </c>
      <c r="G120" s="3">
        <v>144.21</v>
      </c>
      <c r="H120" s="39">
        <v>2297100.0</v>
      </c>
    </row>
    <row r="121">
      <c r="B121" s="38">
        <v>45813.0</v>
      </c>
      <c r="C121" s="3">
        <v>147.04</v>
      </c>
      <c r="D121" s="3">
        <v>147.26</v>
      </c>
      <c r="E121" s="3">
        <v>144.89</v>
      </c>
      <c r="F121" s="3">
        <v>146.26</v>
      </c>
      <c r="G121" s="3">
        <v>144.96</v>
      </c>
      <c r="H121" s="39">
        <v>3568300.0</v>
      </c>
    </row>
    <row r="122">
      <c r="B122" s="38">
        <v>45812.0</v>
      </c>
      <c r="C122" s="3">
        <v>148.91</v>
      </c>
      <c r="D122" s="3">
        <v>148.95</v>
      </c>
      <c r="E122" s="3">
        <v>146.71</v>
      </c>
      <c r="F122" s="3">
        <v>146.81</v>
      </c>
      <c r="G122" s="3">
        <v>145.51</v>
      </c>
      <c r="H122" s="39">
        <v>2346900.0</v>
      </c>
    </row>
    <row r="123">
      <c r="B123" s="38">
        <v>45811.0</v>
      </c>
      <c r="C123" s="3">
        <v>146.31</v>
      </c>
      <c r="D123" s="3">
        <v>148.36</v>
      </c>
      <c r="E123" s="3">
        <v>145.21</v>
      </c>
      <c r="F123" s="3">
        <v>148.13</v>
      </c>
      <c r="G123" s="3">
        <v>146.82</v>
      </c>
      <c r="H123" s="39">
        <v>2343300.0</v>
      </c>
    </row>
    <row r="124">
      <c r="B124" s="38">
        <v>45810.0</v>
      </c>
      <c r="C124" s="3">
        <v>147.87</v>
      </c>
      <c r="D124" s="3">
        <v>148.3</v>
      </c>
      <c r="E124" s="3">
        <v>143.91</v>
      </c>
      <c r="F124" s="3">
        <v>146.4</v>
      </c>
      <c r="G124" s="3">
        <v>145.1</v>
      </c>
      <c r="H124" s="39">
        <v>2825700.0</v>
      </c>
    </row>
    <row r="125">
      <c r="B125" s="40">
        <v>45807.0</v>
      </c>
      <c r="C125" s="3">
        <v>148.73</v>
      </c>
      <c r="D125" s="3">
        <v>149.45</v>
      </c>
      <c r="E125" s="3">
        <v>147.6</v>
      </c>
      <c r="F125" s="3">
        <v>148.35</v>
      </c>
      <c r="G125" s="3">
        <v>147.04</v>
      </c>
      <c r="H125" s="39">
        <v>5339800.0</v>
      </c>
    </row>
    <row r="126">
      <c r="B126" s="40">
        <v>45806.0</v>
      </c>
      <c r="C126" s="3">
        <v>149.87</v>
      </c>
      <c r="D126" s="3">
        <v>150.36</v>
      </c>
      <c r="E126" s="3">
        <v>148.18</v>
      </c>
      <c r="F126" s="3">
        <v>149.63</v>
      </c>
      <c r="G126" s="3">
        <v>148.3</v>
      </c>
      <c r="H126" s="39">
        <v>2621400.0</v>
      </c>
    </row>
    <row r="127">
      <c r="B127" s="40">
        <v>45805.0</v>
      </c>
      <c r="C127" s="3">
        <v>149.65</v>
      </c>
      <c r="D127" s="3">
        <v>150.0</v>
      </c>
      <c r="E127" s="3">
        <v>148.19</v>
      </c>
      <c r="F127" s="3">
        <v>148.66</v>
      </c>
      <c r="G127" s="3">
        <v>147.34</v>
      </c>
      <c r="H127" s="39">
        <v>2297500.0</v>
      </c>
    </row>
    <row r="128">
      <c r="B128" s="40">
        <v>45804.0</v>
      </c>
      <c r="C128" s="3">
        <v>150.0</v>
      </c>
      <c r="D128" s="3">
        <v>150.0</v>
      </c>
      <c r="E128" s="3">
        <v>146.66</v>
      </c>
      <c r="F128" s="3">
        <v>149.49</v>
      </c>
      <c r="G128" s="3">
        <v>148.17</v>
      </c>
      <c r="H128" s="39">
        <v>3155300.0</v>
      </c>
    </row>
    <row r="129">
      <c r="B129" s="40">
        <v>45800.0</v>
      </c>
      <c r="C129" s="3" t="s">
        <v>83</v>
      </c>
    </row>
    <row r="130">
      <c r="B130" s="40">
        <v>45800.0</v>
      </c>
      <c r="C130" s="3">
        <v>147.45</v>
      </c>
      <c r="D130" s="3">
        <v>148.69</v>
      </c>
      <c r="E130" s="3">
        <v>147.01</v>
      </c>
      <c r="F130" s="3">
        <v>147.62</v>
      </c>
      <c r="G130" s="3">
        <v>146.31</v>
      </c>
      <c r="H130" s="39">
        <v>2369800.0</v>
      </c>
    </row>
    <row r="131">
      <c r="B131" s="40">
        <v>45799.0</v>
      </c>
      <c r="C131" s="3">
        <v>149.72</v>
      </c>
      <c r="D131" s="3">
        <v>150.57</v>
      </c>
      <c r="E131" s="3">
        <v>147.68</v>
      </c>
      <c r="F131" s="3">
        <v>149.78</v>
      </c>
      <c r="G131" s="3">
        <v>147.73</v>
      </c>
      <c r="H131" s="39">
        <v>2862800.0</v>
      </c>
    </row>
    <row r="132">
      <c r="B132" s="40">
        <v>45798.0</v>
      </c>
      <c r="C132" s="3">
        <v>152.32</v>
      </c>
      <c r="D132" s="3">
        <v>153.17</v>
      </c>
      <c r="E132" s="3">
        <v>149.33</v>
      </c>
      <c r="F132" s="3">
        <v>149.4</v>
      </c>
      <c r="G132" s="3">
        <v>147.35</v>
      </c>
      <c r="H132" s="39">
        <v>2661800.0</v>
      </c>
    </row>
    <row r="133">
      <c r="B133" s="40">
        <v>45797.0</v>
      </c>
      <c r="C133" s="3">
        <v>153.26</v>
      </c>
      <c r="D133" s="3">
        <v>154.73</v>
      </c>
      <c r="E133" s="3">
        <v>153.25</v>
      </c>
      <c r="F133" s="3">
        <v>154.15</v>
      </c>
      <c r="G133" s="3">
        <v>152.04</v>
      </c>
      <c r="H133" s="39">
        <v>2529700.0</v>
      </c>
    </row>
    <row r="134">
      <c r="B134" s="40">
        <v>45796.0</v>
      </c>
      <c r="C134" s="3">
        <v>151.95</v>
      </c>
      <c r="D134" s="3">
        <v>154.26</v>
      </c>
      <c r="E134" s="3">
        <v>151.11</v>
      </c>
      <c r="F134" s="3">
        <v>154.14</v>
      </c>
      <c r="G134" s="3">
        <v>152.03</v>
      </c>
      <c r="H134" s="39">
        <v>2613600.0</v>
      </c>
    </row>
    <row r="135">
      <c r="B135" s="40">
        <v>45793.0</v>
      </c>
      <c r="C135" s="3">
        <v>149.43</v>
      </c>
      <c r="D135" s="3">
        <v>153.28</v>
      </c>
      <c r="E135" s="3">
        <v>148.95</v>
      </c>
      <c r="F135" s="3">
        <v>153.11</v>
      </c>
      <c r="G135" s="3">
        <v>151.01</v>
      </c>
      <c r="H135" s="39">
        <v>4204500.0</v>
      </c>
    </row>
    <row r="136">
      <c r="B136" s="40">
        <v>45792.0</v>
      </c>
      <c r="C136" s="3">
        <v>146.33</v>
      </c>
      <c r="D136" s="3">
        <v>149.18</v>
      </c>
      <c r="E136" s="3">
        <v>145.36</v>
      </c>
      <c r="F136" s="3">
        <v>148.74</v>
      </c>
      <c r="G136" s="3">
        <v>146.7</v>
      </c>
      <c r="H136" s="39">
        <v>4472100.0</v>
      </c>
    </row>
    <row r="137">
      <c r="B137" s="40">
        <v>45791.0</v>
      </c>
      <c r="C137" s="3">
        <v>150.75</v>
      </c>
      <c r="D137" s="3">
        <v>150.77</v>
      </c>
      <c r="E137" s="3">
        <v>146.96</v>
      </c>
      <c r="F137" s="3">
        <v>147.88</v>
      </c>
      <c r="G137" s="3">
        <v>145.86</v>
      </c>
      <c r="H137" s="39">
        <v>3778700.0</v>
      </c>
    </row>
    <row r="138">
      <c r="B138" s="40">
        <v>45790.0</v>
      </c>
      <c r="C138" s="3">
        <v>150.81</v>
      </c>
      <c r="D138" s="3">
        <v>151.75</v>
      </c>
      <c r="E138" s="3">
        <v>150.17</v>
      </c>
      <c r="F138" s="3">
        <v>150.74</v>
      </c>
      <c r="G138" s="3">
        <v>148.68</v>
      </c>
      <c r="H138" s="39">
        <v>3455700.0</v>
      </c>
    </row>
    <row r="139">
      <c r="B139" s="40">
        <v>45789.0</v>
      </c>
      <c r="C139" s="3">
        <v>146.09</v>
      </c>
      <c r="D139" s="3">
        <v>150.82</v>
      </c>
      <c r="E139" s="3">
        <v>145.27</v>
      </c>
      <c r="F139" s="3">
        <v>150.33</v>
      </c>
      <c r="G139" s="3">
        <v>148.27</v>
      </c>
      <c r="H139" s="39">
        <v>4974800.0</v>
      </c>
    </row>
    <row r="140">
      <c r="B140" s="40">
        <v>45786.0</v>
      </c>
      <c r="C140" s="3">
        <v>141.26</v>
      </c>
      <c r="D140" s="3">
        <v>142.62</v>
      </c>
      <c r="E140" s="3">
        <v>140.96</v>
      </c>
      <c r="F140" s="3">
        <v>142.6</v>
      </c>
      <c r="G140" s="3">
        <v>140.65</v>
      </c>
      <c r="H140" s="39">
        <v>2634100.0</v>
      </c>
    </row>
    <row r="141">
      <c r="B141" s="40">
        <v>45785.0</v>
      </c>
      <c r="C141" s="3">
        <v>140.0</v>
      </c>
      <c r="D141" s="3">
        <v>142.36</v>
      </c>
      <c r="E141" s="3">
        <v>139.21</v>
      </c>
      <c r="F141" s="3">
        <v>141.12</v>
      </c>
      <c r="G141" s="3">
        <v>139.19</v>
      </c>
      <c r="H141" s="39">
        <v>2899500.0</v>
      </c>
    </row>
    <row r="142">
      <c r="B142" s="40">
        <v>45784.0</v>
      </c>
      <c r="C142" s="3">
        <v>138.27</v>
      </c>
      <c r="D142" s="3">
        <v>139.79</v>
      </c>
      <c r="E142" s="3">
        <v>137.7</v>
      </c>
      <c r="F142" s="3">
        <v>138.64</v>
      </c>
      <c r="G142" s="3">
        <v>136.74</v>
      </c>
      <c r="H142" s="39">
        <v>2555400.0</v>
      </c>
    </row>
    <row r="143">
      <c r="B143" s="40">
        <v>45783.0</v>
      </c>
      <c r="C143" s="3">
        <v>139.13</v>
      </c>
      <c r="D143" s="3">
        <v>139.71</v>
      </c>
      <c r="E143" s="3">
        <v>137.63</v>
      </c>
      <c r="F143" s="3">
        <v>138.02</v>
      </c>
      <c r="G143" s="3">
        <v>136.13</v>
      </c>
      <c r="H143" s="39">
        <v>2850000.0</v>
      </c>
    </row>
    <row r="144">
      <c r="B144" s="40">
        <v>45782.0</v>
      </c>
      <c r="C144" s="3">
        <v>140.62</v>
      </c>
      <c r="D144" s="3">
        <v>141.87</v>
      </c>
      <c r="E144" s="3">
        <v>139.87</v>
      </c>
      <c r="F144" s="3">
        <v>140.8</v>
      </c>
      <c r="G144" s="3">
        <v>138.87</v>
      </c>
      <c r="H144" s="39">
        <v>2623500.0</v>
      </c>
    </row>
    <row r="145">
      <c r="B145" s="40">
        <v>45779.0</v>
      </c>
      <c r="C145" s="3">
        <v>140.0</v>
      </c>
      <c r="D145" s="3">
        <v>143.04</v>
      </c>
      <c r="E145" s="3">
        <v>139.29</v>
      </c>
      <c r="F145" s="3">
        <v>142.08</v>
      </c>
      <c r="G145" s="3">
        <v>140.14</v>
      </c>
      <c r="H145" s="39">
        <v>2734200.0</v>
      </c>
    </row>
    <row r="146">
      <c r="B146" s="40">
        <v>45778.0</v>
      </c>
      <c r="C146" s="3">
        <v>138.28</v>
      </c>
      <c r="D146" s="3">
        <v>140.25</v>
      </c>
      <c r="E146" s="3">
        <v>137.67</v>
      </c>
      <c r="F146" s="3">
        <v>137.9</v>
      </c>
      <c r="G146" s="3">
        <v>136.01</v>
      </c>
      <c r="H146" s="39">
        <v>2236300.0</v>
      </c>
    </row>
    <row r="147">
      <c r="B147" s="38">
        <v>45777.0</v>
      </c>
      <c r="C147" s="3">
        <v>137.63</v>
      </c>
      <c r="D147" s="3">
        <v>139.31</v>
      </c>
      <c r="E147" s="3">
        <v>134.85</v>
      </c>
      <c r="F147" s="3">
        <v>138.91</v>
      </c>
      <c r="G147" s="3">
        <v>137.01</v>
      </c>
      <c r="H147" s="39">
        <v>3062800.0</v>
      </c>
    </row>
    <row r="148">
      <c r="B148" s="38">
        <v>45776.0</v>
      </c>
      <c r="C148" s="3">
        <v>137.5</v>
      </c>
      <c r="D148" s="3">
        <v>139.22</v>
      </c>
      <c r="E148" s="3">
        <v>136.84</v>
      </c>
      <c r="F148" s="3">
        <v>138.38</v>
      </c>
      <c r="G148" s="3">
        <v>136.49</v>
      </c>
      <c r="H148" s="39">
        <v>1917200.0</v>
      </c>
    </row>
    <row r="149">
      <c r="B149" s="38">
        <v>45775.0</v>
      </c>
      <c r="C149" s="3">
        <v>137.32</v>
      </c>
      <c r="D149" s="3">
        <v>138.41</v>
      </c>
      <c r="E149" s="3">
        <v>136.04</v>
      </c>
      <c r="F149" s="3">
        <v>137.93</v>
      </c>
      <c r="G149" s="3">
        <v>136.04</v>
      </c>
      <c r="H149" s="39">
        <v>2499900.0</v>
      </c>
    </row>
    <row r="150">
      <c r="B150" s="38">
        <v>45772.0</v>
      </c>
      <c r="C150" s="3">
        <v>139.0</v>
      </c>
      <c r="D150" s="3">
        <v>139.0</v>
      </c>
      <c r="E150" s="3">
        <v>137.1</v>
      </c>
      <c r="F150" s="3">
        <v>137.32</v>
      </c>
      <c r="G150" s="3">
        <v>135.44</v>
      </c>
      <c r="H150" s="39">
        <v>2141300.0</v>
      </c>
    </row>
    <row r="151">
      <c r="B151" s="38">
        <v>45771.0</v>
      </c>
      <c r="C151" s="3">
        <v>135.64</v>
      </c>
      <c r="D151" s="3">
        <v>139.76</v>
      </c>
      <c r="E151" s="3">
        <v>135.12</v>
      </c>
      <c r="F151" s="3">
        <v>138.88</v>
      </c>
      <c r="G151" s="3">
        <v>136.98</v>
      </c>
      <c r="H151" s="39">
        <v>2921100.0</v>
      </c>
    </row>
    <row r="152">
      <c r="B152" s="38">
        <v>45770.0</v>
      </c>
      <c r="C152" s="3">
        <v>139.38</v>
      </c>
      <c r="D152" s="3">
        <v>142.15</v>
      </c>
      <c r="E152" s="3">
        <v>135.2</v>
      </c>
      <c r="F152" s="3">
        <v>136.06</v>
      </c>
      <c r="G152" s="3">
        <v>134.2</v>
      </c>
      <c r="H152" s="39">
        <v>4655800.0</v>
      </c>
    </row>
    <row r="153">
      <c r="B153" s="38">
        <v>45769.0</v>
      </c>
      <c r="C153" s="3">
        <v>133.29</v>
      </c>
      <c r="D153" s="3">
        <v>137.27</v>
      </c>
      <c r="E153" s="3">
        <v>130.36</v>
      </c>
      <c r="F153" s="3">
        <v>136.33</v>
      </c>
      <c r="G153" s="3">
        <v>134.46</v>
      </c>
      <c r="H153" s="39">
        <v>7943800.0</v>
      </c>
    </row>
    <row r="154">
      <c r="B154" s="38">
        <v>45768.0</v>
      </c>
      <c r="C154" s="3">
        <v>129.0</v>
      </c>
      <c r="D154" s="3">
        <v>129.84</v>
      </c>
      <c r="E154" s="3">
        <v>124.65</v>
      </c>
      <c r="F154" s="3">
        <v>126.09</v>
      </c>
      <c r="G154" s="3">
        <v>124.36</v>
      </c>
      <c r="H154" s="39">
        <v>5971800.0</v>
      </c>
    </row>
    <row r="155">
      <c r="B155" s="38">
        <v>45764.0</v>
      </c>
      <c r="C155" s="3">
        <v>130.34</v>
      </c>
      <c r="D155" s="3">
        <v>132.95</v>
      </c>
      <c r="E155" s="3">
        <v>130.08</v>
      </c>
      <c r="F155" s="3">
        <v>130.21</v>
      </c>
      <c r="G155" s="3">
        <v>128.43</v>
      </c>
      <c r="H155" s="39">
        <v>4952000.0</v>
      </c>
    </row>
    <row r="156">
      <c r="B156" s="38">
        <v>45763.0</v>
      </c>
      <c r="C156" s="3">
        <v>133.51</v>
      </c>
      <c r="D156" s="3">
        <v>134.48</v>
      </c>
      <c r="E156" s="3">
        <v>129.87</v>
      </c>
      <c r="F156" s="3">
        <v>130.46</v>
      </c>
      <c r="G156" s="3">
        <v>128.67</v>
      </c>
      <c r="H156" s="39">
        <v>5635500.0</v>
      </c>
    </row>
    <row r="157">
      <c r="B157" s="38">
        <v>45762.0</v>
      </c>
      <c r="C157" s="3">
        <v>136.01</v>
      </c>
      <c r="D157" s="3">
        <v>137.47</v>
      </c>
      <c r="E157" s="3">
        <v>135.14</v>
      </c>
      <c r="F157" s="3">
        <v>135.26</v>
      </c>
      <c r="G157" s="3">
        <v>133.41</v>
      </c>
      <c r="H157" s="39">
        <v>2541700.0</v>
      </c>
    </row>
    <row r="158">
      <c r="B158" s="38">
        <v>45761.0</v>
      </c>
      <c r="C158" s="3">
        <v>138.11</v>
      </c>
      <c r="D158" s="3">
        <v>138.29</v>
      </c>
      <c r="E158" s="3">
        <v>134.43</v>
      </c>
      <c r="F158" s="3">
        <v>136.01</v>
      </c>
      <c r="G158" s="3">
        <v>134.15</v>
      </c>
      <c r="H158" s="39">
        <v>3815800.0</v>
      </c>
    </row>
    <row r="159">
      <c r="B159" s="38">
        <v>45758.0</v>
      </c>
      <c r="C159" s="3">
        <v>133.13</v>
      </c>
      <c r="D159" s="3">
        <v>136.49</v>
      </c>
      <c r="E159" s="3">
        <v>131.66</v>
      </c>
      <c r="F159" s="3">
        <v>135.95</v>
      </c>
      <c r="G159" s="3">
        <v>134.09</v>
      </c>
      <c r="H159" s="39">
        <v>3337600.0</v>
      </c>
    </row>
    <row r="160">
      <c r="B160" s="38">
        <v>45757.0</v>
      </c>
      <c r="C160" s="3">
        <v>135.75</v>
      </c>
      <c r="D160" s="3">
        <v>135.79</v>
      </c>
      <c r="E160" s="3">
        <v>128.68</v>
      </c>
      <c r="F160" s="3">
        <v>132.97</v>
      </c>
      <c r="G160" s="3">
        <v>131.15</v>
      </c>
      <c r="H160" s="39">
        <v>4757100.0</v>
      </c>
    </row>
    <row r="161">
      <c r="B161" s="38">
        <v>45756.0</v>
      </c>
      <c r="C161" s="3">
        <v>125.0</v>
      </c>
      <c r="D161" s="3">
        <v>139.23</v>
      </c>
      <c r="E161" s="3">
        <v>123.44</v>
      </c>
      <c r="F161" s="3">
        <v>138.32</v>
      </c>
      <c r="G161" s="3">
        <v>136.43</v>
      </c>
      <c r="H161" s="39">
        <v>6428100.0</v>
      </c>
    </row>
    <row r="162">
      <c r="B162" s="38">
        <v>45755.0</v>
      </c>
      <c r="C162" s="3">
        <v>132.24</v>
      </c>
      <c r="D162" s="3">
        <v>133.87</v>
      </c>
      <c r="E162" s="3">
        <v>124.82</v>
      </c>
      <c r="F162" s="3">
        <v>127.16</v>
      </c>
      <c r="G162" s="3">
        <v>125.42</v>
      </c>
      <c r="H162" s="39">
        <v>5496800.0</v>
      </c>
    </row>
    <row r="163">
      <c r="B163" s="38">
        <v>45754.0</v>
      </c>
      <c r="C163" s="3">
        <v>124.73</v>
      </c>
      <c r="D163" s="3">
        <v>134.37</v>
      </c>
      <c r="E163" s="3">
        <v>121.98</v>
      </c>
      <c r="F163" s="3">
        <v>128.55</v>
      </c>
      <c r="G163" s="3">
        <v>126.79</v>
      </c>
      <c r="H163" s="39">
        <v>7174700.0</v>
      </c>
    </row>
    <row r="164">
      <c r="B164" s="38">
        <v>45751.0</v>
      </c>
      <c r="C164" s="3">
        <v>134.19</v>
      </c>
      <c r="D164" s="3">
        <v>135.31</v>
      </c>
      <c r="E164" s="3">
        <v>126.43</v>
      </c>
      <c r="F164" s="3">
        <v>126.91</v>
      </c>
      <c r="G164" s="3">
        <v>125.17</v>
      </c>
      <c r="H164" s="39">
        <v>9609100.0</v>
      </c>
    </row>
    <row r="165">
      <c r="B165" s="38">
        <v>45750.0</v>
      </c>
      <c r="C165" s="3">
        <v>142.84</v>
      </c>
      <c r="D165" s="3">
        <v>144.49</v>
      </c>
      <c r="E165" s="3">
        <v>138.85</v>
      </c>
      <c r="F165" s="3">
        <v>139.74</v>
      </c>
      <c r="G165" s="3">
        <v>137.83</v>
      </c>
      <c r="H165" s="39">
        <v>6712300.0</v>
      </c>
    </row>
    <row r="166">
      <c r="B166" s="38">
        <v>45749.0</v>
      </c>
      <c r="C166" s="3">
        <v>145.71</v>
      </c>
      <c r="D166" s="3">
        <v>148.17</v>
      </c>
      <c r="E166" s="3">
        <v>145.59</v>
      </c>
      <c r="F166" s="3">
        <v>147.76</v>
      </c>
      <c r="G166" s="3">
        <v>145.74</v>
      </c>
      <c r="H166" s="39">
        <v>4411100.0</v>
      </c>
    </row>
    <row r="167">
      <c r="B167" s="38">
        <v>45748.0</v>
      </c>
      <c r="C167" s="3">
        <v>145.7</v>
      </c>
      <c r="D167" s="3">
        <v>148.69</v>
      </c>
      <c r="E167" s="3">
        <v>144.18</v>
      </c>
      <c r="F167" s="3">
        <v>147.67</v>
      </c>
      <c r="G167" s="3">
        <v>145.65</v>
      </c>
      <c r="H167" s="39">
        <v>3641300.0</v>
      </c>
    </row>
    <row r="168">
      <c r="B168" s="38">
        <v>45747.0</v>
      </c>
      <c r="C168" s="3">
        <v>143.99</v>
      </c>
      <c r="D168" s="3">
        <v>147.74</v>
      </c>
      <c r="E168" s="3">
        <v>142.18</v>
      </c>
      <c r="F168" s="3">
        <v>146.86</v>
      </c>
      <c r="G168" s="3">
        <v>144.85</v>
      </c>
      <c r="H168" s="39">
        <v>4508600.0</v>
      </c>
    </row>
    <row r="169">
      <c r="B169" s="38">
        <v>45744.0</v>
      </c>
      <c r="C169" s="3">
        <v>147.86</v>
      </c>
      <c r="D169" s="3">
        <v>148.85</v>
      </c>
      <c r="E169" s="3">
        <v>144.33</v>
      </c>
      <c r="F169" s="3">
        <v>144.84</v>
      </c>
      <c r="G169" s="3">
        <v>142.86</v>
      </c>
      <c r="H169" s="39">
        <v>2581500.0</v>
      </c>
    </row>
    <row r="170">
      <c r="B170" s="38">
        <v>45743.0</v>
      </c>
      <c r="C170" s="3">
        <v>152.67</v>
      </c>
      <c r="D170" s="3">
        <v>152.67</v>
      </c>
      <c r="E170" s="3">
        <v>148.12</v>
      </c>
      <c r="F170" s="3">
        <v>148.44</v>
      </c>
      <c r="G170" s="3">
        <v>146.41</v>
      </c>
      <c r="H170" s="39">
        <v>2825300.0</v>
      </c>
    </row>
    <row r="171">
      <c r="B171" s="38">
        <v>45742.0</v>
      </c>
      <c r="C171" s="3">
        <v>153.45</v>
      </c>
      <c r="D171" s="3">
        <v>154.43</v>
      </c>
      <c r="E171" s="3">
        <v>152.06</v>
      </c>
      <c r="F171" s="3">
        <v>152.68</v>
      </c>
      <c r="G171" s="3">
        <v>150.59</v>
      </c>
      <c r="H171" s="39">
        <v>3836700.0</v>
      </c>
    </row>
    <row r="172">
      <c r="B172" s="38">
        <v>45741.0</v>
      </c>
      <c r="C172" s="3">
        <v>153.13</v>
      </c>
      <c r="D172" s="3">
        <v>155.0</v>
      </c>
      <c r="E172" s="3">
        <v>152.68</v>
      </c>
      <c r="F172" s="3">
        <v>153.5</v>
      </c>
      <c r="G172" s="3">
        <v>151.4</v>
      </c>
      <c r="H172" s="39">
        <v>4118900.0</v>
      </c>
    </row>
    <row r="173">
      <c r="B173" s="38">
        <v>45740.0</v>
      </c>
      <c r="C173" s="3">
        <v>151.7</v>
      </c>
      <c r="D173" s="3">
        <v>154.03</v>
      </c>
      <c r="E173" s="3">
        <v>150.7</v>
      </c>
      <c r="F173" s="3">
        <v>153.15</v>
      </c>
      <c r="G173" s="3">
        <v>151.05</v>
      </c>
      <c r="H173" s="39">
        <v>3207800.0</v>
      </c>
    </row>
    <row r="174">
      <c r="B174" s="38">
        <v>45737.0</v>
      </c>
      <c r="C174" s="3">
        <v>149.9</v>
      </c>
      <c r="D174" s="3">
        <v>150.76</v>
      </c>
      <c r="E174" s="3">
        <v>148.07</v>
      </c>
      <c r="F174" s="3">
        <v>150.36</v>
      </c>
      <c r="G174" s="3">
        <v>148.3</v>
      </c>
      <c r="H174" s="39">
        <v>5538500.0</v>
      </c>
    </row>
    <row r="175">
      <c r="B175" s="38">
        <v>45736.0</v>
      </c>
      <c r="C175" s="3">
        <v>151.65</v>
      </c>
      <c r="D175" s="3">
        <v>153.65</v>
      </c>
      <c r="E175" s="3">
        <v>151.09</v>
      </c>
      <c r="F175" s="3">
        <v>151.27</v>
      </c>
      <c r="G175" s="3">
        <v>149.2</v>
      </c>
      <c r="H175" s="39">
        <v>2579000.0</v>
      </c>
    </row>
    <row r="176">
      <c r="B176" s="38">
        <v>45735.0</v>
      </c>
      <c r="C176" s="3">
        <v>151.19</v>
      </c>
      <c r="D176" s="3">
        <v>153.97</v>
      </c>
      <c r="E176" s="3">
        <v>150.92</v>
      </c>
      <c r="F176" s="3">
        <v>153.21</v>
      </c>
      <c r="G176" s="3">
        <v>151.11</v>
      </c>
      <c r="H176" s="39">
        <v>2344100.0</v>
      </c>
    </row>
    <row r="177">
      <c r="B177" s="38">
        <v>45734.0</v>
      </c>
      <c r="C177" s="3">
        <v>152.57</v>
      </c>
      <c r="D177" s="3">
        <v>153.21</v>
      </c>
      <c r="E177" s="3">
        <v>150.5</v>
      </c>
      <c r="F177" s="3">
        <v>150.92</v>
      </c>
      <c r="G177" s="3">
        <v>148.85</v>
      </c>
      <c r="H177" s="39">
        <v>3038500.0</v>
      </c>
    </row>
    <row r="178">
      <c r="B178" s="38">
        <v>45733.0</v>
      </c>
      <c r="C178" s="3">
        <v>150.37</v>
      </c>
      <c r="D178" s="3">
        <v>153.98</v>
      </c>
      <c r="E178" s="3">
        <v>150.0</v>
      </c>
      <c r="F178" s="3">
        <v>153.21</v>
      </c>
      <c r="G178" s="3">
        <v>151.11</v>
      </c>
      <c r="H178" s="39">
        <v>4562100.0</v>
      </c>
    </row>
    <row r="179">
      <c r="B179" s="38">
        <v>45730.0</v>
      </c>
      <c r="C179" s="3">
        <v>147.92</v>
      </c>
      <c r="D179" s="3">
        <v>150.79</v>
      </c>
      <c r="E179" s="3">
        <v>147.06</v>
      </c>
      <c r="F179" s="3">
        <v>150.41</v>
      </c>
      <c r="G179" s="3">
        <v>148.35</v>
      </c>
      <c r="H179" s="39">
        <v>4094400.0</v>
      </c>
    </row>
    <row r="180">
      <c r="B180" s="38">
        <v>45729.0</v>
      </c>
      <c r="C180" s="3">
        <v>150.28</v>
      </c>
      <c r="D180" s="3">
        <v>151.24</v>
      </c>
      <c r="E180" s="3">
        <v>145.91</v>
      </c>
      <c r="F180" s="3">
        <v>146.1</v>
      </c>
      <c r="G180" s="3">
        <v>144.1</v>
      </c>
      <c r="H180" s="39">
        <v>3295000.0</v>
      </c>
    </row>
    <row r="181">
      <c r="B181" s="38">
        <v>45728.0</v>
      </c>
      <c r="C181" s="3">
        <v>148.31</v>
      </c>
      <c r="D181" s="3">
        <v>151.24</v>
      </c>
      <c r="E181" s="3">
        <v>147.2</v>
      </c>
      <c r="F181" s="3">
        <v>150.24</v>
      </c>
      <c r="G181" s="3">
        <v>148.18</v>
      </c>
      <c r="H181" s="39">
        <v>4196600.0</v>
      </c>
    </row>
    <row r="182">
      <c r="B182" s="38">
        <v>45727.0</v>
      </c>
      <c r="C182" s="3">
        <v>145.73</v>
      </c>
      <c r="D182" s="3">
        <v>149.49</v>
      </c>
      <c r="E182" s="3">
        <v>145.63</v>
      </c>
      <c r="F182" s="3">
        <v>147.54</v>
      </c>
      <c r="G182" s="3">
        <v>145.52</v>
      </c>
      <c r="H182" s="39">
        <v>5818300.0</v>
      </c>
    </row>
    <row r="183">
      <c r="B183" s="38">
        <v>45726.0</v>
      </c>
      <c r="C183" s="3">
        <v>143.47</v>
      </c>
      <c r="D183" s="3">
        <v>149.18</v>
      </c>
      <c r="E183" s="3">
        <v>143.12</v>
      </c>
      <c r="F183" s="3">
        <v>147.62</v>
      </c>
      <c r="G183" s="3">
        <v>145.6</v>
      </c>
      <c r="H183" s="39">
        <v>4966500.0</v>
      </c>
    </row>
    <row r="184">
      <c r="B184" s="38">
        <v>45723.0</v>
      </c>
      <c r="C184" s="3">
        <v>144.69</v>
      </c>
      <c r="D184" s="3">
        <v>147.22</v>
      </c>
      <c r="E184" s="3">
        <v>140.78</v>
      </c>
      <c r="F184" s="3">
        <v>146.3</v>
      </c>
      <c r="G184" s="3">
        <v>144.3</v>
      </c>
      <c r="H184" s="39">
        <v>5891100.0</v>
      </c>
    </row>
    <row r="185">
      <c r="B185" s="38">
        <v>45722.0</v>
      </c>
      <c r="C185" s="3">
        <v>146.39</v>
      </c>
      <c r="D185" s="3">
        <v>148.13</v>
      </c>
      <c r="E185" s="3">
        <v>145.75</v>
      </c>
      <c r="F185" s="3">
        <v>146.94</v>
      </c>
      <c r="G185" s="3">
        <v>144.93</v>
      </c>
      <c r="H185" s="39">
        <v>4492400.0</v>
      </c>
    </row>
    <row r="186">
      <c r="B186" s="38">
        <v>45721.0</v>
      </c>
      <c r="C186" s="3">
        <v>146.76</v>
      </c>
      <c r="D186" s="3">
        <v>149.04</v>
      </c>
      <c r="E186" s="3">
        <v>146.0</v>
      </c>
      <c r="F186" s="3">
        <v>147.61</v>
      </c>
      <c r="G186" s="3">
        <v>145.59</v>
      </c>
      <c r="H186" s="39">
        <v>3909700.0</v>
      </c>
    </row>
    <row r="187">
      <c r="B187" s="38">
        <v>45720.0</v>
      </c>
      <c r="C187" s="3">
        <v>150.5</v>
      </c>
      <c r="D187" s="3">
        <v>151.04</v>
      </c>
      <c r="E187" s="3">
        <v>145.62</v>
      </c>
      <c r="F187" s="3">
        <v>145.86</v>
      </c>
      <c r="G187" s="3">
        <v>143.86</v>
      </c>
      <c r="H187" s="39">
        <v>6787400.0</v>
      </c>
    </row>
    <row r="188">
      <c r="B188" s="38">
        <v>45719.0</v>
      </c>
      <c r="C188" s="3">
        <v>155.5</v>
      </c>
      <c r="D188" s="3">
        <v>156.35</v>
      </c>
      <c r="E188" s="3">
        <v>151.9</v>
      </c>
      <c r="F188" s="3">
        <v>153.42</v>
      </c>
      <c r="G188" s="3">
        <v>151.32</v>
      </c>
      <c r="H188" s="39">
        <v>5672700.0</v>
      </c>
    </row>
    <row r="189">
      <c r="B189" s="38">
        <v>45716.0</v>
      </c>
      <c r="C189" s="3">
        <v>151.5</v>
      </c>
      <c r="D189" s="3">
        <v>155.5</v>
      </c>
      <c r="E189" s="3">
        <v>151.0</v>
      </c>
      <c r="F189" s="3">
        <v>155.12</v>
      </c>
      <c r="G189" s="3">
        <v>153.0</v>
      </c>
      <c r="H189" s="39">
        <v>8323100.0</v>
      </c>
    </row>
    <row r="190">
      <c r="B190" s="38">
        <v>45715.0</v>
      </c>
      <c r="C190" s="3">
        <v>148.77</v>
      </c>
      <c r="D190" s="3">
        <v>152.56</v>
      </c>
      <c r="E190" s="3">
        <v>148.21</v>
      </c>
      <c r="F190" s="3">
        <v>150.52</v>
      </c>
      <c r="G190" s="3">
        <v>148.46</v>
      </c>
      <c r="H190" s="39">
        <v>6576000.0</v>
      </c>
    </row>
    <row r="191">
      <c r="B191" s="38">
        <v>45714.0</v>
      </c>
      <c r="C191" s="3">
        <v>144.39</v>
      </c>
      <c r="D191" s="3">
        <v>149.26</v>
      </c>
      <c r="E191" s="3">
        <v>141.76</v>
      </c>
      <c r="F191" s="3">
        <v>147.43</v>
      </c>
      <c r="G191" s="3">
        <v>145.41</v>
      </c>
      <c r="H191" s="39">
        <v>5783400.0</v>
      </c>
    </row>
    <row r="192">
      <c r="B192" s="38">
        <v>45713.0</v>
      </c>
      <c r="C192" s="3">
        <v>145.43</v>
      </c>
      <c r="D192" s="3">
        <v>147.56</v>
      </c>
      <c r="E192" s="3">
        <v>145.34</v>
      </c>
      <c r="F192" s="3">
        <v>146.54</v>
      </c>
      <c r="G192" s="3">
        <v>144.53</v>
      </c>
      <c r="H192" s="39">
        <v>4358800.0</v>
      </c>
    </row>
    <row r="193">
      <c r="B193" s="38">
        <v>45712.0</v>
      </c>
      <c r="C193" s="3">
        <v>144.98</v>
      </c>
      <c r="D193" s="3">
        <v>146.4</v>
      </c>
      <c r="E193" s="3">
        <v>143.87</v>
      </c>
      <c r="F193" s="3">
        <v>145.48</v>
      </c>
      <c r="G193" s="3">
        <v>143.49</v>
      </c>
      <c r="H193" s="39">
        <v>3447500.0</v>
      </c>
    </row>
    <row r="194">
      <c r="B194" s="38">
        <v>45709.0</v>
      </c>
      <c r="C194" s="3">
        <v>149.08</v>
      </c>
      <c r="D194" s="3">
        <v>149.54</v>
      </c>
      <c r="E194" s="3">
        <v>144.56</v>
      </c>
      <c r="F194" s="3">
        <v>144.98</v>
      </c>
      <c r="G194" s="3">
        <v>143.0</v>
      </c>
      <c r="H194" s="39">
        <v>4278500.0</v>
      </c>
    </row>
    <row r="195">
      <c r="B195" s="38">
        <v>45708.0</v>
      </c>
      <c r="C195" s="3">
        <v>149.99</v>
      </c>
      <c r="D195" s="3">
        <v>150.09</v>
      </c>
      <c r="E195" s="3">
        <v>148.04</v>
      </c>
      <c r="F195" s="3">
        <v>149.08</v>
      </c>
      <c r="G195" s="3">
        <v>147.04</v>
      </c>
      <c r="H195" s="39">
        <v>2231500.0</v>
      </c>
    </row>
    <row r="196">
      <c r="B196" s="38">
        <v>45707.0</v>
      </c>
      <c r="C196" s="3">
        <v>148.07</v>
      </c>
      <c r="D196" s="3">
        <v>150.36</v>
      </c>
      <c r="E196" s="3">
        <v>148.07</v>
      </c>
      <c r="F196" s="3">
        <v>150.2</v>
      </c>
      <c r="G196" s="3">
        <v>148.14</v>
      </c>
      <c r="H196" s="39">
        <v>3216900.0</v>
      </c>
    </row>
    <row r="197">
      <c r="B197" s="38">
        <v>45706.0</v>
      </c>
      <c r="C197" s="3">
        <v>148.18</v>
      </c>
      <c r="D197" s="3">
        <v>149.49</v>
      </c>
      <c r="E197" s="3">
        <v>148.0</v>
      </c>
      <c r="F197" s="3">
        <v>148.99</v>
      </c>
      <c r="G197" s="3">
        <v>146.95</v>
      </c>
      <c r="H197" s="39">
        <v>2601400.0</v>
      </c>
    </row>
    <row r="198">
      <c r="B198" s="38">
        <v>45702.0</v>
      </c>
      <c r="C198" s="3" t="s">
        <v>83</v>
      </c>
    </row>
    <row r="199">
      <c r="B199" s="38">
        <v>45702.0</v>
      </c>
      <c r="C199" s="3">
        <v>147.89</v>
      </c>
      <c r="D199" s="3">
        <v>149.55</v>
      </c>
      <c r="E199" s="3">
        <v>147.74</v>
      </c>
      <c r="F199" s="3">
        <v>148.62</v>
      </c>
      <c r="G199" s="3">
        <v>146.59</v>
      </c>
      <c r="H199" s="39">
        <v>2388300.0</v>
      </c>
    </row>
    <row r="200">
      <c r="B200" s="38">
        <v>45701.0</v>
      </c>
      <c r="C200" s="3">
        <v>149.11</v>
      </c>
      <c r="D200" s="3">
        <v>149.72</v>
      </c>
      <c r="E200" s="3">
        <v>147.53</v>
      </c>
      <c r="F200" s="3">
        <v>148.72</v>
      </c>
      <c r="G200" s="3">
        <v>145.96</v>
      </c>
      <c r="H200" s="39">
        <v>2047000.0</v>
      </c>
    </row>
    <row r="201">
      <c r="B201" s="38">
        <v>45700.0</v>
      </c>
      <c r="C201" s="3">
        <v>148.7</v>
      </c>
      <c r="D201" s="3">
        <v>150.07</v>
      </c>
      <c r="E201" s="3">
        <v>148.16</v>
      </c>
      <c r="F201" s="3">
        <v>148.87</v>
      </c>
      <c r="G201" s="3">
        <v>146.11</v>
      </c>
      <c r="H201" s="39">
        <v>2102900.0</v>
      </c>
    </row>
    <row r="202">
      <c r="B202" s="38">
        <v>45699.0</v>
      </c>
      <c r="C202" s="3">
        <v>149.31</v>
      </c>
      <c r="D202" s="3">
        <v>150.38</v>
      </c>
      <c r="E202" s="3">
        <v>148.57</v>
      </c>
      <c r="F202" s="3">
        <v>150.07</v>
      </c>
      <c r="G202" s="3">
        <v>147.29</v>
      </c>
      <c r="H202" s="39">
        <v>2187700.0</v>
      </c>
    </row>
    <row r="203">
      <c r="B203" s="38">
        <v>45698.0</v>
      </c>
      <c r="C203" s="3">
        <v>150.16</v>
      </c>
      <c r="D203" s="3">
        <v>150.6</v>
      </c>
      <c r="E203" s="3">
        <v>148.13</v>
      </c>
      <c r="F203" s="3">
        <v>149.69</v>
      </c>
      <c r="G203" s="3">
        <v>146.92</v>
      </c>
      <c r="H203" s="39">
        <v>3531400.0</v>
      </c>
    </row>
    <row r="204">
      <c r="B204" s="38">
        <v>45695.0</v>
      </c>
      <c r="C204" s="3">
        <v>152.5</v>
      </c>
      <c r="D204" s="3">
        <v>152.9</v>
      </c>
      <c r="E204" s="3">
        <v>149.54</v>
      </c>
      <c r="F204" s="3">
        <v>149.87</v>
      </c>
      <c r="G204" s="3">
        <v>147.09</v>
      </c>
      <c r="H204" s="39">
        <v>3356600.0</v>
      </c>
    </row>
    <row r="205">
      <c r="B205" s="38">
        <v>45694.0</v>
      </c>
      <c r="C205" s="3">
        <v>152.7</v>
      </c>
      <c r="D205" s="3">
        <v>153.47</v>
      </c>
      <c r="E205" s="3">
        <v>151.57</v>
      </c>
      <c r="F205" s="3">
        <v>152.32</v>
      </c>
      <c r="G205" s="3">
        <v>149.5</v>
      </c>
      <c r="H205" s="39">
        <v>2760200.0</v>
      </c>
    </row>
    <row r="206">
      <c r="B206" s="38">
        <v>45693.0</v>
      </c>
      <c r="C206" s="3">
        <v>152.46</v>
      </c>
      <c r="D206" s="3">
        <v>153.62</v>
      </c>
      <c r="E206" s="3">
        <v>150.74</v>
      </c>
      <c r="F206" s="3">
        <v>152.45</v>
      </c>
      <c r="G206" s="3">
        <v>149.63</v>
      </c>
      <c r="H206" s="39">
        <v>2841400.0</v>
      </c>
    </row>
    <row r="207">
      <c r="B207" s="38">
        <v>45692.0</v>
      </c>
      <c r="C207" s="3">
        <v>149.46</v>
      </c>
      <c r="D207" s="3">
        <v>152.76</v>
      </c>
      <c r="E207" s="3">
        <v>149.32</v>
      </c>
      <c r="F207" s="3">
        <v>151.68</v>
      </c>
      <c r="G207" s="3">
        <v>148.87</v>
      </c>
      <c r="H207" s="39">
        <v>3110400.0</v>
      </c>
    </row>
    <row r="208">
      <c r="B208" s="38">
        <v>45691.0</v>
      </c>
      <c r="C208" s="3">
        <v>149.18</v>
      </c>
      <c r="D208" s="3">
        <v>151.63</v>
      </c>
      <c r="E208" s="3">
        <v>148.15</v>
      </c>
      <c r="F208" s="3">
        <v>150.04</v>
      </c>
      <c r="G208" s="3">
        <v>147.26</v>
      </c>
      <c r="H208" s="39">
        <v>3556300.0</v>
      </c>
    </row>
    <row r="209">
      <c r="B209" s="38">
        <v>45688.0</v>
      </c>
      <c r="C209" s="3">
        <v>154.99</v>
      </c>
      <c r="D209" s="3">
        <v>155.0</v>
      </c>
      <c r="E209" s="3">
        <v>152.13</v>
      </c>
      <c r="F209" s="3">
        <v>152.2</v>
      </c>
      <c r="G209" s="3">
        <v>149.38</v>
      </c>
      <c r="H209" s="39">
        <v>4164200.0</v>
      </c>
    </row>
    <row r="210">
      <c r="B210" s="38">
        <v>45687.0</v>
      </c>
      <c r="C210" s="3">
        <v>152.0</v>
      </c>
      <c r="D210" s="3">
        <v>154.65</v>
      </c>
      <c r="E210" s="3">
        <v>151.83</v>
      </c>
      <c r="F210" s="3">
        <v>154.4</v>
      </c>
      <c r="G210" s="3">
        <v>151.54</v>
      </c>
      <c r="H210" s="39">
        <v>3962300.0</v>
      </c>
    </row>
    <row r="211">
      <c r="B211" s="38">
        <v>45686.0</v>
      </c>
      <c r="C211" s="3">
        <v>151.5</v>
      </c>
      <c r="D211" s="3">
        <v>152.78</v>
      </c>
      <c r="E211" s="3">
        <v>150.64</v>
      </c>
      <c r="F211" s="3">
        <v>151.54</v>
      </c>
      <c r="G211" s="3">
        <v>148.73</v>
      </c>
      <c r="H211" s="39">
        <v>3996100.0</v>
      </c>
    </row>
    <row r="212">
      <c r="B212" s="38">
        <v>45685.0</v>
      </c>
      <c r="C212" s="3">
        <v>151.32</v>
      </c>
      <c r="D212" s="3">
        <v>152.96</v>
      </c>
      <c r="E212" s="3">
        <v>149.79</v>
      </c>
      <c r="F212" s="3">
        <v>151.4</v>
      </c>
      <c r="G212" s="3">
        <v>148.59</v>
      </c>
      <c r="H212" s="39">
        <v>4286800.0</v>
      </c>
    </row>
    <row r="213">
      <c r="B213" s="38">
        <v>45684.0</v>
      </c>
      <c r="C213" s="3">
        <v>149.0</v>
      </c>
      <c r="D213" s="3">
        <v>152.0</v>
      </c>
      <c r="E213" s="3">
        <v>148.91</v>
      </c>
      <c r="F213" s="3">
        <v>151.52</v>
      </c>
      <c r="G213" s="3">
        <v>148.71</v>
      </c>
      <c r="H213" s="39">
        <v>4929600.0</v>
      </c>
    </row>
    <row r="214">
      <c r="B214" s="38">
        <v>45681.0</v>
      </c>
      <c r="C214" s="3">
        <v>148.9</v>
      </c>
      <c r="D214" s="3">
        <v>150.1</v>
      </c>
      <c r="E214" s="3">
        <v>148.4</v>
      </c>
      <c r="F214" s="3">
        <v>149.43</v>
      </c>
      <c r="G214" s="3">
        <v>146.66</v>
      </c>
      <c r="H214" s="39">
        <v>4858400.0</v>
      </c>
    </row>
    <row r="215">
      <c r="B215" s="38">
        <v>45680.0</v>
      </c>
      <c r="C215" s="3">
        <v>149.45</v>
      </c>
      <c r="D215" s="3">
        <v>150.46</v>
      </c>
      <c r="E215" s="3">
        <v>148.41</v>
      </c>
      <c r="F215" s="3">
        <v>149.63</v>
      </c>
      <c r="G215" s="3">
        <v>146.86</v>
      </c>
      <c r="H215" s="39">
        <v>4439100.0</v>
      </c>
    </row>
    <row r="216">
      <c r="B216" s="38">
        <v>45679.0</v>
      </c>
      <c r="C216" s="3">
        <v>147.88</v>
      </c>
      <c r="D216" s="3">
        <v>152.08</v>
      </c>
      <c r="E216" s="3">
        <v>147.41</v>
      </c>
      <c r="F216" s="3">
        <v>149.12</v>
      </c>
      <c r="G216" s="3">
        <v>146.36</v>
      </c>
      <c r="H216" s="39">
        <v>7077700.0</v>
      </c>
    </row>
    <row r="217">
      <c r="B217" s="38">
        <v>45678.0</v>
      </c>
      <c r="C217" s="3">
        <v>145.5</v>
      </c>
      <c r="D217" s="3">
        <v>150.0</v>
      </c>
      <c r="E217" s="3">
        <v>145.0</v>
      </c>
      <c r="F217" s="3">
        <v>146.89</v>
      </c>
      <c r="G217" s="3">
        <v>144.17</v>
      </c>
      <c r="H217" s="39">
        <v>1.13685E7</v>
      </c>
    </row>
    <row r="218">
      <c r="B218" s="38">
        <v>45674.0</v>
      </c>
      <c r="C218" s="3">
        <v>139.65</v>
      </c>
      <c r="D218" s="3">
        <v>141.66</v>
      </c>
      <c r="E218" s="3">
        <v>139.5</v>
      </c>
      <c r="F218" s="3">
        <v>141.03</v>
      </c>
      <c r="G218" s="3">
        <v>138.42</v>
      </c>
      <c r="H218" s="39">
        <v>5724500.0</v>
      </c>
    </row>
    <row r="219">
      <c r="B219" s="38">
        <v>45673.0</v>
      </c>
      <c r="C219" s="3">
        <v>138.03</v>
      </c>
      <c r="D219" s="3">
        <v>139.5</v>
      </c>
      <c r="E219" s="3">
        <v>136.44</v>
      </c>
      <c r="F219" s="3">
        <v>139.18</v>
      </c>
      <c r="G219" s="3">
        <v>136.6</v>
      </c>
      <c r="H219" s="39">
        <v>4122700.0</v>
      </c>
    </row>
    <row r="220">
      <c r="B220" s="38">
        <v>45672.0</v>
      </c>
      <c r="C220" s="3">
        <v>138.21</v>
      </c>
      <c r="D220" s="3">
        <v>138.85</v>
      </c>
      <c r="E220" s="3">
        <v>137.12</v>
      </c>
      <c r="F220" s="3">
        <v>137.78</v>
      </c>
      <c r="G220" s="3">
        <v>135.23</v>
      </c>
      <c r="H220" s="39">
        <v>4114300.0</v>
      </c>
    </row>
    <row r="221">
      <c r="B221" s="38">
        <v>45671.0</v>
      </c>
      <c r="C221" s="3">
        <v>134.62</v>
      </c>
      <c r="D221" s="3">
        <v>137.7</v>
      </c>
      <c r="E221" s="3">
        <v>134.47</v>
      </c>
      <c r="F221" s="3">
        <v>137.21</v>
      </c>
      <c r="G221" s="3">
        <v>134.67</v>
      </c>
      <c r="H221" s="39">
        <v>4629000.0</v>
      </c>
    </row>
    <row r="222">
      <c r="B222" s="38">
        <v>45670.0</v>
      </c>
      <c r="C222" s="3">
        <v>130.73</v>
      </c>
      <c r="D222" s="3">
        <v>134.73</v>
      </c>
      <c r="E222" s="3">
        <v>129.54</v>
      </c>
      <c r="F222" s="3">
        <v>134.6</v>
      </c>
      <c r="G222" s="3">
        <v>132.11</v>
      </c>
      <c r="H222" s="39">
        <v>4207200.0</v>
      </c>
    </row>
    <row r="223">
      <c r="B223" s="38">
        <v>45667.0</v>
      </c>
      <c r="C223" s="3">
        <v>133.83</v>
      </c>
      <c r="D223" s="3">
        <v>133.9</v>
      </c>
      <c r="E223" s="3">
        <v>130.63</v>
      </c>
      <c r="F223" s="3">
        <v>131.21</v>
      </c>
      <c r="G223" s="3">
        <v>128.78</v>
      </c>
      <c r="H223" s="39">
        <v>4661700.0</v>
      </c>
    </row>
    <row r="224">
      <c r="B224" s="38">
        <v>45665.0</v>
      </c>
      <c r="C224" s="3">
        <v>132.03</v>
      </c>
      <c r="D224" s="3">
        <v>134.68</v>
      </c>
      <c r="E224" s="3">
        <v>131.66</v>
      </c>
      <c r="F224" s="3">
        <v>134.53</v>
      </c>
      <c r="G224" s="3">
        <v>132.04</v>
      </c>
      <c r="H224" s="39">
        <v>4676000.0</v>
      </c>
    </row>
    <row r="225">
      <c r="B225" s="38">
        <v>45664.0</v>
      </c>
      <c r="C225" s="3">
        <v>130.09</v>
      </c>
      <c r="D225" s="3">
        <v>132.8</v>
      </c>
      <c r="E225" s="3">
        <v>130.01</v>
      </c>
      <c r="F225" s="3">
        <v>132.77</v>
      </c>
      <c r="G225" s="3">
        <v>130.31</v>
      </c>
      <c r="H225" s="39">
        <v>3414500.0</v>
      </c>
    </row>
    <row r="226">
      <c r="B226" s="38">
        <v>45663.0</v>
      </c>
      <c r="C226" s="3">
        <v>130.82</v>
      </c>
      <c r="D226" s="3">
        <v>131.41</v>
      </c>
      <c r="E226" s="3">
        <v>129.88</v>
      </c>
      <c r="F226" s="3">
        <v>130.29</v>
      </c>
      <c r="G226" s="3">
        <v>127.88</v>
      </c>
      <c r="H226" s="39">
        <v>3067000.0</v>
      </c>
    </row>
    <row r="227">
      <c r="B227" s="38">
        <v>45660.0</v>
      </c>
      <c r="C227" s="3">
        <v>129.7</v>
      </c>
      <c r="D227" s="3">
        <v>130.86</v>
      </c>
      <c r="E227" s="3">
        <v>129.3</v>
      </c>
      <c r="F227" s="3">
        <v>129.87</v>
      </c>
      <c r="G227" s="3">
        <v>127.46</v>
      </c>
      <c r="H227" s="39">
        <v>2273700.0</v>
      </c>
    </row>
    <row r="228">
      <c r="B228" s="38">
        <v>45659.0</v>
      </c>
      <c r="C228" s="3">
        <v>130.29</v>
      </c>
      <c r="D228" s="3">
        <v>131.62</v>
      </c>
      <c r="E228" s="3">
        <v>128.98</v>
      </c>
      <c r="F228" s="3">
        <v>129.7</v>
      </c>
      <c r="G228" s="3">
        <v>127.3</v>
      </c>
      <c r="H228" s="39">
        <v>3248900.0</v>
      </c>
    </row>
    <row r="229">
      <c r="B229" s="38">
        <v>45657.0</v>
      </c>
      <c r="C229" s="3">
        <v>129.2</v>
      </c>
      <c r="D229" s="3">
        <v>130.05</v>
      </c>
      <c r="E229" s="3">
        <v>128.66</v>
      </c>
      <c r="F229" s="3">
        <v>129.09</v>
      </c>
      <c r="G229" s="3">
        <v>126.7</v>
      </c>
      <c r="H229" s="39">
        <v>2220300.0</v>
      </c>
    </row>
    <row r="230">
      <c r="B230" s="38">
        <v>45656.0</v>
      </c>
      <c r="C230" s="3">
        <v>129.12</v>
      </c>
      <c r="D230" s="3">
        <v>129.92</v>
      </c>
      <c r="E230" s="3">
        <v>127.92</v>
      </c>
      <c r="F230" s="3">
        <v>129.13</v>
      </c>
      <c r="G230" s="3">
        <v>126.74</v>
      </c>
      <c r="H230" s="39">
        <v>2154000.0</v>
      </c>
    </row>
    <row r="231">
      <c r="B231" s="38">
        <v>45653.0</v>
      </c>
      <c r="C231" s="3">
        <v>129.91</v>
      </c>
      <c r="D231" s="3">
        <v>131.18</v>
      </c>
      <c r="E231" s="3">
        <v>129.21</v>
      </c>
      <c r="F231" s="3">
        <v>130.18</v>
      </c>
      <c r="G231" s="3">
        <v>127.77</v>
      </c>
      <c r="H231" s="39">
        <v>1842600.0</v>
      </c>
    </row>
    <row r="232">
      <c r="B232" s="38">
        <v>45652.0</v>
      </c>
      <c r="C232" s="3">
        <v>130.33</v>
      </c>
      <c r="D232" s="3">
        <v>131.4</v>
      </c>
      <c r="E232" s="3">
        <v>129.23</v>
      </c>
      <c r="F232" s="3">
        <v>131.18</v>
      </c>
      <c r="G232" s="3">
        <v>128.75</v>
      </c>
      <c r="H232" s="39">
        <v>1484900.0</v>
      </c>
    </row>
    <row r="233">
      <c r="B233" s="38">
        <v>45650.0</v>
      </c>
      <c r="C233" s="3">
        <v>128.74</v>
      </c>
      <c r="D233" s="3">
        <v>130.36</v>
      </c>
      <c r="E233" s="3">
        <v>128.09</v>
      </c>
      <c r="F233" s="3">
        <v>130.36</v>
      </c>
      <c r="G233" s="3">
        <v>127.94</v>
      </c>
      <c r="H233" s="39">
        <v>803200.0</v>
      </c>
    </row>
    <row r="234">
      <c r="B234" s="38">
        <v>45649.0</v>
      </c>
      <c r="C234" s="3">
        <v>128.5</v>
      </c>
      <c r="D234" s="3">
        <v>129.19</v>
      </c>
      <c r="E234" s="3">
        <v>127.75</v>
      </c>
      <c r="F234" s="3">
        <v>128.98</v>
      </c>
      <c r="G234" s="3">
        <v>126.59</v>
      </c>
      <c r="H234" s="39">
        <v>2067400.0</v>
      </c>
    </row>
    <row r="235">
      <c r="B235" s="38">
        <v>45646.0</v>
      </c>
      <c r="C235" s="3">
        <v>126.37</v>
      </c>
      <c r="D235" s="3">
        <v>130.35</v>
      </c>
      <c r="E235" s="3">
        <v>125.75</v>
      </c>
      <c r="F235" s="3">
        <v>129.28</v>
      </c>
      <c r="G235" s="3">
        <v>126.88</v>
      </c>
      <c r="H235" s="39">
        <v>8351300.0</v>
      </c>
    </row>
    <row r="236">
      <c r="B236" s="38">
        <v>45645.0</v>
      </c>
      <c r="C236" s="3">
        <v>126.65</v>
      </c>
      <c r="D236" s="3">
        <v>127.74</v>
      </c>
      <c r="E236" s="3">
        <v>125.71</v>
      </c>
      <c r="F236" s="3">
        <v>127.13</v>
      </c>
      <c r="G236" s="3">
        <v>124.77</v>
      </c>
      <c r="H236" s="39">
        <v>3038100.0</v>
      </c>
    </row>
    <row r="237">
      <c r="B237" s="38">
        <v>45644.0</v>
      </c>
      <c r="C237" s="3">
        <v>128.21</v>
      </c>
      <c r="D237" s="3">
        <v>129.37</v>
      </c>
      <c r="E237" s="3">
        <v>125.37</v>
      </c>
      <c r="F237" s="3">
        <v>125.53</v>
      </c>
      <c r="G237" s="3">
        <v>123.2</v>
      </c>
      <c r="H237" s="39">
        <v>3748900.0</v>
      </c>
    </row>
    <row r="238">
      <c r="B238" s="38">
        <v>45643.0</v>
      </c>
      <c r="C238" s="3">
        <v>128.41</v>
      </c>
      <c r="D238" s="3">
        <v>129.36</v>
      </c>
      <c r="E238" s="3">
        <v>127.65</v>
      </c>
      <c r="F238" s="3">
        <v>128.05</v>
      </c>
      <c r="G238" s="3">
        <v>125.68</v>
      </c>
      <c r="H238" s="39">
        <v>2693200.0</v>
      </c>
    </row>
    <row r="239">
      <c r="B239" s="38">
        <v>45642.0</v>
      </c>
      <c r="C239" s="3">
        <v>129.9</v>
      </c>
      <c r="D239" s="3">
        <v>130.2</v>
      </c>
      <c r="E239" s="3">
        <v>128.86</v>
      </c>
      <c r="F239" s="3">
        <v>129.47</v>
      </c>
      <c r="G239" s="3">
        <v>127.07</v>
      </c>
      <c r="H239" s="39">
        <v>3097800.0</v>
      </c>
    </row>
    <row r="240">
      <c r="B240" s="38">
        <v>45639.0</v>
      </c>
      <c r="C240" s="3">
        <v>129.7</v>
      </c>
      <c r="D240" s="3">
        <v>130.16</v>
      </c>
      <c r="E240" s="3">
        <v>128.91</v>
      </c>
      <c r="F240" s="3">
        <v>129.92</v>
      </c>
      <c r="G240" s="3">
        <v>127.51</v>
      </c>
      <c r="H240" s="39">
        <v>2382000.0</v>
      </c>
    </row>
    <row r="241">
      <c r="B241" s="38">
        <v>45638.0</v>
      </c>
      <c r="C241" s="3">
        <v>129.65</v>
      </c>
      <c r="D241" s="3">
        <v>130.67</v>
      </c>
      <c r="E241" s="3">
        <v>128.77</v>
      </c>
      <c r="F241" s="3">
        <v>129.75</v>
      </c>
      <c r="G241" s="3">
        <v>127.35</v>
      </c>
      <c r="H241" s="39">
        <v>2915300.0</v>
      </c>
    </row>
    <row r="242">
      <c r="B242" s="38">
        <v>45637.0</v>
      </c>
      <c r="C242" s="3">
        <v>130.27</v>
      </c>
      <c r="D242" s="3">
        <v>130.67</v>
      </c>
      <c r="E242" s="3">
        <v>129.26</v>
      </c>
      <c r="F242" s="3">
        <v>129.77</v>
      </c>
      <c r="G242" s="3">
        <v>127.37</v>
      </c>
      <c r="H242" s="39">
        <v>4089500.0</v>
      </c>
    </row>
    <row r="243">
      <c r="B243" s="38">
        <v>45636.0</v>
      </c>
      <c r="C243" s="3">
        <v>130.12</v>
      </c>
      <c r="D243" s="3">
        <v>130.6</v>
      </c>
      <c r="E243" s="3">
        <v>127.6</v>
      </c>
      <c r="F243" s="3">
        <v>129.77</v>
      </c>
      <c r="G243" s="3">
        <v>127.37</v>
      </c>
      <c r="H243" s="39">
        <v>3225700.0</v>
      </c>
    </row>
    <row r="244">
      <c r="B244" s="38">
        <v>45635.0</v>
      </c>
      <c r="C244" s="3">
        <v>133.1</v>
      </c>
      <c r="D244" s="3">
        <v>133.85</v>
      </c>
      <c r="E244" s="3">
        <v>131.27</v>
      </c>
      <c r="F244" s="3">
        <v>131.49</v>
      </c>
      <c r="G244" s="3">
        <v>129.05</v>
      </c>
      <c r="H244" s="39">
        <v>3442400.0</v>
      </c>
    </row>
    <row r="245">
      <c r="B245" s="38">
        <v>45632.0</v>
      </c>
      <c r="C245" s="3">
        <v>133.25</v>
      </c>
      <c r="D245" s="3">
        <v>134.22</v>
      </c>
      <c r="E245" s="3">
        <v>132.2</v>
      </c>
      <c r="F245" s="3">
        <v>133.11</v>
      </c>
      <c r="G245" s="3">
        <v>130.64</v>
      </c>
      <c r="H245" s="39">
        <v>1912300.0</v>
      </c>
    </row>
    <row r="246">
      <c r="B246" s="38">
        <v>45631.0</v>
      </c>
      <c r="C246" s="3">
        <v>130.82</v>
      </c>
      <c r="D246" s="3">
        <v>135.58</v>
      </c>
      <c r="E246" s="3">
        <v>130.45</v>
      </c>
      <c r="F246" s="3">
        <v>133.33</v>
      </c>
      <c r="G246" s="3">
        <v>130.86</v>
      </c>
      <c r="H246" s="39">
        <v>4171800.0</v>
      </c>
    </row>
    <row r="247">
      <c r="B247" s="38">
        <v>45630.0</v>
      </c>
      <c r="C247" s="3">
        <v>130.93</v>
      </c>
      <c r="D247" s="3">
        <v>131.39</v>
      </c>
      <c r="E247" s="3">
        <v>128.97</v>
      </c>
      <c r="F247" s="3">
        <v>130.45</v>
      </c>
      <c r="G247" s="3">
        <v>128.03</v>
      </c>
      <c r="H247" s="39">
        <v>2503400.0</v>
      </c>
    </row>
    <row r="248">
      <c r="B248" s="38">
        <v>45629.0</v>
      </c>
      <c r="C248" s="3">
        <v>132.89</v>
      </c>
      <c r="D248" s="3">
        <v>133.23</v>
      </c>
      <c r="E248" s="3">
        <v>130.74</v>
      </c>
      <c r="F248" s="3">
        <v>131.15</v>
      </c>
      <c r="G248" s="3">
        <v>128.72</v>
      </c>
      <c r="H248" s="39">
        <v>2378400.0</v>
      </c>
    </row>
    <row r="249">
      <c r="B249" s="38">
        <v>45628.0</v>
      </c>
      <c r="C249" s="3">
        <v>133.53</v>
      </c>
      <c r="D249" s="3">
        <v>133.77</v>
      </c>
      <c r="E249" s="3">
        <v>132.38</v>
      </c>
      <c r="F249" s="3">
        <v>132.89</v>
      </c>
      <c r="G249" s="3">
        <v>130.43</v>
      </c>
      <c r="H249" s="39">
        <v>3001900.0</v>
      </c>
    </row>
    <row r="250">
      <c r="B250" s="38">
        <v>45625.0</v>
      </c>
      <c r="C250" s="3">
        <v>132.86</v>
      </c>
      <c r="D250" s="3">
        <v>133.74</v>
      </c>
      <c r="E250" s="3">
        <v>132.04</v>
      </c>
      <c r="F250" s="3">
        <v>133.53</v>
      </c>
      <c r="G250" s="3">
        <v>131.06</v>
      </c>
      <c r="H250" s="39">
        <v>1618300.0</v>
      </c>
    </row>
    <row r="251">
      <c r="B251" s="38">
        <v>45623.0</v>
      </c>
      <c r="C251" s="3">
        <v>133.91</v>
      </c>
      <c r="D251" s="3">
        <v>135.55</v>
      </c>
      <c r="E251" s="3">
        <v>132.36</v>
      </c>
      <c r="F251" s="3">
        <v>132.48</v>
      </c>
      <c r="G251" s="3">
        <v>130.03</v>
      </c>
      <c r="H251" s="39">
        <v>2579600.0</v>
      </c>
    </row>
    <row r="252">
      <c r="B252" s="38">
        <v>45622.0</v>
      </c>
      <c r="C252" s="3">
        <v>129.99</v>
      </c>
      <c r="D252" s="3">
        <v>133.23</v>
      </c>
      <c r="E252" s="3">
        <v>129.65</v>
      </c>
      <c r="F252" s="3">
        <v>132.95</v>
      </c>
      <c r="G252" s="3">
        <v>130.49</v>
      </c>
      <c r="H252" s="39">
        <v>3080300.0</v>
      </c>
    </row>
    <row r="253">
      <c r="B253" s="38">
        <v>45621.0</v>
      </c>
      <c r="C253" s="3">
        <v>129.21</v>
      </c>
      <c r="D253" s="3">
        <v>130.6</v>
      </c>
      <c r="E253" s="3">
        <v>127.55</v>
      </c>
      <c r="F253" s="3">
        <v>130.32</v>
      </c>
      <c r="G253" s="3">
        <v>127.91</v>
      </c>
      <c r="H253" s="39">
        <v>5074700.0</v>
      </c>
    </row>
    <row r="254">
      <c r="B254" s="38">
        <v>45618.0</v>
      </c>
      <c r="C254" s="3">
        <v>127.69</v>
      </c>
      <c r="D254" s="3">
        <v>128.48</v>
      </c>
      <c r="E254" s="3">
        <v>126.37</v>
      </c>
      <c r="F254" s="3">
        <v>128.42</v>
      </c>
      <c r="G254" s="3">
        <v>126.04</v>
      </c>
      <c r="H254" s="39">
        <v>3052400.0</v>
      </c>
    </row>
    <row r="255">
      <c r="B255" s="38">
        <v>45617.0</v>
      </c>
      <c r="C255" s="3">
        <v>127.73</v>
      </c>
      <c r="D255" s="3">
        <v>128.58</v>
      </c>
      <c r="E255" s="3">
        <v>126.32</v>
      </c>
      <c r="F255" s="3">
        <v>127.32</v>
      </c>
      <c r="G255" s="3">
        <v>124.96</v>
      </c>
      <c r="H255" s="39">
        <v>2544800.0</v>
      </c>
    </row>
    <row r="256">
      <c r="B256" s="38">
        <v>45616.0</v>
      </c>
      <c r="C256" s="3">
        <v>128.0</v>
      </c>
      <c r="D256" s="3">
        <v>128.19</v>
      </c>
      <c r="E256" s="3">
        <v>127.1</v>
      </c>
      <c r="F256" s="3">
        <v>127.84</v>
      </c>
      <c r="G256" s="3">
        <v>125.47</v>
      </c>
      <c r="H256" s="39">
        <v>1700600.0</v>
      </c>
    </row>
    <row r="257">
      <c r="B257" s="38">
        <v>45615.0</v>
      </c>
      <c r="C257" s="3">
        <v>129.01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2" max="2" width="40.29"/>
    <col customWidth="1" min="3" max="3" width="1.29"/>
    <col customWidth="1" hidden="1" min="4" max="6" width="11.29"/>
    <col customWidth="1" min="7" max="11" width="11.29"/>
    <col customWidth="1" min="14" max="14" width="43.0"/>
    <col customWidth="1" min="15" max="19" width="12.29"/>
  </cols>
  <sheetData>
    <row r="2">
      <c r="C2" s="41"/>
      <c r="D2" s="41" t="s">
        <v>84</v>
      </c>
      <c r="E2" s="41" t="s">
        <v>85</v>
      </c>
      <c r="F2" s="42" t="s">
        <v>86</v>
      </c>
      <c r="G2" s="41" t="s">
        <v>87</v>
      </c>
      <c r="H2" s="41" t="s">
        <v>88</v>
      </c>
      <c r="I2" s="41" t="s">
        <v>89</v>
      </c>
      <c r="J2" s="41" t="s">
        <v>90</v>
      </c>
      <c r="K2" s="41" t="s">
        <v>91</v>
      </c>
    </row>
    <row r="3">
      <c r="B3" s="1" t="s">
        <v>92</v>
      </c>
      <c r="I3" s="39"/>
    </row>
    <row r="4">
      <c r="B4" s="43" t="s">
        <v>93</v>
      </c>
      <c r="D4" s="3">
        <v>6300.0</v>
      </c>
      <c r="E4" s="3">
        <v>6296.0</v>
      </c>
      <c r="F4" s="3">
        <v>6348.0</v>
      </c>
      <c r="G4" s="44">
        <f t="shared" ref="G4:K4" si="1">F4*(1+G36)</f>
        <v>6372.199501</v>
      </c>
      <c r="H4" s="44">
        <f t="shared" si="1"/>
        <v>6396.491255</v>
      </c>
      <c r="I4" s="44">
        <f t="shared" si="1"/>
        <v>6420.875612</v>
      </c>
      <c r="J4" s="44">
        <f t="shared" si="1"/>
        <v>6445.352926</v>
      </c>
      <c r="K4" s="44">
        <f t="shared" si="1"/>
        <v>6469.923551</v>
      </c>
    </row>
    <row r="5">
      <c r="B5" s="43" t="s">
        <v>94</v>
      </c>
      <c r="D5" s="3">
        <v>1830.0</v>
      </c>
      <c r="E5" s="3">
        <v>1901.0</v>
      </c>
      <c r="F5" s="3">
        <v>1906.0</v>
      </c>
      <c r="G5" s="44">
        <f t="shared" ref="G5:K5" si="2">F5*(1+G37)</f>
        <v>1945.480892</v>
      </c>
      <c r="H5" s="44">
        <f t="shared" si="2"/>
        <v>1985.779592</v>
      </c>
      <c r="I5" s="44">
        <f t="shared" si="2"/>
        <v>2026.913039</v>
      </c>
      <c r="J5" s="44">
        <f t="shared" si="2"/>
        <v>2068.898525</v>
      </c>
      <c r="K5" s="44">
        <f t="shared" si="2"/>
        <v>2111.753698</v>
      </c>
      <c r="N5" s="45"/>
      <c r="O5" s="45"/>
      <c r="P5" s="45"/>
      <c r="Q5" s="45"/>
      <c r="R5" s="45"/>
    </row>
    <row r="6">
      <c r="B6" s="1" t="s">
        <v>95</v>
      </c>
      <c r="D6" s="25">
        <f t="shared" ref="D6:F6" si="3">D4+D5</f>
        <v>8130</v>
      </c>
      <c r="E6" s="25">
        <f t="shared" si="3"/>
        <v>8197</v>
      </c>
      <c r="F6" s="25">
        <f t="shared" si="3"/>
        <v>8254</v>
      </c>
      <c r="G6" s="46">
        <f t="shared" ref="G6:K6" si="4">sum(G4:G5)</f>
        <v>8317.680394</v>
      </c>
      <c r="H6" s="46">
        <f t="shared" si="4"/>
        <v>8382.270847</v>
      </c>
      <c r="I6" s="46">
        <f t="shared" si="4"/>
        <v>8447.788652</v>
      </c>
      <c r="J6" s="46">
        <f t="shared" si="4"/>
        <v>8514.251451</v>
      </c>
      <c r="K6" s="46">
        <f t="shared" si="4"/>
        <v>8581.677249</v>
      </c>
      <c r="N6" s="45"/>
      <c r="O6" s="45"/>
      <c r="P6" s="45"/>
      <c r="Q6" s="45"/>
      <c r="R6" s="45"/>
    </row>
    <row r="7">
      <c r="B7" s="3" t="s">
        <v>96</v>
      </c>
      <c r="D7" s="3">
        <v>2953.0</v>
      </c>
      <c r="E7" s="3">
        <v>3023.0</v>
      </c>
      <c r="F7" s="3">
        <v>3172.0</v>
      </c>
      <c r="G7" s="44">
        <f t="shared" ref="G7:K7" si="5">G9*G41</f>
        <v>4082.859843</v>
      </c>
      <c r="H7" s="44">
        <f t="shared" si="5"/>
        <v>4114.565049</v>
      </c>
      <c r="I7" s="44">
        <f t="shared" si="5"/>
        <v>4146.725459</v>
      </c>
      <c r="J7" s="44">
        <f t="shared" si="5"/>
        <v>4179.349734</v>
      </c>
      <c r="K7" s="44">
        <f t="shared" si="5"/>
        <v>4212.446712</v>
      </c>
      <c r="N7" s="45"/>
      <c r="O7" s="45"/>
      <c r="P7" s="45"/>
      <c r="Q7" s="45"/>
      <c r="R7" s="45"/>
    </row>
    <row r="8">
      <c r="B8" s="3" t="s">
        <v>97</v>
      </c>
      <c r="D8" s="3">
        <v>482.0</v>
      </c>
      <c r="E8" s="3">
        <v>481.0</v>
      </c>
      <c r="F8" s="3">
        <v>489.0</v>
      </c>
      <c r="G8" s="44">
        <f t="shared" ref="G8:K8" si="6">G9*G42</f>
        <v>648.4441085</v>
      </c>
      <c r="H8" s="44">
        <f t="shared" si="6"/>
        <v>653.4795627</v>
      </c>
      <c r="I8" s="44">
        <f t="shared" si="6"/>
        <v>658.587313</v>
      </c>
      <c r="J8" s="44">
        <f t="shared" si="6"/>
        <v>663.7687348</v>
      </c>
      <c r="K8" s="44">
        <f t="shared" si="6"/>
        <v>669.0252317</v>
      </c>
      <c r="N8" s="45"/>
      <c r="O8" s="45"/>
      <c r="P8" s="45"/>
      <c r="Q8" s="45"/>
      <c r="R8" s="45"/>
    </row>
    <row r="9">
      <c r="B9" s="1" t="s">
        <v>98</v>
      </c>
      <c r="C9" s="25"/>
      <c r="D9" s="25">
        <f t="shared" ref="D9:F9" si="7">D6-D7-D8</f>
        <v>4695</v>
      </c>
      <c r="E9" s="25">
        <f t="shared" si="7"/>
        <v>4693</v>
      </c>
      <c r="F9" s="25">
        <f t="shared" si="7"/>
        <v>4593</v>
      </c>
      <c r="G9" s="46">
        <f t="shared" ref="G9:K9" si="8">G10*G6</f>
        <v>4731.303952</v>
      </c>
      <c r="H9" s="46">
        <f t="shared" si="8"/>
        <v>4768.044612</v>
      </c>
      <c r="I9" s="46">
        <f t="shared" si="8"/>
        <v>4805.312772</v>
      </c>
      <c r="J9" s="46">
        <f t="shared" si="8"/>
        <v>4843.118469</v>
      </c>
      <c r="K9" s="46">
        <f t="shared" si="8"/>
        <v>4881.471944</v>
      </c>
      <c r="N9" s="45"/>
      <c r="O9" s="45"/>
      <c r="P9" s="45"/>
      <c r="Q9" s="45"/>
      <c r="R9" s="45"/>
    </row>
    <row r="10">
      <c r="B10" s="3" t="s">
        <v>99</v>
      </c>
      <c r="D10" s="27">
        <f t="shared" ref="D10:F10" si="9">D9/D6</f>
        <v>0.5774907749</v>
      </c>
      <c r="E10" s="27">
        <f t="shared" si="9"/>
        <v>0.5725265341</v>
      </c>
      <c r="F10" s="27">
        <f t="shared" si="9"/>
        <v>0.5564574752</v>
      </c>
      <c r="G10" s="27">
        <f>average(D10:F10)</f>
        <v>0.5688249281</v>
      </c>
      <c r="H10" s="27">
        <f t="shared" ref="H10:K10" si="10">G10</f>
        <v>0.5688249281</v>
      </c>
      <c r="I10" s="27">
        <f t="shared" si="10"/>
        <v>0.5688249281</v>
      </c>
      <c r="J10" s="27">
        <f t="shared" si="10"/>
        <v>0.5688249281</v>
      </c>
      <c r="K10" s="27">
        <f t="shared" si="10"/>
        <v>0.5688249281</v>
      </c>
      <c r="N10" s="45"/>
      <c r="O10" s="45"/>
      <c r="P10" s="45"/>
      <c r="Q10" s="45"/>
      <c r="R10" s="45"/>
    </row>
    <row r="11">
      <c r="B11" s="3" t="s">
        <v>100</v>
      </c>
      <c r="D11" s="3">
        <v>2235.0</v>
      </c>
      <c r="E11" s="3">
        <v>2243.0</v>
      </c>
      <c r="F11" s="3">
        <v>2782.0</v>
      </c>
      <c r="G11" s="47">
        <f t="shared" ref="G11:K11" si="11">G6*G46</f>
        <v>2455.360258</v>
      </c>
      <c r="H11" s="47">
        <f t="shared" si="11"/>
        <v>2474.427212</v>
      </c>
      <c r="I11" s="47">
        <f t="shared" si="11"/>
        <v>2493.767918</v>
      </c>
      <c r="J11" s="47">
        <f t="shared" si="11"/>
        <v>2513.387585</v>
      </c>
      <c r="K11" s="47">
        <f t="shared" si="11"/>
        <v>2533.291527</v>
      </c>
      <c r="N11" s="45"/>
      <c r="O11" s="45"/>
      <c r="P11" s="45"/>
      <c r="Q11" s="45"/>
      <c r="R11" s="45"/>
    </row>
    <row r="12">
      <c r="B12" s="3" t="s">
        <v>101</v>
      </c>
      <c r="D12" s="3">
        <v>767.0</v>
      </c>
      <c r="E12" s="3">
        <v>758.0</v>
      </c>
      <c r="F12" s="3">
        <v>775.0</v>
      </c>
      <c r="G12" s="47">
        <f t="shared" ref="G12:K12" si="12">G6*G47</f>
        <v>778.2816641</v>
      </c>
      <c r="H12" s="47">
        <f t="shared" si="12"/>
        <v>784.3253642</v>
      </c>
      <c r="I12" s="47">
        <f t="shared" si="12"/>
        <v>790.4558361</v>
      </c>
      <c r="J12" s="47">
        <f t="shared" si="12"/>
        <v>796.6747307</v>
      </c>
      <c r="K12" s="47">
        <f t="shared" si="12"/>
        <v>802.9837328</v>
      </c>
      <c r="N12" s="45"/>
      <c r="O12" s="45"/>
      <c r="P12" s="45"/>
      <c r="Q12" s="45"/>
      <c r="R12" s="45"/>
    </row>
    <row r="13">
      <c r="B13" s="1" t="s">
        <v>102</v>
      </c>
      <c r="C13" s="3"/>
      <c r="D13" s="1">
        <f t="shared" ref="D13:K13" si="13">D9-D11-D12</f>
        <v>1693</v>
      </c>
      <c r="E13" s="1">
        <f t="shared" si="13"/>
        <v>1692</v>
      </c>
      <c r="F13" s="1">
        <f t="shared" si="13"/>
        <v>1036</v>
      </c>
      <c r="G13" s="46">
        <f t="shared" si="13"/>
        <v>1497.66203</v>
      </c>
      <c r="H13" s="46">
        <f t="shared" si="13"/>
        <v>1509.292035</v>
      </c>
      <c r="I13" s="46">
        <f t="shared" si="13"/>
        <v>1521.089018</v>
      </c>
      <c r="J13" s="46">
        <f t="shared" si="13"/>
        <v>1533.056153</v>
      </c>
      <c r="K13" s="46">
        <f t="shared" si="13"/>
        <v>1545.196685</v>
      </c>
      <c r="N13" s="45"/>
      <c r="O13" s="45"/>
      <c r="P13" s="45"/>
      <c r="Q13" s="45"/>
      <c r="R13" s="45"/>
    </row>
    <row r="14">
      <c r="B14" s="3" t="s">
        <v>103</v>
      </c>
      <c r="D14" s="3">
        <v>0.0</v>
      </c>
      <c r="E14" s="3">
        <v>0.0</v>
      </c>
      <c r="F14" s="3">
        <v>367.0</v>
      </c>
      <c r="I14" s="39"/>
      <c r="N14" s="45"/>
      <c r="O14" s="45"/>
      <c r="P14" s="45"/>
      <c r="Q14" s="45"/>
      <c r="R14" s="45"/>
    </row>
    <row r="15">
      <c r="B15" s="3" t="s">
        <v>104</v>
      </c>
      <c r="D15" s="3">
        <v>1.0</v>
      </c>
      <c r="E15" s="3">
        <v>25.0</v>
      </c>
      <c r="F15" s="3">
        <v>64.0</v>
      </c>
      <c r="I15" s="39"/>
      <c r="N15" s="45"/>
      <c r="O15" s="45"/>
      <c r="P15" s="45"/>
      <c r="Q15" s="45"/>
      <c r="R15" s="45"/>
    </row>
    <row r="16">
      <c r="B16" s="3" t="s">
        <v>105</v>
      </c>
      <c r="D16" s="25">
        <f t="shared" ref="D16:F16" si="14">D13-D14-D15</f>
        <v>1692</v>
      </c>
      <c r="E16" s="25">
        <f t="shared" si="14"/>
        <v>1667</v>
      </c>
      <c r="F16" s="25">
        <f t="shared" si="14"/>
        <v>605</v>
      </c>
      <c r="I16" s="39"/>
      <c r="N16" s="45"/>
      <c r="O16" s="45"/>
      <c r="P16" s="45"/>
      <c r="Q16" s="45"/>
      <c r="R16" s="45"/>
    </row>
    <row r="17">
      <c r="B17" s="3" t="s">
        <v>106</v>
      </c>
      <c r="D17" s="3">
        <v>349.0</v>
      </c>
      <c r="E17" s="3">
        <v>321.0</v>
      </c>
      <c r="F17" s="3">
        <v>127.0</v>
      </c>
      <c r="I17" s="39"/>
    </row>
    <row r="18">
      <c r="B18" s="1" t="s">
        <v>107</v>
      </c>
      <c r="D18" s="25">
        <f t="shared" ref="D18:E18" si="15">D16-D17</f>
        <v>1343</v>
      </c>
      <c r="E18" s="25">
        <f t="shared" si="15"/>
        <v>1346</v>
      </c>
      <c r="F18" s="1">
        <v>479.0</v>
      </c>
      <c r="I18" s="39"/>
    </row>
    <row r="19">
      <c r="B19" s="38"/>
      <c r="I19" s="39"/>
    </row>
    <row r="20">
      <c r="B20" s="48" t="s">
        <v>108</v>
      </c>
      <c r="I20" s="39"/>
    </row>
    <row r="21">
      <c r="B21" s="49" t="s">
        <v>109</v>
      </c>
      <c r="D21" s="50">
        <v>0.21</v>
      </c>
      <c r="E21" s="50">
        <v>0.21</v>
      </c>
      <c r="F21" s="51">
        <v>0.21</v>
      </c>
      <c r="G21" s="52">
        <v>0.21</v>
      </c>
      <c r="H21" s="52">
        <v>0.21</v>
      </c>
      <c r="I21" s="52">
        <v>0.21</v>
      </c>
      <c r="J21" s="52">
        <v>0.21</v>
      </c>
      <c r="K21" s="52">
        <v>0.21</v>
      </c>
      <c r="L21" s="49" t="s">
        <v>110</v>
      </c>
    </row>
    <row r="22">
      <c r="B22" s="49" t="s">
        <v>111</v>
      </c>
      <c r="D22" s="3">
        <v>578.0</v>
      </c>
      <c r="E22" s="3">
        <v>561.0</v>
      </c>
      <c r="F22" s="3">
        <v>555.0</v>
      </c>
      <c r="G22" s="47">
        <f t="shared" ref="G22:K22" si="16">G23*G6</f>
        <v>573.2947626</v>
      </c>
      <c r="H22" s="47">
        <f t="shared" si="16"/>
        <v>571.6838244</v>
      </c>
      <c r="I22" s="47">
        <f t="shared" si="16"/>
        <v>575.4816887</v>
      </c>
      <c r="J22" s="47">
        <f t="shared" si="16"/>
        <v>582.5125916</v>
      </c>
      <c r="K22" s="47">
        <f t="shared" si="16"/>
        <v>585.6705757</v>
      </c>
      <c r="L22" s="3" t="s">
        <v>112</v>
      </c>
    </row>
    <row r="23">
      <c r="B23" s="53" t="s">
        <v>113</v>
      </c>
      <c r="D23" s="27">
        <f t="shared" ref="D23:F23" si="17">D22/D6</f>
        <v>0.07109471095</v>
      </c>
      <c r="E23" s="27">
        <f t="shared" si="17"/>
        <v>0.06843967305</v>
      </c>
      <c r="F23" s="27">
        <f t="shared" si="17"/>
        <v>0.067240126</v>
      </c>
      <c r="G23" s="27">
        <f t="shared" ref="G23:K23" si="18">average(D23:F23)</f>
        <v>0.06892483667</v>
      </c>
      <c r="H23" s="27">
        <f t="shared" si="18"/>
        <v>0.06820154524</v>
      </c>
      <c r="I23" s="27">
        <f t="shared" si="18"/>
        <v>0.0681221693</v>
      </c>
      <c r="J23" s="27">
        <f t="shared" si="18"/>
        <v>0.06841618374</v>
      </c>
      <c r="K23" s="27">
        <f t="shared" si="18"/>
        <v>0.06824663276</v>
      </c>
    </row>
    <row r="24">
      <c r="B24" s="49" t="s">
        <v>114</v>
      </c>
      <c r="E24" s="26">
        <f>1313+0+857+155</f>
        <v>2325</v>
      </c>
      <c r="F24" s="26">
        <f>1044+185+965+293</f>
        <v>2487</v>
      </c>
      <c r="G24" s="47">
        <f t="shared" ref="G24:K24" si="19">G25*G6</f>
        <v>2432.708636</v>
      </c>
      <c r="H24" s="47">
        <f t="shared" si="19"/>
        <v>2488.62439</v>
      </c>
      <c r="I24" s="47">
        <f t="shared" si="19"/>
        <v>2489.419018</v>
      </c>
      <c r="J24" s="47">
        <f t="shared" si="19"/>
        <v>2518.406385</v>
      </c>
      <c r="K24" s="47">
        <f t="shared" si="19"/>
        <v>2533.611886</v>
      </c>
      <c r="L24" s="3" t="s">
        <v>112</v>
      </c>
    </row>
    <row r="25">
      <c r="B25" s="53" t="s">
        <v>115</v>
      </c>
      <c r="E25" s="27">
        <f t="shared" ref="E25:F25" si="20">E24/E6</f>
        <v>0.2836403562</v>
      </c>
      <c r="F25" s="27">
        <f t="shared" si="20"/>
        <v>0.3013084565</v>
      </c>
      <c r="G25" s="27">
        <f t="shared" ref="G25:K25" si="21">average(E25:F25)</f>
        <v>0.2924744064</v>
      </c>
      <c r="H25" s="27">
        <f t="shared" si="21"/>
        <v>0.2968914314</v>
      </c>
      <c r="I25" s="27">
        <f t="shared" si="21"/>
        <v>0.2946829189</v>
      </c>
      <c r="J25" s="27">
        <f t="shared" si="21"/>
        <v>0.2957871752</v>
      </c>
      <c r="K25" s="27">
        <f t="shared" si="21"/>
        <v>0.295235047</v>
      </c>
    </row>
    <row r="26">
      <c r="B26" s="49" t="s">
        <v>116</v>
      </c>
      <c r="E26" s="26">
        <f>477+0+574+677</f>
        <v>1728</v>
      </c>
      <c r="F26" s="26">
        <f>618+272+572+1041</f>
        <v>2503</v>
      </c>
      <c r="G26" s="47">
        <f t="shared" ref="G26:K26" si="22">G27*G6</f>
        <v>2137.875688</v>
      </c>
      <c r="H26" s="47">
        <f t="shared" si="22"/>
        <v>2154.477235</v>
      </c>
      <c r="I26" s="47">
        <f t="shared" si="22"/>
        <v>2171.317136</v>
      </c>
      <c r="J26" s="47">
        <f t="shared" si="22"/>
        <v>2188.399928</v>
      </c>
      <c r="K26" s="47">
        <f t="shared" si="22"/>
        <v>2205.730238</v>
      </c>
      <c r="L26" s="3" t="s">
        <v>112</v>
      </c>
    </row>
    <row r="27">
      <c r="B27" s="53" t="s">
        <v>117</v>
      </c>
      <c r="E27" s="27">
        <f t="shared" ref="E27:F27" si="23">E26/E6</f>
        <v>0.2108088325</v>
      </c>
      <c r="F27" s="27">
        <f t="shared" si="23"/>
        <v>0.3032469106</v>
      </c>
      <c r="G27" s="27">
        <f>average(E27:F27)</f>
        <v>0.2570278715</v>
      </c>
      <c r="H27" s="27">
        <f t="shared" ref="H27:K27" si="24">G27</f>
        <v>0.2570278715</v>
      </c>
      <c r="I27" s="27">
        <f t="shared" si="24"/>
        <v>0.2570278715</v>
      </c>
      <c r="J27" s="27">
        <f t="shared" si="24"/>
        <v>0.2570278715</v>
      </c>
      <c r="K27" s="27">
        <f t="shared" si="24"/>
        <v>0.2570278715</v>
      </c>
    </row>
    <row r="28">
      <c r="B28" s="49" t="s">
        <v>118</v>
      </c>
      <c r="D28" s="3">
        <v>253.0</v>
      </c>
      <c r="E28" s="3">
        <v>230.0</v>
      </c>
      <c r="F28" s="3">
        <v>380.0</v>
      </c>
      <c r="G28" s="26">
        <f t="shared" ref="G28:K28" si="25">F28</f>
        <v>380</v>
      </c>
      <c r="H28" s="26">
        <f t="shared" si="25"/>
        <v>380</v>
      </c>
      <c r="I28" s="26">
        <f t="shared" si="25"/>
        <v>380</v>
      </c>
      <c r="J28" s="26">
        <f t="shared" si="25"/>
        <v>380</v>
      </c>
      <c r="K28" s="26">
        <f t="shared" si="25"/>
        <v>380</v>
      </c>
      <c r="L28" s="3" t="s">
        <v>112</v>
      </c>
    </row>
    <row r="29">
      <c r="B29" s="38"/>
      <c r="I29" s="39"/>
    </row>
    <row r="30">
      <c r="B30" s="38"/>
      <c r="I30" s="39"/>
    </row>
    <row r="31">
      <c r="B31" s="38"/>
      <c r="I31" s="39"/>
    </row>
    <row r="32">
      <c r="B32" s="38"/>
      <c r="I32" s="39"/>
    </row>
    <row r="33">
      <c r="B33" s="38"/>
      <c r="I33" s="39"/>
    </row>
    <row r="34">
      <c r="B34" s="38"/>
      <c r="D34" s="41" t="s">
        <v>84</v>
      </c>
      <c r="E34" s="41" t="s">
        <v>85</v>
      </c>
      <c r="F34" s="42" t="s">
        <v>86</v>
      </c>
      <c r="G34" s="41" t="s">
        <v>87</v>
      </c>
      <c r="H34" s="41" t="s">
        <v>88</v>
      </c>
      <c r="I34" s="41" t="s">
        <v>89</v>
      </c>
      <c r="J34" s="41" t="s">
        <v>90</v>
      </c>
      <c r="K34" s="41" t="s">
        <v>91</v>
      </c>
    </row>
    <row r="35">
      <c r="B35" s="1" t="s">
        <v>119</v>
      </c>
      <c r="I35" s="39"/>
    </row>
    <row r="36">
      <c r="B36" s="43" t="s">
        <v>120</v>
      </c>
      <c r="E36" s="27">
        <f t="shared" ref="E36:F36" si="26">E4/D4-1</f>
        <v>-0.0006349206349</v>
      </c>
      <c r="F36" s="27">
        <f t="shared" si="26"/>
        <v>0.008259212198</v>
      </c>
      <c r="G36" s="27">
        <f t="shared" ref="G36:G37" si="29">average(E36:F36)</f>
        <v>0.003812145782</v>
      </c>
      <c r="H36" s="27">
        <f t="shared" ref="H36:K36" si="27">$G$36</f>
        <v>0.003812145782</v>
      </c>
      <c r="I36" s="27">
        <f t="shared" si="27"/>
        <v>0.003812145782</v>
      </c>
      <c r="J36" s="27">
        <f t="shared" si="27"/>
        <v>0.003812145782</v>
      </c>
      <c r="K36" s="27">
        <f t="shared" si="27"/>
        <v>0.003812145782</v>
      </c>
    </row>
    <row r="37">
      <c r="B37" s="43" t="s">
        <v>121</v>
      </c>
      <c r="E37" s="27">
        <f t="shared" ref="E37:F37" si="28">E5/D5-1</f>
        <v>0.03879781421</v>
      </c>
      <c r="F37" s="27">
        <f t="shared" si="28"/>
        <v>0.002630194634</v>
      </c>
      <c r="G37" s="27">
        <f t="shared" si="29"/>
        <v>0.02071400442</v>
      </c>
      <c r="H37" s="27">
        <f t="shared" ref="H37:K37" si="30">$G$37</f>
        <v>0.02071400442</v>
      </c>
      <c r="I37" s="27">
        <f t="shared" si="30"/>
        <v>0.02071400442</v>
      </c>
      <c r="J37" s="27">
        <f t="shared" si="30"/>
        <v>0.02071400442</v>
      </c>
      <c r="K37" s="27">
        <f t="shared" si="30"/>
        <v>0.02071400442</v>
      </c>
    </row>
    <row r="38">
      <c r="B38" s="38"/>
      <c r="I38" s="39"/>
    </row>
    <row r="39">
      <c r="B39" s="38"/>
      <c r="I39" s="39"/>
    </row>
    <row r="40">
      <c r="B40" s="1" t="s">
        <v>122</v>
      </c>
      <c r="I40" s="39"/>
    </row>
    <row r="41">
      <c r="B41" s="3" t="s">
        <v>123</v>
      </c>
      <c r="D41" s="27">
        <f t="shared" ref="D41:F41" si="31">D7/(D7+D8)</f>
        <v>0.8596797671</v>
      </c>
      <c r="E41" s="27">
        <f t="shared" si="31"/>
        <v>0.8627283105</v>
      </c>
      <c r="F41" s="27">
        <f t="shared" si="31"/>
        <v>0.8664299372</v>
      </c>
      <c r="G41" s="27">
        <f t="shared" ref="G41:G42" si="34">AVERAGE(D41:F41)</f>
        <v>0.8629460049</v>
      </c>
      <c r="H41" s="27">
        <f t="shared" ref="H41:K41" si="32">G41</f>
        <v>0.8629460049</v>
      </c>
      <c r="I41" s="27">
        <f t="shared" si="32"/>
        <v>0.8629460049</v>
      </c>
      <c r="J41" s="27">
        <f t="shared" si="32"/>
        <v>0.8629460049</v>
      </c>
      <c r="K41" s="27">
        <f t="shared" si="32"/>
        <v>0.8629460049</v>
      </c>
    </row>
    <row r="42">
      <c r="B42" s="3" t="s">
        <v>124</v>
      </c>
      <c r="D42" s="27">
        <f t="shared" ref="D42:F42" si="33">1-D41</f>
        <v>0.1403202329</v>
      </c>
      <c r="E42" s="27">
        <f t="shared" si="33"/>
        <v>0.1372716895</v>
      </c>
      <c r="F42" s="27">
        <f t="shared" si="33"/>
        <v>0.1335700628</v>
      </c>
      <c r="G42" s="27">
        <f t="shared" si="34"/>
        <v>0.1370539951</v>
      </c>
      <c r="H42" s="27">
        <f t="shared" ref="H42:K42" si="35">G42</f>
        <v>0.1370539951</v>
      </c>
      <c r="I42" s="27">
        <f t="shared" si="35"/>
        <v>0.1370539951</v>
      </c>
      <c r="J42" s="27">
        <f t="shared" si="35"/>
        <v>0.1370539951</v>
      </c>
      <c r="K42" s="27">
        <f t="shared" si="35"/>
        <v>0.1370539951</v>
      </c>
    </row>
    <row r="43">
      <c r="B43" s="38"/>
      <c r="I43" s="39"/>
    </row>
    <row r="44">
      <c r="B44" s="38"/>
      <c r="I44" s="39"/>
    </row>
    <row r="45">
      <c r="B45" s="1" t="s">
        <v>125</v>
      </c>
      <c r="I45" s="39"/>
    </row>
    <row r="46">
      <c r="B46" s="38" t="str">
        <f t="shared" ref="B46:B47" si="38">B11</f>
        <v>  Selling, general and administrative expenses</v>
      </c>
      <c r="D46" s="27">
        <f t="shared" ref="D46:F46" si="36">D11/D6</f>
        <v>0.2749077491</v>
      </c>
      <c r="E46" s="27">
        <f t="shared" si="36"/>
        <v>0.2736366964</v>
      </c>
      <c r="F46" s="27">
        <f t="shared" si="36"/>
        <v>0.3370487037</v>
      </c>
      <c r="G46" s="27">
        <f t="shared" ref="G46:G47" si="40">average(D46:F46)</f>
        <v>0.2951977164</v>
      </c>
      <c r="H46" s="27">
        <f t="shared" ref="H46:K46" si="37">G46</f>
        <v>0.2951977164</v>
      </c>
      <c r="I46" s="27">
        <f t="shared" si="37"/>
        <v>0.2951977164</v>
      </c>
      <c r="J46" s="27">
        <f t="shared" si="37"/>
        <v>0.2951977164</v>
      </c>
      <c r="K46" s="27">
        <f t="shared" si="37"/>
        <v>0.2951977164</v>
      </c>
    </row>
    <row r="47">
      <c r="B47" s="38" t="str">
        <f t="shared" si="38"/>
        <v>  Research and development expenses</v>
      </c>
      <c r="D47" s="27">
        <f t="shared" ref="D47:F47" si="39">D12/D6</f>
        <v>0.09434194342</v>
      </c>
      <c r="E47" s="27">
        <f t="shared" si="39"/>
        <v>0.09247285592</v>
      </c>
      <c r="F47" s="27">
        <f t="shared" si="39"/>
        <v>0.09389386964</v>
      </c>
      <c r="G47" s="27">
        <f t="shared" si="40"/>
        <v>0.09356955633</v>
      </c>
      <c r="H47" s="27">
        <f t="shared" ref="H47:K47" si="41">G47</f>
        <v>0.09356955633</v>
      </c>
      <c r="I47" s="27">
        <f t="shared" si="41"/>
        <v>0.09356955633</v>
      </c>
      <c r="J47" s="27">
        <f t="shared" si="41"/>
        <v>0.09356955633</v>
      </c>
      <c r="K47" s="27">
        <f t="shared" si="41"/>
        <v>0.09356955633</v>
      </c>
    </row>
    <row r="48">
      <c r="B48" s="38"/>
      <c r="I48" s="39"/>
    </row>
    <row r="49" ht="22.5" customHeight="1">
      <c r="B49" s="38"/>
      <c r="I49" s="39"/>
      <c r="N49" s="54" t="s">
        <v>126</v>
      </c>
      <c r="O49" s="55" t="s">
        <v>87</v>
      </c>
      <c r="P49" s="55" t="s">
        <v>88</v>
      </c>
      <c r="Q49" s="55" t="s">
        <v>89</v>
      </c>
      <c r="R49" s="55" t="s">
        <v>90</v>
      </c>
      <c r="S49" s="55" t="s">
        <v>91</v>
      </c>
    </row>
    <row r="50" ht="22.5" customHeight="1">
      <c r="B50" s="1" t="s">
        <v>126</v>
      </c>
      <c r="D50" s="41" t="s">
        <v>84</v>
      </c>
      <c r="E50" s="41" t="s">
        <v>85</v>
      </c>
      <c r="F50" s="42" t="s">
        <v>86</v>
      </c>
      <c r="G50" s="41" t="s">
        <v>87</v>
      </c>
      <c r="H50" s="41" t="s">
        <v>88</v>
      </c>
      <c r="I50" s="41" t="s">
        <v>89</v>
      </c>
      <c r="J50" s="41" t="s">
        <v>90</v>
      </c>
      <c r="K50" s="41" t="s">
        <v>91</v>
      </c>
      <c r="N50" s="56" t="s">
        <v>127</v>
      </c>
      <c r="O50" s="57">
        <f t="shared" ref="O50:S50" si="42">G51</f>
        <v>1183.153004</v>
      </c>
      <c r="P50" s="57">
        <f t="shared" si="42"/>
        <v>1192.340708</v>
      </c>
      <c r="Q50" s="57">
        <f t="shared" si="42"/>
        <v>1201.660324</v>
      </c>
      <c r="R50" s="57">
        <f t="shared" si="42"/>
        <v>1211.114361</v>
      </c>
      <c r="S50" s="57">
        <f t="shared" si="42"/>
        <v>1220.705381</v>
      </c>
    </row>
    <row r="51" ht="22.5" customHeight="1">
      <c r="B51" s="1" t="s">
        <v>127</v>
      </c>
      <c r="D51" s="58"/>
      <c r="E51" s="58"/>
      <c r="F51" s="58"/>
      <c r="G51" s="47">
        <f t="shared" ref="G51:K51" si="43">G13*(1-G21)</f>
        <v>1183.153004</v>
      </c>
      <c r="H51" s="47">
        <f t="shared" si="43"/>
        <v>1192.340708</v>
      </c>
      <c r="I51" s="47">
        <f t="shared" si="43"/>
        <v>1201.660324</v>
      </c>
      <c r="J51" s="47">
        <f t="shared" si="43"/>
        <v>1211.114361</v>
      </c>
      <c r="K51" s="47">
        <f t="shared" si="43"/>
        <v>1220.705381</v>
      </c>
      <c r="N51" s="59" t="s">
        <v>128</v>
      </c>
      <c r="O51" s="57">
        <f t="shared" ref="O51:S51" si="44">G52</f>
        <v>573.2947626</v>
      </c>
      <c r="P51" s="57">
        <f t="shared" si="44"/>
        <v>571.6838244</v>
      </c>
      <c r="Q51" s="57">
        <f t="shared" si="44"/>
        <v>575.4816887</v>
      </c>
      <c r="R51" s="57">
        <f t="shared" si="44"/>
        <v>582.5125916</v>
      </c>
      <c r="S51" s="57">
        <f t="shared" si="44"/>
        <v>585.6705757</v>
      </c>
    </row>
    <row r="52" ht="22.5" customHeight="1">
      <c r="B52" s="3" t="s">
        <v>128</v>
      </c>
      <c r="D52" s="60"/>
      <c r="E52" s="60"/>
      <c r="F52" s="60"/>
      <c r="G52" s="47">
        <f t="shared" ref="G52:K52" si="45">G22</f>
        <v>573.2947626</v>
      </c>
      <c r="H52" s="47">
        <f t="shared" si="45"/>
        <v>571.6838244</v>
      </c>
      <c r="I52" s="47">
        <f t="shared" si="45"/>
        <v>575.4816887</v>
      </c>
      <c r="J52" s="47">
        <f t="shared" si="45"/>
        <v>582.5125916</v>
      </c>
      <c r="K52" s="47">
        <f t="shared" si="45"/>
        <v>585.6705757</v>
      </c>
      <c r="N52" s="59" t="s">
        <v>129</v>
      </c>
      <c r="O52" s="57">
        <f t="shared" ref="O52:S52" si="46">G53</f>
        <v>-310.8329477</v>
      </c>
      <c r="P52" s="57">
        <f t="shared" si="46"/>
        <v>-39.31420822</v>
      </c>
      <c r="Q52" s="57">
        <f t="shared" si="46"/>
        <v>16.04527421</v>
      </c>
      <c r="R52" s="57">
        <f t="shared" si="46"/>
        <v>-11.90457539</v>
      </c>
      <c r="S52" s="57">
        <f t="shared" si="46"/>
        <v>2.12480846</v>
      </c>
    </row>
    <row r="53" ht="22.5" customHeight="1">
      <c r="B53" s="3" t="s">
        <v>129</v>
      </c>
      <c r="D53" s="60"/>
      <c r="E53" s="60"/>
      <c r="F53" s="60"/>
      <c r="G53" s="47">
        <f t="shared" ref="G53:K53" si="47">(F24-F26)-(G24-G26)</f>
        <v>-310.8329477</v>
      </c>
      <c r="H53" s="47">
        <f t="shared" si="47"/>
        <v>-39.31420822</v>
      </c>
      <c r="I53" s="47">
        <f t="shared" si="47"/>
        <v>16.04527421</v>
      </c>
      <c r="J53" s="47">
        <f t="shared" si="47"/>
        <v>-11.90457539</v>
      </c>
      <c r="K53" s="47">
        <f t="shared" si="47"/>
        <v>2.12480846</v>
      </c>
      <c r="N53" s="59" t="s">
        <v>130</v>
      </c>
      <c r="O53" s="61">
        <f t="shared" ref="O53:S53" si="48">G54</f>
        <v>-380</v>
      </c>
      <c r="P53" s="61">
        <f t="shared" si="48"/>
        <v>-380</v>
      </c>
      <c r="Q53" s="61">
        <f t="shared" si="48"/>
        <v>-380</v>
      </c>
      <c r="R53" s="61">
        <f t="shared" si="48"/>
        <v>-380</v>
      </c>
      <c r="S53" s="61">
        <f t="shared" si="48"/>
        <v>-380</v>
      </c>
    </row>
    <row r="54" ht="22.5" customHeight="1">
      <c r="B54" s="3" t="s">
        <v>130</v>
      </c>
      <c r="D54" s="60"/>
      <c r="E54" s="60"/>
      <c r="F54" s="60"/>
      <c r="G54" s="26">
        <f t="shared" ref="G54:K54" si="49">-G28</f>
        <v>-380</v>
      </c>
      <c r="H54" s="26">
        <f t="shared" si="49"/>
        <v>-380</v>
      </c>
      <c r="I54" s="26">
        <f t="shared" si="49"/>
        <v>-380</v>
      </c>
      <c r="J54" s="26">
        <f t="shared" si="49"/>
        <v>-380</v>
      </c>
      <c r="K54" s="26">
        <f t="shared" si="49"/>
        <v>-380</v>
      </c>
      <c r="N54" s="56" t="s">
        <v>131</v>
      </c>
      <c r="O54" s="62">
        <f t="shared" ref="O54:S54" si="50">G55</f>
        <v>1065.614818</v>
      </c>
      <c r="P54" s="62">
        <f t="shared" si="50"/>
        <v>1344.710324</v>
      </c>
      <c r="Q54" s="62">
        <f t="shared" si="50"/>
        <v>1413.187287</v>
      </c>
      <c r="R54" s="62">
        <f t="shared" si="50"/>
        <v>1401.722377</v>
      </c>
      <c r="S54" s="62">
        <f t="shared" si="50"/>
        <v>1428.500765</v>
      </c>
    </row>
    <row r="55" ht="22.5" customHeight="1">
      <c r="B55" s="1" t="s">
        <v>131</v>
      </c>
      <c r="D55" s="60"/>
      <c r="E55" s="60"/>
      <c r="F55" s="60"/>
      <c r="G55" s="46">
        <f t="shared" ref="G55:K55" si="51">sum(G51:G54)</f>
        <v>1065.614818</v>
      </c>
      <c r="H55" s="46">
        <f t="shared" si="51"/>
        <v>1344.710324</v>
      </c>
      <c r="I55" s="46">
        <f t="shared" si="51"/>
        <v>1413.187287</v>
      </c>
      <c r="J55" s="46">
        <f t="shared" si="51"/>
        <v>1401.722377</v>
      </c>
      <c r="K55" s="46">
        <f t="shared" si="51"/>
        <v>1428.500765</v>
      </c>
      <c r="N55" s="59" t="s">
        <v>132</v>
      </c>
      <c r="O55" s="61" t="str">
        <f t="shared" ref="O55:S55" si="52">G56</f>
        <v/>
      </c>
      <c r="P55" s="61" t="str">
        <f t="shared" si="52"/>
        <v/>
      </c>
      <c r="Q55" s="63" t="str">
        <f t="shared" si="52"/>
        <v/>
      </c>
      <c r="R55" s="61" t="str">
        <f t="shared" si="52"/>
        <v/>
      </c>
      <c r="S55" s="57">
        <f t="shared" si="52"/>
        <v>31985.147</v>
      </c>
    </row>
    <row r="56" ht="22.5" customHeight="1">
      <c r="B56" s="3" t="s">
        <v>132</v>
      </c>
      <c r="D56" s="60"/>
      <c r="E56" s="60"/>
      <c r="F56" s="60"/>
      <c r="I56" s="39"/>
      <c r="K56" s="47">
        <f>(K55*(1+F63))/(F62-F63)</f>
        <v>31985.147</v>
      </c>
      <c r="N56" s="56" t="s">
        <v>133</v>
      </c>
      <c r="O56" s="57">
        <f t="shared" ref="O56:S56" si="53">G57</f>
        <v>1065.614818</v>
      </c>
      <c r="P56" s="57">
        <f t="shared" si="53"/>
        <v>1344.710324</v>
      </c>
      <c r="Q56" s="57">
        <f t="shared" si="53"/>
        <v>1413.187287</v>
      </c>
      <c r="R56" s="57">
        <f t="shared" si="53"/>
        <v>1401.722377</v>
      </c>
      <c r="S56" s="57">
        <f t="shared" si="53"/>
        <v>33413.64777</v>
      </c>
    </row>
    <row r="57" ht="22.5" customHeight="1">
      <c r="B57" s="1" t="s">
        <v>133</v>
      </c>
      <c r="D57" s="60"/>
      <c r="E57" s="60"/>
      <c r="F57" s="60"/>
      <c r="G57" s="47">
        <f t="shared" ref="G57:K57" si="54">G55+G56</f>
        <v>1065.614818</v>
      </c>
      <c r="H57" s="47">
        <f t="shared" si="54"/>
        <v>1344.710324</v>
      </c>
      <c r="I57" s="47">
        <f t="shared" si="54"/>
        <v>1413.187287</v>
      </c>
      <c r="J57" s="47">
        <f t="shared" si="54"/>
        <v>1401.722377</v>
      </c>
      <c r="K57" s="47">
        <f t="shared" si="54"/>
        <v>33413.64777</v>
      </c>
      <c r="N57" s="59" t="s">
        <v>134</v>
      </c>
      <c r="O57" s="64">
        <f t="shared" ref="O57:S57" si="55">G58</f>
        <v>0.9293669759</v>
      </c>
      <c r="P57" s="64">
        <f t="shared" si="55"/>
        <v>0.8637229759</v>
      </c>
      <c r="Q57" s="64">
        <f t="shared" si="55"/>
        <v>0.8027156101</v>
      </c>
      <c r="R57" s="64">
        <f t="shared" si="55"/>
        <v>0.746017379</v>
      </c>
      <c r="S57" s="64">
        <f t="shared" si="55"/>
        <v>0.6933239155</v>
      </c>
    </row>
    <row r="58" ht="22.5" customHeight="1">
      <c r="B58" s="3" t="s">
        <v>134</v>
      </c>
      <c r="D58" s="60"/>
      <c r="E58" s="60"/>
      <c r="F58" s="60"/>
      <c r="G58" s="20">
        <f t="shared" ref="G58:K58" si="56">1/((1+$F$62)^G64)</f>
        <v>0.9293669759</v>
      </c>
      <c r="H58" s="20">
        <f t="shared" si="56"/>
        <v>0.8637229759</v>
      </c>
      <c r="I58" s="20">
        <f t="shared" si="56"/>
        <v>0.8027156101</v>
      </c>
      <c r="J58" s="20">
        <f t="shared" si="56"/>
        <v>0.746017379</v>
      </c>
      <c r="K58" s="20">
        <f t="shared" si="56"/>
        <v>0.6933239155</v>
      </c>
      <c r="N58" s="56" t="s">
        <v>135</v>
      </c>
      <c r="O58" s="57">
        <f t="shared" ref="O58:S58" si="57">G59</f>
        <v>990.3472212</v>
      </c>
      <c r="P58" s="57">
        <f t="shared" si="57"/>
        <v>1161.457203</v>
      </c>
      <c r="Q58" s="57">
        <f t="shared" si="57"/>
        <v>1134.387495</v>
      </c>
      <c r="R58" s="57">
        <f t="shared" si="57"/>
        <v>1045.709254</v>
      </c>
      <c r="S58" s="57">
        <f t="shared" si="57"/>
        <v>23166.4811</v>
      </c>
    </row>
    <row r="59" ht="22.5" customHeight="1">
      <c r="B59" s="1" t="s">
        <v>135</v>
      </c>
      <c r="D59" s="60"/>
      <c r="E59" s="60"/>
      <c r="F59" s="60"/>
      <c r="G59" s="47">
        <f t="shared" ref="G59:K59" si="58">G57*G58</f>
        <v>990.3472212</v>
      </c>
      <c r="H59" s="47">
        <f t="shared" si="58"/>
        <v>1161.457203</v>
      </c>
      <c r="I59" s="47">
        <f t="shared" si="58"/>
        <v>1134.387495</v>
      </c>
      <c r="J59" s="47">
        <f t="shared" si="58"/>
        <v>1045.709254</v>
      </c>
      <c r="K59" s="47">
        <f t="shared" si="58"/>
        <v>23166.4811</v>
      </c>
      <c r="N59" s="56"/>
      <c r="Q59" s="63"/>
    </row>
    <row r="60" ht="22.5" customHeight="1">
      <c r="B60" s="1"/>
      <c r="D60" s="60"/>
      <c r="E60" s="60"/>
      <c r="I60" s="39"/>
      <c r="N60" s="65" t="s">
        <v>34</v>
      </c>
      <c r="O60" s="66">
        <f>sum(O58:S58)</f>
        <v>27498.38227</v>
      </c>
    </row>
    <row r="61" ht="22.5" customHeight="1">
      <c r="B61" s="67" t="s">
        <v>34</v>
      </c>
      <c r="H61" s="68">
        <f>sum(G59:K59)</f>
        <v>27498.38227</v>
      </c>
    </row>
    <row r="62">
      <c r="B62" s="3" t="s">
        <v>136</v>
      </c>
      <c r="F62" s="69">
        <f>G91</f>
        <v>0.07600122013</v>
      </c>
      <c r="I62" s="39"/>
    </row>
    <row r="63">
      <c r="B63" s="3" t="s">
        <v>137</v>
      </c>
      <c r="F63" s="69">
        <v>0.03</v>
      </c>
      <c r="I63" s="39"/>
    </row>
    <row r="64">
      <c r="B64" s="3" t="s">
        <v>138</v>
      </c>
      <c r="G64" s="3">
        <v>1.0</v>
      </c>
      <c r="H64" s="3">
        <v>2.0</v>
      </c>
      <c r="I64" s="39">
        <v>3.0</v>
      </c>
      <c r="J64" s="3">
        <v>4.0</v>
      </c>
      <c r="K64" s="3">
        <v>5.0</v>
      </c>
    </row>
    <row r="65">
      <c r="B65" s="38"/>
      <c r="I65" s="39"/>
    </row>
    <row r="66">
      <c r="B66" s="38"/>
    </row>
    <row r="67">
      <c r="B67" s="38"/>
      <c r="I67" s="39"/>
    </row>
    <row r="68">
      <c r="B68" s="38"/>
      <c r="I68" s="39"/>
    </row>
    <row r="69">
      <c r="B69" s="1" t="s">
        <v>136</v>
      </c>
      <c r="I69" s="39"/>
    </row>
    <row r="70">
      <c r="B70" s="38"/>
      <c r="D70" s="70" t="s">
        <v>139</v>
      </c>
      <c r="E70" s="70" t="s">
        <v>140</v>
      </c>
      <c r="F70" s="70" t="s">
        <v>141</v>
      </c>
      <c r="G70" s="70" t="s">
        <v>142</v>
      </c>
      <c r="H70" s="70" t="s">
        <v>143</v>
      </c>
      <c r="I70" s="39"/>
    </row>
    <row r="71">
      <c r="B71" s="1" t="s">
        <v>144</v>
      </c>
      <c r="D71" s="71">
        <v>34128.0</v>
      </c>
      <c r="E71" s="71">
        <v>9376.0</v>
      </c>
      <c r="F71" s="72">
        <f t="shared" ref="F71:F74" si="59">D71/sum(D71:E71)</f>
        <v>0.7844795881</v>
      </c>
      <c r="G71" s="72">
        <f t="shared" ref="G71:G74" si="60">E71/sum(D71:E71)</f>
        <v>0.2155204119</v>
      </c>
      <c r="H71" s="73">
        <f>D71/D75</f>
        <v>0.3758714495</v>
      </c>
      <c r="I71" s="39"/>
    </row>
    <row r="72">
      <c r="B72" s="1" t="s">
        <v>145</v>
      </c>
      <c r="D72" s="71">
        <v>25401.0</v>
      </c>
      <c r="E72" s="71">
        <v>4017.0</v>
      </c>
      <c r="F72" s="72">
        <f t="shared" si="59"/>
        <v>0.8634509484</v>
      </c>
      <c r="G72" s="72">
        <f t="shared" si="60"/>
        <v>0.1365490516</v>
      </c>
      <c r="H72" s="73">
        <f>D72/D75</f>
        <v>0.2797559391</v>
      </c>
      <c r="I72" s="39"/>
    </row>
    <row r="73">
      <c r="B73" s="1" t="s">
        <v>146</v>
      </c>
      <c r="D73" s="71">
        <v>17652.0</v>
      </c>
      <c r="E73" s="74">
        <v>6204.6</v>
      </c>
      <c r="F73" s="72">
        <f t="shared" si="59"/>
        <v>0.7399210281</v>
      </c>
      <c r="G73" s="72">
        <f t="shared" si="60"/>
        <v>0.2600789719</v>
      </c>
      <c r="H73" s="73">
        <f>D73/D75</f>
        <v>0.1944117096</v>
      </c>
      <c r="I73" s="39"/>
    </row>
    <row r="74">
      <c r="B74" s="1" t="s">
        <v>147</v>
      </c>
      <c r="D74" s="71">
        <v>13616.0</v>
      </c>
      <c r="E74" s="71">
        <v>2506.0</v>
      </c>
      <c r="F74" s="72">
        <f t="shared" si="59"/>
        <v>0.8445602283</v>
      </c>
      <c r="G74" s="72">
        <f t="shared" si="60"/>
        <v>0.1554397717</v>
      </c>
      <c r="H74" s="73">
        <f>D74/D75</f>
        <v>0.1499609018</v>
      </c>
      <c r="I74" s="39"/>
    </row>
    <row r="75">
      <c r="B75" s="3" t="s">
        <v>148</v>
      </c>
      <c r="D75" s="75">
        <f t="shared" ref="D75:E75" si="61">sum(D71:D74)</f>
        <v>90797</v>
      </c>
      <c r="E75" s="76">
        <f t="shared" si="61"/>
        <v>22103.6</v>
      </c>
      <c r="F75" s="77"/>
      <c r="G75" s="77"/>
      <c r="H75" s="77"/>
      <c r="I75" s="39"/>
    </row>
    <row r="76">
      <c r="B76" s="38"/>
      <c r="D76" s="77"/>
      <c r="E76" s="77"/>
      <c r="F76" s="77"/>
      <c r="G76" s="77"/>
      <c r="H76" s="77"/>
      <c r="I76" s="39"/>
    </row>
    <row r="77">
      <c r="B77" s="78" t="s">
        <v>149</v>
      </c>
      <c r="I77" s="39"/>
    </row>
    <row r="78">
      <c r="B78" s="79" t="s">
        <v>150</v>
      </c>
      <c r="C78" s="80"/>
      <c r="D78" s="81" t="s">
        <v>144</v>
      </c>
      <c r="E78" s="81" t="s">
        <v>145</v>
      </c>
      <c r="F78" s="81" t="s">
        <v>146</v>
      </c>
      <c r="G78" s="81" t="s">
        <v>147</v>
      </c>
      <c r="I78" s="39"/>
    </row>
    <row r="79">
      <c r="B79" s="82" t="s">
        <v>151</v>
      </c>
      <c r="C79" s="80"/>
      <c r="D79" s="83">
        <f>F71</f>
        <v>0.7844795881</v>
      </c>
      <c r="E79" s="83">
        <f>F72</f>
        <v>0.8634509484</v>
      </c>
      <c r="F79" s="83">
        <f>F73</f>
        <v>0.7399210281</v>
      </c>
      <c r="G79" s="84">
        <f>F74</f>
        <v>0.8445602283</v>
      </c>
      <c r="I79" s="39"/>
    </row>
    <row r="80">
      <c r="B80" s="82" t="s">
        <v>152</v>
      </c>
      <c r="C80" s="80"/>
      <c r="D80" s="83">
        <f>G71</f>
        <v>0.2155204119</v>
      </c>
      <c r="E80" s="83">
        <f>G72</f>
        <v>0.1365490516</v>
      </c>
      <c r="F80" s="83">
        <f>G73</f>
        <v>0.2600789719</v>
      </c>
      <c r="G80" s="84">
        <f>G74</f>
        <v>0.1554397717</v>
      </c>
      <c r="I80" s="39"/>
    </row>
    <row r="81">
      <c r="B81" s="85"/>
      <c r="C81" s="80"/>
      <c r="D81" s="86"/>
      <c r="E81" s="86"/>
      <c r="F81" s="86"/>
      <c r="G81" s="87"/>
      <c r="I81" s="39"/>
    </row>
    <row r="82">
      <c r="B82" s="88"/>
      <c r="C82" s="89"/>
      <c r="D82" s="81" t="str">
        <f t="shared" ref="D82:G82" si="62">D78</f>
        <v>GE HealthCare</v>
      </c>
      <c r="E82" s="81" t="str">
        <f t="shared" si="62"/>
        <v>Koninklijke Philips</v>
      </c>
      <c r="F82" s="81" t="str">
        <f t="shared" si="62"/>
        <v>Zimmer Biomet</v>
      </c>
      <c r="G82" s="81" t="str">
        <f t="shared" si="62"/>
        <v>Smith &amp; Nephew</v>
      </c>
      <c r="I82" s="39"/>
    </row>
    <row r="83">
      <c r="B83" s="82" t="s">
        <v>153</v>
      </c>
      <c r="C83" s="80"/>
      <c r="D83" s="83">
        <v>0.041</v>
      </c>
      <c r="E83" s="83">
        <v>0.041</v>
      </c>
      <c r="F83" s="83">
        <v>0.041</v>
      </c>
      <c r="G83" s="83">
        <v>0.041</v>
      </c>
      <c r="H83" s="3" t="s">
        <v>154</v>
      </c>
      <c r="I83" s="39"/>
    </row>
    <row r="84">
      <c r="B84" s="82" t="s">
        <v>155</v>
      </c>
      <c r="C84" s="80"/>
      <c r="D84" s="83">
        <v>0.05</v>
      </c>
      <c r="E84" s="83">
        <v>0.05</v>
      </c>
      <c r="F84" s="83">
        <v>0.05</v>
      </c>
      <c r="G84" s="83">
        <v>0.05</v>
      </c>
      <c r="H84" s="3" t="s">
        <v>156</v>
      </c>
      <c r="I84" s="39"/>
    </row>
    <row r="85">
      <c r="B85" s="90" t="s">
        <v>157</v>
      </c>
      <c r="C85" s="91"/>
      <c r="D85" s="92">
        <v>1.27</v>
      </c>
      <c r="E85" s="92">
        <v>0.91</v>
      </c>
      <c r="F85" s="92">
        <v>0.61</v>
      </c>
      <c r="G85" s="92">
        <v>0.65</v>
      </c>
      <c r="H85" s="3" t="s">
        <v>158</v>
      </c>
      <c r="I85" s="39"/>
    </row>
    <row r="86">
      <c r="B86" s="93" t="s">
        <v>159</v>
      </c>
      <c r="C86" s="94"/>
      <c r="D86" s="95">
        <f t="shared" ref="D86:G86" si="63">D83+D84*D85</f>
        <v>0.1045</v>
      </c>
      <c r="E86" s="95">
        <f t="shared" si="63"/>
        <v>0.0865</v>
      </c>
      <c r="F86" s="95">
        <f t="shared" si="63"/>
        <v>0.0715</v>
      </c>
      <c r="G86" s="95">
        <f t="shared" si="63"/>
        <v>0.0735</v>
      </c>
      <c r="I86" s="39"/>
    </row>
    <row r="87">
      <c r="B87" s="82" t="s">
        <v>160</v>
      </c>
      <c r="C87" s="80"/>
      <c r="D87" s="83">
        <v>0.046</v>
      </c>
      <c r="E87" s="83">
        <v>0.06</v>
      </c>
      <c r="F87" s="83">
        <v>0.055</v>
      </c>
      <c r="G87" s="83">
        <v>0.055</v>
      </c>
      <c r="H87" s="3" t="s">
        <v>154</v>
      </c>
      <c r="I87" s="39"/>
    </row>
    <row r="88">
      <c r="B88" s="90" t="s">
        <v>161</v>
      </c>
      <c r="C88" s="91"/>
      <c r="D88" s="96">
        <v>0.21</v>
      </c>
      <c r="E88" s="96">
        <v>0.21</v>
      </c>
      <c r="F88" s="96">
        <v>0.21</v>
      </c>
      <c r="G88" s="96">
        <v>0.21</v>
      </c>
      <c r="I88" s="39"/>
    </row>
    <row r="89">
      <c r="B89" s="79" t="s">
        <v>162</v>
      </c>
      <c r="C89" s="89"/>
      <c r="D89" s="95">
        <f t="shared" ref="D89:G89" si="64">D87*(1-D88)</f>
        <v>0.03634</v>
      </c>
      <c r="E89" s="95">
        <f t="shared" si="64"/>
        <v>0.0474</v>
      </c>
      <c r="F89" s="95">
        <f t="shared" si="64"/>
        <v>0.04345</v>
      </c>
      <c r="G89" s="95">
        <f t="shared" si="64"/>
        <v>0.04345</v>
      </c>
      <c r="I89" s="39"/>
    </row>
    <row r="90">
      <c r="B90" s="79" t="s">
        <v>136</v>
      </c>
      <c r="C90" s="89"/>
      <c r="D90" s="95">
        <f t="shared" ref="D90:G90" si="65">D79*D86+D80*D89</f>
        <v>0.08981012872</v>
      </c>
      <c r="E90" s="95">
        <f t="shared" si="65"/>
        <v>0.08116093208</v>
      </c>
      <c r="F90" s="95">
        <f t="shared" si="65"/>
        <v>0.06420478484</v>
      </c>
      <c r="G90" s="95">
        <f t="shared" si="65"/>
        <v>0.06882903486</v>
      </c>
      <c r="I90" s="39"/>
    </row>
    <row r="91">
      <c r="B91" s="97" t="s">
        <v>163</v>
      </c>
      <c r="C91" s="98"/>
      <c r="D91" s="99"/>
      <c r="E91" s="99"/>
      <c r="G91" s="100">
        <f>average(D90:G90)</f>
        <v>0.07600122013</v>
      </c>
      <c r="I91" s="39"/>
    </row>
    <row r="92">
      <c r="B92" s="38"/>
      <c r="I92" s="39"/>
    </row>
    <row r="93">
      <c r="B93" s="38"/>
      <c r="I93" s="39"/>
    </row>
    <row r="94">
      <c r="B94" s="38"/>
      <c r="I94" s="39"/>
    </row>
    <row r="95">
      <c r="B95" s="38"/>
      <c r="I95" s="39"/>
    </row>
    <row r="96">
      <c r="B96" s="38"/>
      <c r="I96" s="39"/>
    </row>
    <row r="97">
      <c r="B97" s="38"/>
      <c r="I97" s="39"/>
    </row>
    <row r="98">
      <c r="B98" s="38"/>
      <c r="I98" s="39"/>
    </row>
    <row r="99">
      <c r="B99" s="38"/>
      <c r="I99" s="39"/>
    </row>
    <row r="100">
      <c r="B100" s="38"/>
      <c r="I100" s="39"/>
    </row>
    <row r="101">
      <c r="B101" s="38"/>
      <c r="I101" s="39"/>
    </row>
    <row r="102">
      <c r="B102" s="38"/>
      <c r="I102" s="39"/>
    </row>
    <row r="103">
      <c r="B103" s="38"/>
      <c r="I103" s="39"/>
    </row>
    <row r="104">
      <c r="B104" s="38"/>
      <c r="I104" s="39"/>
    </row>
    <row r="105">
      <c r="B105" s="38"/>
      <c r="I105" s="39"/>
    </row>
    <row r="106">
      <c r="B106" s="38"/>
      <c r="I106" s="39"/>
    </row>
    <row r="107">
      <c r="B107" s="38"/>
      <c r="I107" s="39"/>
    </row>
    <row r="108">
      <c r="B108" s="38"/>
      <c r="I108" s="39"/>
    </row>
    <row r="109">
      <c r="B109" s="38"/>
      <c r="I109" s="39"/>
    </row>
    <row r="110">
      <c r="B110" s="38"/>
      <c r="I110" s="39"/>
    </row>
    <row r="111">
      <c r="B111" s="38"/>
      <c r="I111" s="39"/>
    </row>
    <row r="112">
      <c r="B112" s="38"/>
      <c r="I112" s="39"/>
    </row>
    <row r="113">
      <c r="B113" s="38"/>
      <c r="I113" s="39"/>
    </row>
    <row r="114">
      <c r="B114" s="38"/>
      <c r="I114" s="39"/>
    </row>
    <row r="115">
      <c r="B115" s="38"/>
      <c r="I115" s="39"/>
    </row>
    <row r="116">
      <c r="B116" s="38"/>
      <c r="I116" s="39"/>
    </row>
    <row r="117">
      <c r="B117" s="38"/>
      <c r="I117" s="39"/>
    </row>
    <row r="118">
      <c r="B118" s="38"/>
      <c r="I118" s="39"/>
    </row>
    <row r="119">
      <c r="B119" s="38"/>
      <c r="I119" s="39"/>
    </row>
    <row r="120">
      <c r="B120" s="38"/>
      <c r="I120" s="39"/>
    </row>
    <row r="121">
      <c r="B121" s="38"/>
      <c r="I121" s="39"/>
    </row>
    <row r="122">
      <c r="B122" s="38"/>
      <c r="I122" s="39"/>
    </row>
    <row r="123">
      <c r="B123" s="38"/>
      <c r="I123" s="39"/>
    </row>
    <row r="124">
      <c r="B124" s="38"/>
      <c r="I124" s="39"/>
    </row>
    <row r="125">
      <c r="B125" s="38"/>
      <c r="I125" s="39"/>
    </row>
    <row r="126">
      <c r="B126" s="40"/>
      <c r="I126" s="39"/>
    </row>
    <row r="127">
      <c r="B127" s="40"/>
      <c r="I127" s="39"/>
    </row>
    <row r="128">
      <c r="B128" s="40"/>
      <c r="I128" s="39"/>
    </row>
    <row r="129">
      <c r="B129" s="40"/>
      <c r="I129" s="39"/>
    </row>
    <row r="130">
      <c r="B130" s="40"/>
    </row>
    <row r="131">
      <c r="B131" s="40"/>
      <c r="I131" s="39"/>
    </row>
    <row r="132">
      <c r="B132" s="40"/>
      <c r="I132" s="39"/>
    </row>
    <row r="133">
      <c r="B133" s="40"/>
      <c r="I133" s="39"/>
    </row>
    <row r="134">
      <c r="B134" s="40"/>
      <c r="I134" s="39"/>
    </row>
    <row r="135">
      <c r="B135" s="40"/>
      <c r="I135" s="39"/>
    </row>
    <row r="136">
      <c r="B136" s="40"/>
      <c r="I136" s="39"/>
    </row>
    <row r="137">
      <c r="B137" s="40"/>
      <c r="I137" s="39"/>
    </row>
    <row r="138">
      <c r="B138" s="40"/>
      <c r="I138" s="39"/>
    </row>
    <row r="139">
      <c r="B139" s="40"/>
      <c r="I139" s="39"/>
    </row>
    <row r="140">
      <c r="B140" s="40"/>
      <c r="I140" s="39"/>
    </row>
    <row r="141">
      <c r="B141" s="40"/>
      <c r="I141" s="39"/>
    </row>
    <row r="142">
      <c r="B142" s="40"/>
      <c r="I142" s="39"/>
    </row>
    <row r="143">
      <c r="B143" s="40"/>
      <c r="I143" s="39"/>
    </row>
    <row r="144">
      <c r="B144" s="40"/>
      <c r="I144" s="39"/>
    </row>
    <row r="145">
      <c r="B145" s="40"/>
      <c r="I145" s="39"/>
    </row>
    <row r="146">
      <c r="B146" s="40"/>
      <c r="I146" s="39"/>
    </row>
    <row r="147">
      <c r="B147" s="40"/>
      <c r="I147" s="39"/>
    </row>
    <row r="148">
      <c r="B148" s="38"/>
      <c r="I148" s="39"/>
    </row>
    <row r="149">
      <c r="B149" s="38"/>
      <c r="I149" s="39"/>
    </row>
    <row r="150">
      <c r="B150" s="38"/>
      <c r="I150" s="39"/>
    </row>
    <row r="151">
      <c r="B151" s="38"/>
      <c r="I151" s="39"/>
    </row>
    <row r="152">
      <c r="B152" s="38"/>
      <c r="I152" s="39"/>
    </row>
    <row r="153">
      <c r="B153" s="38"/>
      <c r="I153" s="39"/>
    </row>
    <row r="154">
      <c r="B154" s="38"/>
      <c r="I154" s="39"/>
    </row>
    <row r="155">
      <c r="B155" s="38"/>
      <c r="I155" s="39"/>
    </row>
    <row r="156">
      <c r="B156" s="38"/>
      <c r="I156" s="39"/>
    </row>
    <row r="157">
      <c r="B157" s="38"/>
      <c r="I157" s="39"/>
    </row>
    <row r="158">
      <c r="B158" s="38"/>
      <c r="I158" s="39"/>
    </row>
    <row r="159">
      <c r="B159" s="38"/>
      <c r="I159" s="39"/>
    </row>
    <row r="160">
      <c r="B160" s="38"/>
      <c r="I160" s="39"/>
    </row>
    <row r="161">
      <c r="B161" s="38"/>
      <c r="I161" s="39"/>
    </row>
    <row r="162">
      <c r="B162" s="38"/>
      <c r="I162" s="39"/>
    </row>
    <row r="163">
      <c r="B163" s="38"/>
      <c r="I163" s="39"/>
    </row>
    <row r="164">
      <c r="B164" s="38"/>
      <c r="I164" s="39"/>
    </row>
    <row r="165">
      <c r="B165" s="38"/>
      <c r="I165" s="39"/>
    </row>
    <row r="166">
      <c r="B166" s="38"/>
      <c r="I166" s="39"/>
    </row>
    <row r="167">
      <c r="B167" s="38"/>
      <c r="I167" s="39"/>
    </row>
    <row r="168">
      <c r="B168" s="38"/>
      <c r="I168" s="39"/>
    </row>
    <row r="169">
      <c r="B169" s="38"/>
      <c r="I169" s="39"/>
    </row>
    <row r="170">
      <c r="B170" s="38"/>
      <c r="I170" s="39"/>
    </row>
    <row r="171">
      <c r="B171" s="38"/>
      <c r="I171" s="39"/>
    </row>
    <row r="172">
      <c r="B172" s="38"/>
      <c r="I172" s="39"/>
    </row>
    <row r="173">
      <c r="B173" s="38"/>
      <c r="I173" s="39"/>
    </row>
    <row r="174">
      <c r="B174" s="38"/>
      <c r="I174" s="39"/>
    </row>
    <row r="175">
      <c r="B175" s="38"/>
      <c r="I175" s="39"/>
    </row>
    <row r="176">
      <c r="B176" s="38"/>
      <c r="I176" s="39"/>
    </row>
    <row r="177">
      <c r="B177" s="38"/>
      <c r="I177" s="39"/>
    </row>
    <row r="178">
      <c r="B178" s="38"/>
      <c r="I178" s="39"/>
    </row>
    <row r="179">
      <c r="B179" s="38"/>
      <c r="I179" s="39"/>
    </row>
    <row r="180">
      <c r="B180" s="38"/>
      <c r="I180" s="39"/>
    </row>
    <row r="181">
      <c r="B181" s="38"/>
      <c r="I181" s="39"/>
    </row>
    <row r="182">
      <c r="B182" s="38"/>
      <c r="I182" s="39"/>
    </row>
    <row r="183">
      <c r="B183" s="38"/>
      <c r="I183" s="39"/>
    </row>
    <row r="184">
      <c r="B184" s="38"/>
      <c r="I184" s="39"/>
    </row>
    <row r="185">
      <c r="B185" s="38"/>
      <c r="I185" s="39"/>
    </row>
    <row r="186">
      <c r="B186" s="38"/>
      <c r="I186" s="39"/>
    </row>
    <row r="187">
      <c r="B187" s="38"/>
      <c r="I187" s="39"/>
    </row>
    <row r="188">
      <c r="B188" s="38"/>
      <c r="I188" s="39"/>
    </row>
    <row r="189">
      <c r="B189" s="38"/>
      <c r="I189" s="39"/>
    </row>
    <row r="190">
      <c r="B190" s="38"/>
      <c r="I190" s="39"/>
    </row>
    <row r="191">
      <c r="B191" s="38"/>
      <c r="I191" s="39"/>
    </row>
    <row r="192">
      <c r="B192" s="38"/>
      <c r="I192" s="39"/>
    </row>
    <row r="193">
      <c r="B193" s="38"/>
      <c r="I193" s="39"/>
    </row>
    <row r="194">
      <c r="B194" s="38"/>
      <c r="I194" s="39"/>
    </row>
    <row r="195">
      <c r="B195" s="38"/>
      <c r="I195" s="39"/>
    </row>
    <row r="196">
      <c r="B196" s="38"/>
      <c r="I196" s="39"/>
    </row>
    <row r="197">
      <c r="B197" s="38"/>
      <c r="I197" s="39"/>
    </row>
    <row r="198">
      <c r="B198" s="38"/>
      <c r="I198" s="39"/>
    </row>
    <row r="199">
      <c r="B199" s="38"/>
    </row>
    <row r="200">
      <c r="B200" s="38"/>
      <c r="I200" s="39"/>
    </row>
    <row r="201">
      <c r="B201" s="38"/>
      <c r="I201" s="39"/>
    </row>
    <row r="202">
      <c r="B202" s="38"/>
      <c r="I202" s="39"/>
    </row>
    <row r="203">
      <c r="B203" s="38"/>
      <c r="I203" s="39"/>
    </row>
    <row r="204">
      <c r="B204" s="38"/>
      <c r="I204" s="39"/>
    </row>
    <row r="205">
      <c r="B205" s="38"/>
      <c r="I205" s="39"/>
    </row>
    <row r="206">
      <c r="B206" s="38"/>
      <c r="I206" s="39"/>
    </row>
    <row r="207">
      <c r="B207" s="38"/>
      <c r="I207" s="39"/>
    </row>
    <row r="208">
      <c r="B208" s="38"/>
      <c r="I208" s="39"/>
    </row>
    <row r="209">
      <c r="B209" s="38"/>
      <c r="I209" s="39"/>
    </row>
    <row r="210">
      <c r="B210" s="38"/>
      <c r="I210" s="39"/>
    </row>
    <row r="211">
      <c r="B211" s="38"/>
      <c r="I211" s="39"/>
    </row>
    <row r="212">
      <c r="B212" s="38"/>
      <c r="I212" s="39"/>
    </row>
    <row r="213">
      <c r="B213" s="38"/>
      <c r="I213" s="39"/>
    </row>
    <row r="214">
      <c r="B214" s="38"/>
      <c r="I214" s="39"/>
    </row>
    <row r="215">
      <c r="B215" s="38"/>
      <c r="I215" s="39"/>
    </row>
    <row r="216">
      <c r="B216" s="38"/>
      <c r="I216" s="39"/>
    </row>
    <row r="217">
      <c r="B217" s="38"/>
      <c r="I217" s="39"/>
    </row>
    <row r="218">
      <c r="B218" s="38"/>
      <c r="I218" s="39"/>
    </row>
    <row r="219">
      <c r="B219" s="38"/>
      <c r="I219" s="39"/>
    </row>
    <row r="220">
      <c r="B220" s="38"/>
      <c r="I220" s="39"/>
    </row>
    <row r="221">
      <c r="B221" s="38"/>
      <c r="I221" s="39"/>
    </row>
    <row r="222">
      <c r="B222" s="38"/>
      <c r="I222" s="39"/>
    </row>
    <row r="223">
      <c r="B223" s="38"/>
      <c r="I223" s="39"/>
    </row>
    <row r="224">
      <c r="B224" s="38"/>
      <c r="I224" s="39"/>
    </row>
    <row r="225">
      <c r="B225" s="38"/>
      <c r="I225" s="39"/>
    </row>
    <row r="226">
      <c r="B226" s="38"/>
      <c r="I226" s="39"/>
    </row>
    <row r="227">
      <c r="B227" s="38"/>
      <c r="I227" s="39"/>
    </row>
    <row r="228">
      <c r="B228" s="38"/>
      <c r="I228" s="39"/>
    </row>
    <row r="229">
      <c r="B229" s="38"/>
      <c r="I229" s="39"/>
    </row>
    <row r="230">
      <c r="B230" s="38"/>
      <c r="I230" s="39"/>
    </row>
    <row r="231">
      <c r="B231" s="38"/>
      <c r="I231" s="39"/>
    </row>
    <row r="232">
      <c r="B232" s="38"/>
      <c r="I232" s="39"/>
    </row>
    <row r="233">
      <c r="B233" s="38"/>
      <c r="I233" s="39"/>
    </row>
    <row r="234">
      <c r="B234" s="38"/>
      <c r="I234" s="39"/>
    </row>
    <row r="235">
      <c r="B235" s="38"/>
      <c r="I235" s="39"/>
    </row>
    <row r="236">
      <c r="B236" s="38"/>
      <c r="I236" s="39"/>
    </row>
    <row r="237">
      <c r="B237" s="38"/>
      <c r="I237" s="39"/>
    </row>
    <row r="238">
      <c r="B238" s="38"/>
      <c r="I238" s="39"/>
    </row>
    <row r="239">
      <c r="B239" s="38"/>
      <c r="I239" s="39"/>
    </row>
    <row r="240">
      <c r="B240" s="38"/>
      <c r="I240" s="39"/>
    </row>
    <row r="241">
      <c r="B241" s="38"/>
      <c r="I241" s="39"/>
    </row>
    <row r="242">
      <c r="B242" s="38"/>
      <c r="I242" s="39"/>
    </row>
    <row r="243">
      <c r="B243" s="38"/>
      <c r="I243" s="39"/>
    </row>
    <row r="244">
      <c r="B244" s="38"/>
      <c r="I244" s="39"/>
    </row>
    <row r="245">
      <c r="B245" s="38"/>
      <c r="I245" s="39"/>
    </row>
    <row r="246">
      <c r="B246" s="38"/>
      <c r="I246" s="39"/>
    </row>
    <row r="247">
      <c r="B247" s="38"/>
      <c r="I247" s="39"/>
    </row>
    <row r="248">
      <c r="B248" s="38"/>
      <c r="I248" s="39"/>
    </row>
    <row r="249">
      <c r="B249" s="38"/>
      <c r="I249" s="39"/>
    </row>
    <row r="250">
      <c r="B250" s="38"/>
      <c r="I250" s="39"/>
    </row>
    <row r="251">
      <c r="B251" s="38"/>
      <c r="I251" s="39"/>
    </row>
    <row r="252">
      <c r="B252" s="38"/>
      <c r="I252" s="39"/>
    </row>
    <row r="253">
      <c r="B253" s="38"/>
      <c r="I253" s="39"/>
    </row>
    <row r="254">
      <c r="B254" s="38"/>
      <c r="I254" s="39"/>
    </row>
    <row r="255">
      <c r="B255" s="38"/>
      <c r="I255" s="39"/>
    </row>
    <row r="256">
      <c r="B256" s="38"/>
      <c r="I256" s="39"/>
    </row>
    <row r="257">
      <c r="B257" s="38"/>
      <c r="I257" s="39"/>
    </row>
    <row r="258">
      <c r="B258" s="38"/>
    </row>
  </sheetData>
  <mergeCells count="1">
    <mergeCell ref="B77:G77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2025-11-19T12:50:51Z</dcterms:created>
  <dc:creator>openpyxl</dc:creator>
</cp:coreProperties>
</file>